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uloyarzun\Desktop\Informes Notas de Cambio 2022\2022\"/>
    </mc:Choice>
  </mc:AlternateContent>
  <xr:revisionPtr revIDLastSave="0" documentId="8_{A48E3F9B-DAFB-4A9F-A571-F16EB80A318F}" xr6:coauthVersionLast="47" xr6:coauthVersionMax="47" xr10:uidLastSave="{00000000-0000-0000-0000-000000000000}"/>
  <bookViews>
    <workbookView xWindow="0" yWindow="0" windowWidth="28800" windowHeight="11625" firstSheet="1" activeTab="1" xr2:uid="{46F1EB30-55D9-427B-B216-7D60E118128F}"/>
  </bookViews>
  <sheets>
    <sheet name="1_Resumen" sheetId="2" r:id="rId1"/>
    <sheet name="2_Notas de Cambio" sheetId="1" r:id="rId2"/>
    <sheet name="Validaciones" sheetId="4" state="hidden" r:id="rId3"/>
    <sheet name="3_Validaciones" sheetId="3" state="hidden" r:id="rId4"/>
  </sheets>
  <definedNames>
    <definedName name="_xlnm._FilterDatabase" localSheetId="1" hidden="1">'2_Notas de Cambio'!$A$1:$R$2464</definedName>
    <definedName name="Clasificacion">Validaciones!$B$2:$B$35</definedName>
    <definedName name="Partida">Validaciones!$C$2:$C$35</definedName>
    <definedName name="SS">Validaciones!$A$2:$A$35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9" i="1" l="1"/>
  <c r="M699" i="1" s="1"/>
  <c r="R699" i="1" s="1"/>
  <c r="J623" i="1"/>
  <c r="M623" i="1" s="1"/>
  <c r="R623" i="1" s="1"/>
  <c r="J640" i="1"/>
  <c r="M640" i="1" s="1"/>
  <c r="R640" i="1" s="1"/>
  <c r="J662" i="1"/>
  <c r="M662" i="1" s="1"/>
  <c r="R662" i="1" s="1"/>
  <c r="J665" i="1"/>
  <c r="M665" i="1" s="1"/>
  <c r="R665" i="1" s="1"/>
  <c r="J689" i="1"/>
  <c r="M689" i="1" s="1"/>
  <c r="R689" i="1" s="1"/>
  <c r="J806" i="1"/>
  <c r="M806" i="1" s="1"/>
  <c r="R806" i="1" s="1"/>
  <c r="J873" i="1"/>
  <c r="M873" i="1" s="1"/>
  <c r="R873" i="1" s="1"/>
  <c r="J624" i="1"/>
  <c r="M624" i="1" s="1"/>
  <c r="R624" i="1" s="1"/>
  <c r="J625" i="1"/>
  <c r="M625" i="1" s="1"/>
  <c r="R625" i="1" s="1"/>
  <c r="J626" i="1"/>
  <c r="M626" i="1" s="1"/>
  <c r="R626" i="1" s="1"/>
  <c r="J627" i="1"/>
  <c r="M627" i="1" s="1"/>
  <c r="R627" i="1" s="1"/>
  <c r="J630" i="1"/>
  <c r="M630" i="1" s="1"/>
  <c r="R630" i="1" s="1"/>
  <c r="J631" i="1"/>
  <c r="M631" i="1" s="1"/>
  <c r="R631" i="1" s="1"/>
  <c r="J632" i="1"/>
  <c r="M632" i="1" s="1"/>
  <c r="R632" i="1" s="1"/>
  <c r="J633" i="1"/>
  <c r="M633" i="1" s="1"/>
  <c r="R633" i="1" s="1"/>
  <c r="J636" i="1"/>
  <c r="M636" i="1" s="1"/>
  <c r="R636" i="1" s="1"/>
  <c r="J652" i="1"/>
  <c r="M652" i="1" s="1"/>
  <c r="R652" i="1" s="1"/>
  <c r="J658" i="1"/>
  <c r="M658" i="1" s="1"/>
  <c r="R658" i="1" s="1"/>
  <c r="J688" i="1"/>
  <c r="M688" i="1" s="1"/>
  <c r="R688" i="1" s="1"/>
  <c r="J693" i="1"/>
  <c r="M693" i="1" s="1"/>
  <c r="R693" i="1" s="1"/>
  <c r="J714" i="1"/>
  <c r="M714" i="1" s="1"/>
  <c r="R714" i="1" s="1"/>
  <c r="J718" i="1"/>
  <c r="M718" i="1" s="1"/>
  <c r="R718" i="1" s="1"/>
  <c r="J622" i="1"/>
  <c r="M622" i="1" s="1"/>
  <c r="R622" i="1" s="1"/>
  <c r="J629" i="1"/>
  <c r="M629" i="1" s="1"/>
  <c r="R629" i="1" s="1"/>
  <c r="J635" i="1"/>
  <c r="M635" i="1" s="1"/>
  <c r="R635" i="1" s="1"/>
  <c r="J643" i="1"/>
  <c r="M643" i="1" s="1"/>
  <c r="R643" i="1" s="1"/>
  <c r="J654" i="1"/>
  <c r="M654" i="1" s="1"/>
  <c r="R654" i="1" s="1"/>
  <c r="J659" i="1"/>
  <c r="M659" i="1" s="1"/>
  <c r="R659" i="1" s="1"/>
  <c r="J664" i="1"/>
  <c r="M664" i="1" s="1"/>
  <c r="R664" i="1" s="1"/>
  <c r="J667" i="1"/>
  <c r="M667" i="1" s="1"/>
  <c r="R667" i="1" s="1"/>
  <c r="J669" i="1"/>
  <c r="M669" i="1" s="1"/>
  <c r="R669" i="1" s="1"/>
  <c r="J674" i="1"/>
  <c r="M674" i="1" s="1"/>
  <c r="R674" i="1" s="1"/>
  <c r="J683" i="1"/>
  <c r="M683" i="1" s="1"/>
  <c r="R683" i="1" s="1"/>
  <c r="J634" i="1"/>
  <c r="M634" i="1" s="1"/>
  <c r="R634" i="1" s="1"/>
  <c r="J637" i="1"/>
  <c r="M637" i="1" s="1"/>
  <c r="R637" i="1" s="1"/>
  <c r="J638" i="1"/>
  <c r="M638" i="1" s="1"/>
  <c r="R638" i="1" s="1"/>
  <c r="J639" i="1"/>
  <c r="M639" i="1" s="1"/>
  <c r="R639" i="1" s="1"/>
  <c r="J641" i="1"/>
  <c r="M641" i="1" s="1"/>
  <c r="R641" i="1" s="1"/>
  <c r="J642" i="1"/>
  <c r="M642" i="1" s="1"/>
  <c r="R642" i="1" s="1"/>
  <c r="J645" i="1"/>
  <c r="M645" i="1" s="1"/>
  <c r="R645" i="1" s="1"/>
  <c r="J646" i="1"/>
  <c r="M646" i="1" s="1"/>
  <c r="R646" i="1" s="1"/>
  <c r="J647" i="1"/>
  <c r="M647" i="1" s="1"/>
  <c r="R647" i="1" s="1"/>
  <c r="J648" i="1"/>
  <c r="M648" i="1" s="1"/>
  <c r="R648" i="1" s="1"/>
  <c r="J649" i="1"/>
  <c r="M649" i="1" s="1"/>
  <c r="R649" i="1" s="1"/>
  <c r="J650" i="1"/>
  <c r="M650" i="1" s="1"/>
  <c r="R650" i="1" s="1"/>
  <c r="J651" i="1"/>
  <c r="M651" i="1" s="1"/>
  <c r="R651" i="1" s="1"/>
  <c r="J653" i="1"/>
  <c r="M653" i="1" s="1"/>
  <c r="R653" i="1" s="1"/>
  <c r="J656" i="1"/>
  <c r="M656" i="1" s="1"/>
  <c r="R656" i="1" s="1"/>
  <c r="J657" i="1"/>
  <c r="M657" i="1" s="1"/>
  <c r="R657" i="1" s="1"/>
  <c r="J660" i="1"/>
  <c r="M660" i="1" s="1"/>
  <c r="R660" i="1" s="1"/>
  <c r="J672" i="1"/>
  <c r="M672" i="1" s="1"/>
  <c r="R672" i="1" s="1"/>
  <c r="J673" i="1"/>
  <c r="M673" i="1" s="1"/>
  <c r="R673" i="1" s="1"/>
  <c r="J691" i="1"/>
  <c r="M691" i="1" s="1"/>
  <c r="R691" i="1" s="1"/>
  <c r="J692" i="1"/>
  <c r="M692" i="1" s="1"/>
  <c r="R692" i="1" s="1"/>
  <c r="J671" i="1"/>
  <c r="M671" i="1" s="1"/>
  <c r="R671" i="1" s="1"/>
  <c r="J675" i="1"/>
  <c r="M675" i="1" s="1"/>
  <c r="R675" i="1" s="1"/>
  <c r="J676" i="1"/>
  <c r="M676" i="1" s="1"/>
  <c r="R676" i="1" s="1"/>
  <c r="J677" i="1"/>
  <c r="M677" i="1" s="1"/>
  <c r="R677" i="1" s="1"/>
  <c r="J678" i="1"/>
  <c r="M678" i="1" s="1"/>
  <c r="R678" i="1" s="1"/>
  <c r="J679" i="1"/>
  <c r="M679" i="1" s="1"/>
  <c r="R679" i="1" s="1"/>
  <c r="J680" i="1"/>
  <c r="M680" i="1" s="1"/>
  <c r="R680" i="1" s="1"/>
  <c r="J681" i="1"/>
  <c r="M681" i="1" s="1"/>
  <c r="R681" i="1" s="1"/>
  <c r="J682" i="1"/>
  <c r="M682" i="1" s="1"/>
  <c r="R682" i="1" s="1"/>
  <c r="J684" i="1"/>
  <c r="M684" i="1" s="1"/>
  <c r="R684" i="1" s="1"/>
  <c r="J716" i="1"/>
  <c r="M716" i="1" s="1"/>
  <c r="R716" i="1" s="1"/>
  <c r="J153" i="1"/>
  <c r="M153" i="1" s="1"/>
  <c r="R153" i="1" s="1"/>
  <c r="J179" i="1"/>
  <c r="M179" i="1" s="1"/>
  <c r="R179" i="1" s="1"/>
  <c r="J287" i="1"/>
  <c r="M287" i="1" s="1"/>
  <c r="R287" i="1" s="1"/>
  <c r="J256" i="1"/>
  <c r="M256" i="1" s="1"/>
  <c r="R256" i="1" s="1"/>
  <c r="J369" i="1"/>
  <c r="M369" i="1" s="1"/>
  <c r="R369" i="1" s="1"/>
  <c r="J432" i="1"/>
  <c r="M432" i="1" s="1"/>
  <c r="R432" i="1" s="1"/>
  <c r="J967" i="1"/>
  <c r="M967" i="1" s="1"/>
  <c r="R967" i="1" s="1"/>
  <c r="J507" i="1"/>
  <c r="M507" i="1" s="1"/>
  <c r="R507" i="1" s="1"/>
  <c r="J319" i="1"/>
  <c r="M319" i="1" s="1"/>
  <c r="R319" i="1" s="1"/>
  <c r="J807" i="1"/>
  <c r="M807" i="1" s="1"/>
  <c r="R807" i="1" s="1"/>
  <c r="J1712" i="1"/>
  <c r="M1712" i="1" s="1"/>
  <c r="R1712" i="1" s="1"/>
  <c r="J1171" i="1"/>
  <c r="M1171" i="1" s="1"/>
  <c r="R1171" i="1" s="1"/>
  <c r="J666" i="1"/>
  <c r="M666" i="1" s="1"/>
  <c r="R666" i="1" s="1"/>
  <c r="J1338" i="1"/>
  <c r="M1338" i="1" s="1"/>
  <c r="R1338" i="1" s="1"/>
  <c r="J628" i="1"/>
  <c r="M628" i="1" s="1"/>
  <c r="R628" i="1" s="1"/>
  <c r="J275" i="1"/>
  <c r="M275" i="1" s="1"/>
  <c r="R275" i="1" s="1"/>
  <c r="J541" i="1"/>
  <c r="M541" i="1" s="1"/>
  <c r="R541" i="1" s="1"/>
  <c r="J599" i="1"/>
  <c r="M599" i="1" s="1"/>
  <c r="R599" i="1" s="1"/>
  <c r="J1038" i="1"/>
  <c r="M1038" i="1" s="1"/>
  <c r="R1038" i="1" s="1"/>
  <c r="J1697" i="1"/>
  <c r="M1697" i="1" s="1"/>
  <c r="R1697" i="1" s="1"/>
  <c r="J323" i="1"/>
  <c r="M323" i="1" s="1"/>
  <c r="R323" i="1" s="1"/>
  <c r="J295" i="1"/>
  <c r="M295" i="1" s="1"/>
  <c r="R295" i="1" s="1"/>
  <c r="J1957" i="1"/>
  <c r="M1957" i="1" s="1"/>
  <c r="R1957" i="1" s="1"/>
  <c r="J239" i="1"/>
  <c r="M239" i="1" s="1"/>
  <c r="R239" i="1" s="1"/>
  <c r="J1101" i="1"/>
  <c r="M1101" i="1" s="1"/>
  <c r="R1101" i="1" s="1"/>
  <c r="J1910" i="1"/>
  <c r="M1910" i="1" s="1"/>
  <c r="R1910" i="1" s="1"/>
  <c r="J398" i="1"/>
  <c r="M398" i="1" s="1"/>
  <c r="R398" i="1" s="1"/>
  <c r="J457" i="1"/>
  <c r="M457" i="1" s="1"/>
  <c r="R457" i="1" s="1"/>
  <c r="J428" i="1"/>
  <c r="M428" i="1" s="1"/>
  <c r="R428" i="1" s="1"/>
  <c r="J567" i="1"/>
  <c r="M567" i="1" s="1"/>
  <c r="R567" i="1" s="1"/>
  <c r="J568" i="1"/>
  <c r="M568" i="1" s="1"/>
  <c r="R568" i="1" s="1"/>
  <c r="J566" i="1"/>
  <c r="M566" i="1" s="1"/>
  <c r="R566" i="1" s="1"/>
  <c r="J661" i="1"/>
  <c r="M661" i="1" s="1"/>
  <c r="R661" i="1" s="1"/>
  <c r="J686" i="1"/>
  <c r="M686" i="1" s="1"/>
  <c r="R686" i="1" s="1"/>
  <c r="J687" i="1"/>
  <c r="M687" i="1" s="1"/>
  <c r="R687" i="1" s="1"/>
  <c r="J690" i="1"/>
  <c r="M690" i="1" s="1"/>
  <c r="R690" i="1" s="1"/>
  <c r="J1945" i="1"/>
  <c r="M1945" i="1" s="1"/>
  <c r="R1945" i="1" s="1"/>
  <c r="J788" i="1"/>
  <c r="M788" i="1" s="1"/>
  <c r="R788" i="1" s="1"/>
  <c r="J109" i="1"/>
  <c r="M109" i="1" s="1"/>
  <c r="R109" i="1" s="1"/>
  <c r="J1057" i="1"/>
  <c r="M1057" i="1" s="1"/>
  <c r="R1057" i="1" s="1"/>
  <c r="J1178" i="1"/>
  <c r="M1178" i="1" s="1"/>
  <c r="R1178" i="1" s="1"/>
  <c r="J107" i="1"/>
  <c r="M107" i="1" s="1"/>
  <c r="R107" i="1" s="1"/>
  <c r="J334" i="1"/>
  <c r="M334" i="1" s="1"/>
  <c r="R334" i="1" s="1"/>
  <c r="J2033" i="1"/>
  <c r="M2033" i="1" s="1"/>
  <c r="R2033" i="1" s="1"/>
  <c r="J1583" i="1"/>
  <c r="M1583" i="1" s="1"/>
  <c r="R1583" i="1" s="1"/>
  <c r="J1082" i="1"/>
  <c r="M1082" i="1" s="1"/>
  <c r="R1082" i="1" s="1"/>
  <c r="J864" i="1"/>
  <c r="M864" i="1" s="1"/>
  <c r="R864" i="1" s="1"/>
  <c r="J1000" i="1"/>
  <c r="M1000" i="1" s="1"/>
  <c r="R1000" i="1" s="1"/>
  <c r="J1612" i="1"/>
  <c r="M1612" i="1" s="1"/>
  <c r="R1612" i="1" s="1"/>
  <c r="J250" i="1"/>
  <c r="M250" i="1" s="1"/>
  <c r="R250" i="1" s="1"/>
  <c r="J1096" i="1"/>
  <c r="M1096" i="1" s="1"/>
  <c r="R1096" i="1" s="1"/>
  <c r="J1381" i="1"/>
  <c r="M1381" i="1" s="1"/>
  <c r="R1381" i="1" s="1"/>
  <c r="J1183" i="1"/>
  <c r="M1183" i="1" s="1"/>
  <c r="R1183" i="1" s="1"/>
  <c r="J531" i="1"/>
  <c r="M531" i="1" s="1"/>
  <c r="R531" i="1" s="1"/>
  <c r="J1601" i="1"/>
  <c r="M1601" i="1" s="1"/>
  <c r="R1601" i="1" s="1"/>
  <c r="J261" i="1"/>
  <c r="M261" i="1" s="1"/>
  <c r="R261" i="1" s="1"/>
  <c r="J1573" i="1"/>
  <c r="M1573" i="1" s="1"/>
  <c r="R1573" i="1" s="1"/>
  <c r="J1247" i="1"/>
  <c r="M1247" i="1" s="1"/>
  <c r="R1247" i="1" s="1"/>
  <c r="J312" i="1"/>
  <c r="M312" i="1" s="1"/>
  <c r="R312" i="1" s="1"/>
  <c r="J264" i="1"/>
  <c r="M264" i="1" s="1"/>
  <c r="R264" i="1" s="1"/>
  <c r="J291" i="1"/>
  <c r="M291" i="1" s="1"/>
  <c r="R291" i="1" s="1"/>
  <c r="J230" i="1"/>
  <c r="M230" i="1" s="1"/>
  <c r="R230" i="1" s="1"/>
  <c r="J721" i="1"/>
  <c r="M721" i="1" s="1"/>
  <c r="R721" i="1" s="1"/>
  <c r="J1497" i="1"/>
  <c r="M1497" i="1" s="1"/>
  <c r="R1497" i="1" s="1"/>
  <c r="J685" i="1"/>
  <c r="M685" i="1" s="1"/>
  <c r="R685" i="1" s="1"/>
  <c r="J330" i="1"/>
  <c r="M330" i="1" s="1"/>
  <c r="R330" i="1" s="1"/>
  <c r="J695" i="1"/>
  <c r="M695" i="1" s="1"/>
  <c r="R695" i="1" s="1"/>
  <c r="J696" i="1"/>
  <c r="M696" i="1" s="1"/>
  <c r="R696" i="1" s="1"/>
  <c r="J697" i="1"/>
  <c r="M697" i="1" s="1"/>
  <c r="R697" i="1" s="1"/>
  <c r="J698" i="1"/>
  <c r="M698" i="1" s="1"/>
  <c r="R698" i="1" s="1"/>
  <c r="J700" i="1"/>
  <c r="M700" i="1" s="1"/>
  <c r="R700" i="1" s="1"/>
  <c r="J701" i="1"/>
  <c r="M701" i="1" s="1"/>
  <c r="R701" i="1" s="1"/>
  <c r="J702" i="1"/>
  <c r="M702" i="1" s="1"/>
  <c r="R702" i="1" s="1"/>
  <c r="J703" i="1"/>
  <c r="M703" i="1" s="1"/>
  <c r="R703" i="1" s="1"/>
  <c r="J704" i="1"/>
  <c r="M704" i="1" s="1"/>
  <c r="R704" i="1" s="1"/>
  <c r="J706" i="1"/>
  <c r="M706" i="1" s="1"/>
  <c r="R706" i="1" s="1"/>
  <c r="J707" i="1"/>
  <c r="M707" i="1" s="1"/>
  <c r="R707" i="1" s="1"/>
  <c r="J713" i="1"/>
  <c r="M713" i="1" s="1"/>
  <c r="R713" i="1" s="1"/>
  <c r="J720" i="1"/>
  <c r="M720" i="1" s="1"/>
  <c r="R720" i="1" s="1"/>
  <c r="J722" i="1"/>
  <c r="M722" i="1" s="1"/>
  <c r="R722" i="1" s="1"/>
  <c r="J730" i="1"/>
  <c r="M730" i="1" s="1"/>
  <c r="R730" i="1" s="1"/>
  <c r="J733" i="1"/>
  <c r="M733" i="1" s="1"/>
  <c r="R733" i="1" s="1"/>
  <c r="J734" i="1"/>
  <c r="M734" i="1" s="1"/>
  <c r="R734" i="1" s="1"/>
  <c r="J745" i="1"/>
  <c r="M745" i="1" s="1"/>
  <c r="R745" i="1" s="1"/>
  <c r="J747" i="1"/>
  <c r="M747" i="1" s="1"/>
  <c r="R747" i="1" s="1"/>
  <c r="J754" i="1"/>
  <c r="M754" i="1" s="1"/>
  <c r="R754" i="1" s="1"/>
  <c r="J809" i="1"/>
  <c r="M809" i="1" s="1"/>
  <c r="R809" i="1" s="1"/>
  <c r="J839" i="1"/>
  <c r="M839" i="1" s="1"/>
  <c r="R839" i="1" s="1"/>
  <c r="J878" i="1"/>
  <c r="M878" i="1" s="1"/>
  <c r="R878" i="1" s="1"/>
  <c r="J708" i="1"/>
  <c r="M708" i="1" s="1"/>
  <c r="R708" i="1" s="1"/>
  <c r="J709" i="1"/>
  <c r="M709" i="1" s="1"/>
  <c r="R709" i="1" s="1"/>
  <c r="J710" i="1"/>
  <c r="M710" i="1" s="1"/>
  <c r="R710" i="1" s="1"/>
  <c r="J711" i="1"/>
  <c r="M711" i="1" s="1"/>
  <c r="R711" i="1" s="1"/>
  <c r="J712" i="1"/>
  <c r="M712" i="1" s="1"/>
  <c r="R712" i="1" s="1"/>
  <c r="J715" i="1"/>
  <c r="M715" i="1" s="1"/>
  <c r="R715" i="1" s="1"/>
  <c r="J717" i="1"/>
  <c r="M717" i="1" s="1"/>
  <c r="R717" i="1" s="1"/>
  <c r="J719" i="1"/>
  <c r="M719" i="1" s="1"/>
  <c r="R719" i="1" s="1"/>
  <c r="J723" i="1"/>
  <c r="M723" i="1" s="1"/>
  <c r="R723" i="1" s="1"/>
  <c r="J724" i="1"/>
  <c r="M724" i="1" s="1"/>
  <c r="R724" i="1" s="1"/>
  <c r="J725" i="1"/>
  <c r="M725" i="1" s="1"/>
  <c r="R725" i="1" s="1"/>
  <c r="J726" i="1"/>
  <c r="M726" i="1" s="1"/>
  <c r="R726" i="1" s="1"/>
  <c r="J727" i="1"/>
  <c r="M727" i="1" s="1"/>
  <c r="R727" i="1" s="1"/>
  <c r="J728" i="1"/>
  <c r="M728" i="1" s="1"/>
  <c r="R728" i="1" s="1"/>
  <c r="J731" i="1"/>
  <c r="M731" i="1" s="1"/>
  <c r="R731" i="1" s="1"/>
  <c r="J732" i="1"/>
  <c r="M732" i="1" s="1"/>
  <c r="R732" i="1" s="1"/>
  <c r="J736" i="1"/>
  <c r="M736" i="1" s="1"/>
  <c r="R736" i="1" s="1"/>
  <c r="J739" i="1"/>
  <c r="M739" i="1" s="1"/>
  <c r="R739" i="1" s="1"/>
  <c r="J740" i="1"/>
  <c r="M740" i="1" s="1"/>
  <c r="R740" i="1" s="1"/>
  <c r="J744" i="1"/>
  <c r="M744" i="1" s="1"/>
  <c r="R744" i="1" s="1"/>
  <c r="J748" i="1"/>
  <c r="M748" i="1" s="1"/>
  <c r="R748" i="1" s="1"/>
  <c r="J760" i="1"/>
  <c r="M760" i="1" s="1"/>
  <c r="R760" i="1" s="1"/>
  <c r="J765" i="1"/>
  <c r="M765" i="1" s="1"/>
  <c r="R765" i="1" s="1"/>
  <c r="J772" i="1"/>
  <c r="M772" i="1" s="1"/>
  <c r="R772" i="1" s="1"/>
  <c r="J776" i="1"/>
  <c r="M776" i="1" s="1"/>
  <c r="R776" i="1" s="1"/>
  <c r="J783" i="1"/>
  <c r="M783" i="1" s="1"/>
  <c r="R783" i="1" s="1"/>
  <c r="J784" i="1"/>
  <c r="M784" i="1" s="1"/>
  <c r="R784" i="1" s="1"/>
  <c r="J787" i="1"/>
  <c r="M787" i="1" s="1"/>
  <c r="R787" i="1" s="1"/>
  <c r="J789" i="1"/>
  <c r="M789" i="1" s="1"/>
  <c r="R789" i="1" s="1"/>
  <c r="J797" i="1"/>
  <c r="M797" i="1" s="1"/>
  <c r="R797" i="1" s="1"/>
  <c r="J815" i="1"/>
  <c r="M815" i="1" s="1"/>
  <c r="R815" i="1" s="1"/>
  <c r="J865" i="1"/>
  <c r="M865" i="1" s="1"/>
  <c r="R865" i="1" s="1"/>
  <c r="J1041" i="1"/>
  <c r="M1041" i="1" s="1"/>
  <c r="R1041" i="1" s="1"/>
  <c r="J1473" i="1"/>
  <c r="M1473" i="1" s="1"/>
  <c r="R1473" i="1" s="1"/>
  <c r="J240" i="1"/>
  <c r="M240" i="1" s="1"/>
  <c r="R240" i="1" s="1"/>
  <c r="J188" i="1"/>
  <c r="M188" i="1" s="1"/>
  <c r="R188" i="1" s="1"/>
  <c r="J1053" i="1"/>
  <c r="M1053" i="1" s="1"/>
  <c r="R1053" i="1" s="1"/>
  <c r="J331" i="1"/>
  <c r="M331" i="1" s="1"/>
  <c r="R331" i="1" s="1"/>
  <c r="J644" i="1"/>
  <c r="M644" i="1" s="1"/>
  <c r="R644" i="1" s="1"/>
  <c r="J1007" i="1"/>
  <c r="M1007" i="1" s="1"/>
  <c r="R1007" i="1" s="1"/>
  <c r="J1097" i="1"/>
  <c r="M1097" i="1" s="1"/>
  <c r="R1097" i="1" s="1"/>
  <c r="J1308" i="1"/>
  <c r="M1308" i="1" s="1"/>
  <c r="R1308" i="1" s="1"/>
  <c r="J1176" i="1"/>
  <c r="M1176" i="1" s="1"/>
  <c r="R1176" i="1" s="1"/>
  <c r="J1075" i="1"/>
  <c r="M1075" i="1" s="1"/>
  <c r="R1075" i="1" s="1"/>
  <c r="J1739" i="1"/>
  <c r="M1739" i="1" s="1"/>
  <c r="R1739" i="1" s="1"/>
  <c r="J729" i="1"/>
  <c r="M729" i="1" s="1"/>
  <c r="R729" i="1" s="1"/>
  <c r="J735" i="1"/>
  <c r="M735" i="1" s="1"/>
  <c r="R735" i="1" s="1"/>
  <c r="J737" i="1"/>
  <c r="M737" i="1" s="1"/>
  <c r="R737" i="1" s="1"/>
  <c r="J738" i="1"/>
  <c r="M738" i="1" s="1"/>
  <c r="R738" i="1" s="1"/>
  <c r="J741" i="1"/>
  <c r="M741" i="1" s="1"/>
  <c r="R741" i="1" s="1"/>
  <c r="J743" i="1"/>
  <c r="M743" i="1" s="1"/>
  <c r="R743" i="1" s="1"/>
  <c r="J746" i="1"/>
  <c r="M746" i="1" s="1"/>
  <c r="R746" i="1" s="1"/>
  <c r="J749" i="1"/>
  <c r="M749" i="1" s="1"/>
  <c r="R749" i="1" s="1"/>
  <c r="J750" i="1"/>
  <c r="M750" i="1" s="1"/>
  <c r="R750" i="1" s="1"/>
  <c r="J751" i="1"/>
  <c r="M751" i="1" s="1"/>
  <c r="R751" i="1" s="1"/>
  <c r="J752" i="1"/>
  <c r="M752" i="1" s="1"/>
  <c r="R752" i="1" s="1"/>
  <c r="J753" i="1"/>
  <c r="M753" i="1" s="1"/>
  <c r="R753" i="1" s="1"/>
  <c r="J755" i="1"/>
  <c r="M755" i="1" s="1"/>
  <c r="R755" i="1" s="1"/>
  <c r="J756" i="1"/>
  <c r="M756" i="1" s="1"/>
  <c r="R756" i="1" s="1"/>
  <c r="J759" i="1"/>
  <c r="M759" i="1" s="1"/>
  <c r="R759" i="1" s="1"/>
  <c r="J761" i="1"/>
  <c r="M761" i="1" s="1"/>
  <c r="R761" i="1" s="1"/>
  <c r="J762" i="1"/>
  <c r="M762" i="1" s="1"/>
  <c r="R762" i="1" s="1"/>
  <c r="J763" i="1"/>
  <c r="M763" i="1" s="1"/>
  <c r="R763" i="1" s="1"/>
  <c r="J764" i="1"/>
  <c r="M764" i="1" s="1"/>
  <c r="R764" i="1" s="1"/>
  <c r="J766" i="1"/>
  <c r="M766" i="1" s="1"/>
  <c r="R766" i="1" s="1"/>
  <c r="J767" i="1"/>
  <c r="M767" i="1" s="1"/>
  <c r="R767" i="1" s="1"/>
  <c r="J768" i="1"/>
  <c r="M768" i="1" s="1"/>
  <c r="R768" i="1" s="1"/>
  <c r="J769" i="1"/>
  <c r="M769" i="1" s="1"/>
  <c r="R769" i="1" s="1"/>
  <c r="J774" i="1"/>
  <c r="M774" i="1" s="1"/>
  <c r="R774" i="1" s="1"/>
  <c r="J777" i="1"/>
  <c r="M777" i="1" s="1"/>
  <c r="R777" i="1" s="1"/>
  <c r="J779" i="1"/>
  <c r="M779" i="1" s="1"/>
  <c r="R779" i="1" s="1"/>
  <c r="J786" i="1"/>
  <c r="M786" i="1" s="1"/>
  <c r="R786" i="1" s="1"/>
  <c r="J791" i="1"/>
  <c r="M791" i="1" s="1"/>
  <c r="R791" i="1" s="1"/>
  <c r="J795" i="1"/>
  <c r="M795" i="1" s="1"/>
  <c r="R795" i="1" s="1"/>
  <c r="J798" i="1"/>
  <c r="M798" i="1" s="1"/>
  <c r="R798" i="1" s="1"/>
  <c r="J801" i="1"/>
  <c r="M801" i="1" s="1"/>
  <c r="R801" i="1" s="1"/>
  <c r="J802" i="1"/>
  <c r="M802" i="1" s="1"/>
  <c r="R802" i="1" s="1"/>
  <c r="J813" i="1"/>
  <c r="M813" i="1" s="1"/>
  <c r="R813" i="1" s="1"/>
  <c r="J814" i="1"/>
  <c r="M814" i="1" s="1"/>
  <c r="R814" i="1" s="1"/>
  <c r="J837" i="1"/>
  <c r="M837" i="1" s="1"/>
  <c r="R837" i="1" s="1"/>
  <c r="J860" i="1"/>
  <c r="M860" i="1" s="1"/>
  <c r="R860" i="1" s="1"/>
  <c r="J1080" i="1"/>
  <c r="M1080" i="1" s="1"/>
  <c r="R1080" i="1" s="1"/>
  <c r="J757" i="1"/>
  <c r="M757" i="1" s="1"/>
  <c r="R757" i="1" s="1"/>
  <c r="J771" i="1"/>
  <c r="M771" i="1" s="1"/>
  <c r="R771" i="1" s="1"/>
  <c r="J773" i="1"/>
  <c r="M773" i="1" s="1"/>
  <c r="R773" i="1" s="1"/>
  <c r="J778" i="1"/>
  <c r="M778" i="1" s="1"/>
  <c r="R778" i="1" s="1"/>
  <c r="J780" i="1"/>
  <c r="M780" i="1" s="1"/>
  <c r="R780" i="1" s="1"/>
  <c r="J781" i="1"/>
  <c r="M781" i="1" s="1"/>
  <c r="R781" i="1" s="1"/>
  <c r="J785" i="1"/>
  <c r="M785" i="1" s="1"/>
  <c r="R785" i="1" s="1"/>
  <c r="J792" i="1"/>
  <c r="M792" i="1" s="1"/>
  <c r="R792" i="1" s="1"/>
  <c r="J793" i="1"/>
  <c r="M793" i="1" s="1"/>
  <c r="R793" i="1" s="1"/>
  <c r="J794" i="1"/>
  <c r="M794" i="1" s="1"/>
  <c r="R794" i="1" s="1"/>
  <c r="J796" i="1"/>
  <c r="M796" i="1" s="1"/>
  <c r="R796" i="1" s="1"/>
  <c r="J799" i="1"/>
  <c r="M799" i="1" s="1"/>
  <c r="R799" i="1" s="1"/>
  <c r="J800" i="1"/>
  <c r="M800" i="1" s="1"/>
  <c r="R800" i="1" s="1"/>
  <c r="J803" i="1"/>
  <c r="M803" i="1" s="1"/>
  <c r="R803" i="1" s="1"/>
  <c r="J804" i="1"/>
  <c r="M804" i="1" s="1"/>
  <c r="R804" i="1" s="1"/>
  <c r="J805" i="1"/>
  <c r="M805" i="1" s="1"/>
  <c r="R805" i="1" s="1"/>
  <c r="J808" i="1"/>
  <c r="M808" i="1" s="1"/>
  <c r="R808" i="1" s="1"/>
  <c r="J810" i="1"/>
  <c r="M810" i="1" s="1"/>
  <c r="R810" i="1" s="1"/>
  <c r="J811" i="1"/>
  <c r="M811" i="1" s="1"/>
  <c r="R811" i="1" s="1"/>
  <c r="J812" i="1"/>
  <c r="M812" i="1" s="1"/>
  <c r="R812" i="1" s="1"/>
  <c r="J816" i="1"/>
  <c r="M816" i="1" s="1"/>
  <c r="R816" i="1" s="1"/>
  <c r="J817" i="1"/>
  <c r="M817" i="1" s="1"/>
  <c r="R817" i="1" s="1"/>
  <c r="J818" i="1"/>
  <c r="M818" i="1" s="1"/>
  <c r="R818" i="1" s="1"/>
  <c r="J819" i="1"/>
  <c r="M819" i="1" s="1"/>
  <c r="R819" i="1" s="1"/>
  <c r="J820" i="1"/>
  <c r="M820" i="1" s="1"/>
  <c r="R820" i="1" s="1"/>
  <c r="J821" i="1"/>
  <c r="M821" i="1" s="1"/>
  <c r="R821" i="1" s="1"/>
  <c r="J822" i="1"/>
  <c r="M822" i="1" s="1"/>
  <c r="R822" i="1" s="1"/>
  <c r="J823" i="1"/>
  <c r="M823" i="1" s="1"/>
  <c r="R823" i="1" s="1"/>
  <c r="J824" i="1"/>
  <c r="M824" i="1" s="1"/>
  <c r="R824" i="1" s="1"/>
  <c r="J826" i="1"/>
  <c r="M826" i="1" s="1"/>
  <c r="R826" i="1" s="1"/>
  <c r="J827" i="1"/>
  <c r="M827" i="1" s="1"/>
  <c r="R827" i="1" s="1"/>
  <c r="J828" i="1"/>
  <c r="M828" i="1" s="1"/>
  <c r="R828" i="1" s="1"/>
  <c r="J829" i="1"/>
  <c r="M829" i="1" s="1"/>
  <c r="R829" i="1" s="1"/>
  <c r="J830" i="1"/>
  <c r="M830" i="1" s="1"/>
  <c r="R830" i="1" s="1"/>
  <c r="J831" i="1"/>
  <c r="M831" i="1" s="1"/>
  <c r="R831" i="1" s="1"/>
  <c r="J832" i="1"/>
  <c r="M832" i="1" s="1"/>
  <c r="R832" i="1" s="1"/>
  <c r="J833" i="1"/>
  <c r="M833" i="1" s="1"/>
  <c r="R833" i="1" s="1"/>
  <c r="J834" i="1"/>
  <c r="M834" i="1" s="1"/>
  <c r="R834" i="1" s="1"/>
  <c r="J836" i="1"/>
  <c r="M836" i="1" s="1"/>
  <c r="R836" i="1" s="1"/>
  <c r="J838" i="1"/>
  <c r="M838" i="1" s="1"/>
  <c r="R838" i="1" s="1"/>
  <c r="J840" i="1"/>
  <c r="M840" i="1" s="1"/>
  <c r="R840" i="1" s="1"/>
  <c r="J841" i="1"/>
  <c r="M841" i="1" s="1"/>
  <c r="R841" i="1" s="1"/>
  <c r="J842" i="1"/>
  <c r="M842" i="1" s="1"/>
  <c r="R842" i="1" s="1"/>
  <c r="J843" i="1"/>
  <c r="M843" i="1" s="1"/>
  <c r="R843" i="1" s="1"/>
  <c r="J844" i="1"/>
  <c r="M844" i="1" s="1"/>
  <c r="R844" i="1" s="1"/>
  <c r="J845" i="1"/>
  <c r="M845" i="1" s="1"/>
  <c r="R845" i="1" s="1"/>
  <c r="J846" i="1"/>
  <c r="M846" i="1" s="1"/>
  <c r="R846" i="1" s="1"/>
  <c r="J847" i="1"/>
  <c r="M847" i="1" s="1"/>
  <c r="R847" i="1" s="1"/>
  <c r="J848" i="1"/>
  <c r="M848" i="1" s="1"/>
  <c r="R848" i="1" s="1"/>
  <c r="J849" i="1"/>
  <c r="M849" i="1" s="1"/>
  <c r="R849" i="1" s="1"/>
  <c r="J850" i="1"/>
  <c r="M850" i="1" s="1"/>
  <c r="R850" i="1" s="1"/>
  <c r="J851" i="1"/>
  <c r="M851" i="1" s="1"/>
  <c r="R851" i="1" s="1"/>
  <c r="J852" i="1"/>
  <c r="M852" i="1" s="1"/>
  <c r="R852" i="1" s="1"/>
  <c r="J853" i="1"/>
  <c r="M853" i="1" s="1"/>
  <c r="R853" i="1" s="1"/>
  <c r="J855" i="1"/>
  <c r="M855" i="1" s="1"/>
  <c r="R855" i="1" s="1"/>
  <c r="J857" i="1"/>
  <c r="M857" i="1" s="1"/>
  <c r="R857" i="1" s="1"/>
  <c r="J858" i="1"/>
  <c r="M858" i="1" s="1"/>
  <c r="R858" i="1" s="1"/>
  <c r="J859" i="1"/>
  <c r="M859" i="1" s="1"/>
  <c r="R859" i="1" s="1"/>
  <c r="J861" i="1"/>
  <c r="M861" i="1" s="1"/>
  <c r="R861" i="1" s="1"/>
  <c r="J862" i="1"/>
  <c r="M862" i="1" s="1"/>
  <c r="R862" i="1" s="1"/>
  <c r="J863" i="1"/>
  <c r="M863" i="1" s="1"/>
  <c r="R863" i="1" s="1"/>
  <c r="J866" i="1"/>
  <c r="M866" i="1" s="1"/>
  <c r="R866" i="1" s="1"/>
  <c r="J867" i="1"/>
  <c r="M867" i="1" s="1"/>
  <c r="R867" i="1" s="1"/>
  <c r="J868" i="1"/>
  <c r="M868" i="1" s="1"/>
  <c r="R868" i="1" s="1"/>
  <c r="J870" i="1"/>
  <c r="M870" i="1" s="1"/>
  <c r="R870" i="1" s="1"/>
  <c r="J871" i="1"/>
  <c r="M871" i="1" s="1"/>
  <c r="R871" i="1" s="1"/>
  <c r="J872" i="1"/>
  <c r="M872" i="1" s="1"/>
  <c r="R872" i="1" s="1"/>
  <c r="J877" i="1"/>
  <c r="M877" i="1" s="1"/>
  <c r="R877" i="1" s="1"/>
  <c r="J881" i="1"/>
  <c r="M881" i="1" s="1"/>
  <c r="R881" i="1" s="1"/>
  <c r="J882" i="1"/>
  <c r="M882" i="1" s="1"/>
  <c r="R882" i="1" s="1"/>
  <c r="J883" i="1"/>
  <c r="M883" i="1" s="1"/>
  <c r="R883" i="1" s="1"/>
  <c r="J887" i="1"/>
  <c r="M887" i="1" s="1"/>
  <c r="R887" i="1" s="1"/>
  <c r="J923" i="1"/>
  <c r="M923" i="1" s="1"/>
  <c r="R923" i="1" s="1"/>
  <c r="J1110" i="1"/>
  <c r="M1110" i="1" s="1"/>
  <c r="R1110" i="1" s="1"/>
  <c r="J1153" i="1"/>
  <c r="M1153" i="1" s="1"/>
  <c r="R1153" i="1" s="1"/>
  <c r="J1158" i="1"/>
  <c r="M1158" i="1" s="1"/>
  <c r="R1158" i="1" s="1"/>
  <c r="J1318" i="1"/>
  <c r="M1318" i="1" s="1"/>
  <c r="R1318" i="1" s="1"/>
  <c r="J1504" i="1"/>
  <c r="M1504" i="1" s="1"/>
  <c r="R1504" i="1" s="1"/>
  <c r="J1555" i="1"/>
  <c r="M1555" i="1" s="1"/>
  <c r="R1555" i="1" s="1"/>
  <c r="J581" i="1"/>
  <c r="J577" i="1"/>
  <c r="M577" i="1" s="1"/>
  <c r="R577" i="1" s="1"/>
  <c r="J580" i="1"/>
  <c r="M580" i="1" s="1"/>
  <c r="R580" i="1" s="1"/>
  <c r="M581" i="1"/>
  <c r="R581" i="1" s="1"/>
  <c r="J571" i="1"/>
  <c r="M571" i="1" s="1"/>
  <c r="R571" i="1" s="1"/>
  <c r="J575" i="1"/>
  <c r="M575" i="1" s="1"/>
  <c r="R575" i="1" s="1"/>
  <c r="J576" i="1"/>
  <c r="M576" i="1" s="1"/>
  <c r="R576" i="1" s="1"/>
  <c r="J579" i="1"/>
  <c r="M579" i="1" s="1"/>
  <c r="R579" i="1" s="1"/>
  <c r="J578" i="1"/>
  <c r="M578" i="1" s="1"/>
  <c r="R578" i="1" s="1"/>
  <c r="J559" i="1"/>
  <c r="M559" i="1" s="1"/>
  <c r="R559" i="1" s="1"/>
  <c r="J560" i="1"/>
  <c r="M560" i="1" s="1"/>
  <c r="R560" i="1" s="1"/>
  <c r="J561" i="1"/>
  <c r="M561" i="1" s="1"/>
  <c r="R561" i="1" s="1"/>
  <c r="J562" i="1"/>
  <c r="M562" i="1" s="1"/>
  <c r="R562" i="1" s="1"/>
  <c r="J563" i="1"/>
  <c r="M563" i="1" s="1"/>
  <c r="R563" i="1" s="1"/>
  <c r="J569" i="1"/>
  <c r="M569" i="1" s="1"/>
  <c r="R569" i="1" s="1"/>
  <c r="J573" i="1"/>
  <c r="M573" i="1" s="1"/>
  <c r="R573" i="1" s="1"/>
  <c r="J574" i="1"/>
  <c r="M574" i="1" s="1"/>
  <c r="R574" i="1" s="1"/>
  <c r="J570" i="1"/>
  <c r="M570" i="1" s="1"/>
  <c r="R570" i="1" s="1"/>
  <c r="J572" i="1"/>
  <c r="M572" i="1" s="1"/>
  <c r="R572" i="1" s="1"/>
  <c r="J1933" i="1"/>
  <c r="M1933" i="1" s="1"/>
  <c r="R1933" i="1" s="1"/>
  <c r="J16" i="1"/>
  <c r="J985" i="1"/>
  <c r="M985" i="1" s="1"/>
  <c r="J34" i="1"/>
  <c r="M34" i="1" s="1"/>
  <c r="J33" i="1"/>
  <c r="M33" i="1" s="1"/>
  <c r="J32" i="1"/>
  <c r="M32" i="1" s="1"/>
  <c r="J31" i="1"/>
  <c r="M31" i="1" s="1"/>
  <c r="J29" i="1"/>
  <c r="M29" i="1" s="1"/>
  <c r="J25" i="1"/>
  <c r="M25" i="1" s="1"/>
  <c r="J17" i="1"/>
  <c r="M17" i="1" s="1"/>
  <c r="M16" i="1"/>
  <c r="R16" i="1" s="1"/>
  <c r="J65" i="1"/>
  <c r="M65" i="1" s="1"/>
  <c r="R65" i="1" s="1"/>
  <c r="J64" i="1"/>
  <c r="M64" i="1" s="1"/>
  <c r="R64" i="1" s="1"/>
  <c r="J2" i="1"/>
  <c r="M2" i="1" s="1"/>
  <c r="R2" i="1" s="1"/>
  <c r="J4" i="1"/>
  <c r="M4" i="1" s="1"/>
  <c r="R4" i="1" s="1"/>
  <c r="J3" i="1"/>
  <c r="M3" i="1" s="1"/>
  <c r="R3" i="1" s="1"/>
  <c r="J63" i="1"/>
  <c r="M63" i="1" s="1"/>
  <c r="R63" i="1" s="1"/>
  <c r="J62" i="1"/>
  <c r="M62" i="1" s="1"/>
  <c r="R62" i="1" s="1"/>
  <c r="J60" i="1"/>
  <c r="M60" i="1" s="1"/>
  <c r="R60" i="1" s="1"/>
  <c r="J59" i="1"/>
  <c r="M59" i="1" s="1"/>
  <c r="R59" i="1" s="1"/>
  <c r="J58" i="1"/>
  <c r="M58" i="1" s="1"/>
  <c r="R58" i="1" s="1"/>
  <c r="J57" i="1"/>
  <c r="M57" i="1" s="1"/>
  <c r="R57" i="1" s="1"/>
  <c r="J56" i="1"/>
  <c r="M56" i="1" s="1"/>
  <c r="R56" i="1" s="1"/>
  <c r="J55" i="1"/>
  <c r="M55" i="1" s="1"/>
  <c r="R55" i="1" s="1"/>
  <c r="J54" i="1"/>
  <c r="M54" i="1" s="1"/>
  <c r="R54" i="1" s="1"/>
  <c r="J53" i="1"/>
  <c r="M53" i="1" s="1"/>
  <c r="R53" i="1" s="1"/>
  <c r="J52" i="1"/>
  <c r="M52" i="1" s="1"/>
  <c r="R52" i="1" s="1"/>
  <c r="J51" i="1"/>
  <c r="M51" i="1" s="1"/>
  <c r="R51" i="1" s="1"/>
  <c r="J50" i="1"/>
  <c r="M50" i="1" s="1"/>
  <c r="R50" i="1" s="1"/>
  <c r="J49" i="1"/>
  <c r="M49" i="1" s="1"/>
  <c r="R49" i="1" s="1"/>
  <c r="J48" i="1"/>
  <c r="M48" i="1" s="1"/>
  <c r="R48" i="1" s="1"/>
  <c r="J47" i="1"/>
  <c r="M47" i="1" s="1"/>
  <c r="R47" i="1" s="1"/>
  <c r="J46" i="1"/>
  <c r="M46" i="1" s="1"/>
  <c r="R46" i="1" s="1"/>
  <c r="J45" i="1"/>
  <c r="M45" i="1" s="1"/>
  <c r="R45" i="1" s="1"/>
  <c r="J44" i="1"/>
  <c r="M44" i="1" s="1"/>
  <c r="R44" i="1" s="1"/>
  <c r="J43" i="1"/>
  <c r="M43" i="1" s="1"/>
  <c r="R43" i="1" s="1"/>
  <c r="J42" i="1"/>
  <c r="M42" i="1" s="1"/>
  <c r="R42" i="1" s="1"/>
  <c r="J41" i="1"/>
  <c r="M41" i="1" s="1"/>
  <c r="R41" i="1" s="1"/>
  <c r="J40" i="1"/>
  <c r="M40" i="1" s="1"/>
  <c r="R40" i="1" s="1"/>
  <c r="J39" i="1"/>
  <c r="M39" i="1" s="1"/>
  <c r="R39" i="1" s="1"/>
  <c r="J38" i="1"/>
  <c r="M38" i="1" s="1"/>
  <c r="R38" i="1" s="1"/>
  <c r="J37" i="1"/>
  <c r="M37" i="1" s="1"/>
  <c r="R37" i="1" s="1"/>
  <c r="J36" i="1"/>
  <c r="M36" i="1" s="1"/>
  <c r="R36" i="1" s="1"/>
  <c r="J35" i="1"/>
  <c r="M35" i="1" s="1"/>
  <c r="R35" i="1" s="1"/>
  <c r="J15" i="1"/>
  <c r="M15" i="1" s="1"/>
  <c r="R15" i="1" s="1"/>
  <c r="J555" i="1"/>
  <c r="M555" i="1" s="1"/>
  <c r="R555" i="1" s="1"/>
  <c r="J30" i="1"/>
  <c r="M30" i="1" s="1"/>
  <c r="R30" i="1" s="1"/>
  <c r="J66" i="1"/>
  <c r="M66" i="1" s="1"/>
  <c r="R66" i="1" s="1"/>
  <c r="J28" i="1"/>
  <c r="M28" i="1" s="1"/>
  <c r="R28" i="1" s="1"/>
  <c r="J27" i="1"/>
  <c r="M27" i="1" s="1"/>
  <c r="R27" i="1" s="1"/>
  <c r="J26" i="1"/>
  <c r="M26" i="1" s="1"/>
  <c r="R26" i="1" s="1"/>
  <c r="J24" i="1"/>
  <c r="M24" i="1" s="1"/>
  <c r="R24" i="1" s="1"/>
  <c r="J23" i="1"/>
  <c r="M23" i="1" s="1"/>
  <c r="R23" i="1" s="1"/>
  <c r="J22" i="1"/>
  <c r="M22" i="1" s="1"/>
  <c r="R22" i="1" s="1"/>
  <c r="J21" i="1"/>
  <c r="M21" i="1" s="1"/>
  <c r="R21" i="1" s="1"/>
  <c r="J20" i="1"/>
  <c r="M20" i="1" s="1"/>
  <c r="R20" i="1" s="1"/>
  <c r="J19" i="1"/>
  <c r="M19" i="1" s="1"/>
  <c r="R19" i="1" s="1"/>
  <c r="J554" i="1"/>
  <c r="M554" i="1" s="1"/>
  <c r="R554" i="1" s="1"/>
  <c r="J18" i="1"/>
  <c r="M18" i="1" s="1"/>
  <c r="R18" i="1" s="1"/>
  <c r="J12" i="1"/>
  <c r="M12" i="1" s="1"/>
  <c r="R12" i="1" s="1"/>
  <c r="J11" i="1"/>
  <c r="M11" i="1" s="1"/>
  <c r="R11" i="1" s="1"/>
  <c r="J10" i="1"/>
  <c r="M10" i="1" s="1"/>
  <c r="R10" i="1" s="1"/>
  <c r="J9" i="1"/>
  <c r="M9" i="1" s="1"/>
  <c r="R9" i="1" s="1"/>
  <c r="J5" i="1"/>
  <c r="M5" i="1" s="1"/>
  <c r="R5" i="1" s="1"/>
  <c r="J6" i="1"/>
  <c r="M6" i="1" s="1"/>
  <c r="R6" i="1" s="1"/>
  <c r="J14" i="1"/>
  <c r="M14" i="1" s="1"/>
  <c r="R14" i="1" s="1"/>
  <c r="J13" i="1"/>
  <c r="M13" i="1" s="1"/>
  <c r="R13" i="1" s="1"/>
  <c r="R34" i="1"/>
  <c r="R33" i="1"/>
  <c r="R32" i="1"/>
  <c r="R31" i="1"/>
  <c r="R29" i="1"/>
  <c r="R25" i="1"/>
  <c r="R17" i="1"/>
  <c r="J542" i="1"/>
  <c r="M542" i="1" s="1"/>
  <c r="R542" i="1" s="1"/>
  <c r="J379" i="1"/>
  <c r="M379" i="1" s="1"/>
  <c r="R379" i="1" s="1"/>
  <c r="J333" i="1"/>
  <c r="M333" i="1" s="1"/>
  <c r="R333" i="1" s="1"/>
  <c r="J284" i="1"/>
  <c r="M284" i="1" s="1"/>
  <c r="R284" i="1" s="1"/>
  <c r="J422" i="1"/>
  <c r="M422" i="1"/>
  <c r="R422" i="1" s="1"/>
  <c r="J148" i="1"/>
  <c r="M148" i="1" s="1"/>
  <c r="J894" i="1"/>
  <c r="M894" i="1" s="1"/>
  <c r="J337" i="1"/>
  <c r="M337" i="1" s="1"/>
  <c r="R337" i="1" s="1"/>
  <c r="J481" i="1"/>
  <c r="M481" i="1" s="1"/>
  <c r="R481" i="1" s="1"/>
  <c r="J421" i="1"/>
  <c r="M421" i="1" s="1"/>
  <c r="R421" i="1" s="1"/>
  <c r="J419" i="1"/>
  <c r="M419" i="1" s="1"/>
  <c r="R419" i="1" s="1"/>
  <c r="J418" i="1"/>
  <c r="M418" i="1" s="1"/>
  <c r="R418" i="1" s="1"/>
  <c r="J417" i="1"/>
  <c r="M417" i="1" s="1"/>
  <c r="R417" i="1" s="1"/>
  <c r="J415" i="1"/>
  <c r="M415" i="1" s="1"/>
  <c r="R415" i="1" s="1"/>
  <c r="J414" i="1"/>
  <c r="M414" i="1" s="1"/>
  <c r="R414" i="1" s="1"/>
  <c r="J413" i="1"/>
  <c r="M413" i="1" s="1"/>
  <c r="R413" i="1" s="1"/>
  <c r="J360" i="1"/>
  <c r="M360" i="1" s="1"/>
  <c r="R360" i="1" s="1"/>
  <c r="J357" i="1"/>
  <c r="M357" i="1" s="1"/>
  <c r="R357" i="1" s="1"/>
  <c r="J347" i="1"/>
  <c r="M347" i="1" s="1"/>
  <c r="R347" i="1" s="1"/>
  <c r="J341" i="1"/>
  <c r="M341" i="1" s="1"/>
  <c r="R341" i="1" s="1"/>
  <c r="J327" i="1"/>
  <c r="M327" i="1" s="1"/>
  <c r="R327" i="1" s="1"/>
  <c r="J314" i="1"/>
  <c r="M314" i="1" s="1"/>
  <c r="R314" i="1" s="1"/>
  <c r="J310" i="1"/>
  <c r="M310" i="1" s="1"/>
  <c r="R310" i="1" s="1"/>
  <c r="J308" i="1"/>
  <c r="M308" i="1" s="1"/>
  <c r="R308" i="1" s="1"/>
  <c r="J304" i="1"/>
  <c r="M304" i="1" s="1"/>
  <c r="R304" i="1" s="1"/>
  <c r="J300" i="1"/>
  <c r="M300" i="1" s="1"/>
  <c r="R300" i="1" s="1"/>
  <c r="J297" i="1"/>
  <c r="M297" i="1" s="1"/>
  <c r="R297" i="1" s="1"/>
  <c r="J292" i="1"/>
  <c r="M292" i="1" s="1"/>
  <c r="R292" i="1" s="1"/>
  <c r="J279" i="1"/>
  <c r="M279" i="1" s="1"/>
  <c r="R279" i="1" s="1"/>
  <c r="J274" i="1"/>
  <c r="M274" i="1" s="1"/>
  <c r="R274" i="1" s="1"/>
  <c r="J270" i="1"/>
  <c r="M270" i="1" s="1"/>
  <c r="R270" i="1" s="1"/>
  <c r="J252" i="1"/>
  <c r="M252" i="1" s="1"/>
  <c r="R252" i="1" s="1"/>
  <c r="J247" i="1"/>
  <c r="M247" i="1" s="1"/>
  <c r="R247" i="1" s="1"/>
  <c r="J243" i="1"/>
  <c r="M243" i="1" s="1"/>
  <c r="R243" i="1" s="1"/>
  <c r="J234" i="1"/>
  <c r="M234" i="1" s="1"/>
  <c r="R234" i="1" s="1"/>
  <c r="J229" i="1"/>
  <c r="M229" i="1" s="1"/>
  <c r="R229" i="1" s="1"/>
  <c r="J225" i="1"/>
  <c r="M225" i="1" s="1"/>
  <c r="R225" i="1" s="1"/>
  <c r="J219" i="1"/>
  <c r="M219" i="1" s="1"/>
  <c r="R219" i="1" s="1"/>
  <c r="J211" i="1"/>
  <c r="M211" i="1" s="1"/>
  <c r="R211" i="1" s="1"/>
  <c r="J205" i="1"/>
  <c r="M205" i="1" s="1"/>
  <c r="R205" i="1" s="1"/>
  <c r="J203" i="1"/>
  <c r="M203" i="1" s="1"/>
  <c r="R203" i="1" s="1"/>
  <c r="J198" i="1"/>
  <c r="M198" i="1" s="1"/>
  <c r="R198" i="1" s="1"/>
  <c r="J195" i="1"/>
  <c r="M195" i="1" s="1"/>
  <c r="R195" i="1" s="1"/>
  <c r="J191" i="1"/>
  <c r="M191" i="1" s="1"/>
  <c r="R191" i="1" s="1"/>
  <c r="J184" i="1"/>
  <c r="M184" i="1" s="1"/>
  <c r="R184" i="1" s="1"/>
  <c r="J176" i="1"/>
  <c r="M176" i="1" s="1"/>
  <c r="R176" i="1" s="1"/>
  <c r="J173" i="1"/>
  <c r="M173" i="1" s="1"/>
  <c r="R173" i="1" s="1"/>
  <c r="J168" i="1"/>
  <c r="M168" i="1" s="1"/>
  <c r="R168" i="1" s="1"/>
  <c r="J166" i="1"/>
  <c r="M166" i="1" s="1"/>
  <c r="R166" i="1" s="1"/>
  <c r="J163" i="1"/>
  <c r="M163" i="1" s="1"/>
  <c r="R163" i="1" s="1"/>
  <c r="J159" i="1"/>
  <c r="M159" i="1" s="1"/>
  <c r="R159" i="1" s="1"/>
  <c r="J155" i="1"/>
  <c r="M155" i="1" s="1"/>
  <c r="R155" i="1" s="1"/>
  <c r="J143" i="1"/>
  <c r="M143" i="1" s="1"/>
  <c r="R143" i="1" s="1"/>
  <c r="J139" i="1"/>
  <c r="M139" i="1" s="1"/>
  <c r="R139" i="1" s="1"/>
  <c r="J125" i="1"/>
  <c r="M125" i="1" s="1"/>
  <c r="R125" i="1" s="1"/>
  <c r="J124" i="1"/>
  <c r="M124" i="1" s="1"/>
  <c r="R124" i="1" s="1"/>
  <c r="J123" i="1"/>
  <c r="M123" i="1" s="1"/>
  <c r="R123" i="1" s="1"/>
  <c r="J122" i="1"/>
  <c r="M122" i="1" s="1"/>
  <c r="R122" i="1" s="1"/>
  <c r="J121" i="1"/>
  <c r="M121" i="1" s="1"/>
  <c r="R121" i="1" s="1"/>
  <c r="J120" i="1"/>
  <c r="M120" i="1" s="1"/>
  <c r="R120" i="1" s="1"/>
  <c r="J118" i="1"/>
  <c r="M118" i="1" s="1"/>
  <c r="R118" i="1" s="1"/>
  <c r="J117" i="1"/>
  <c r="M117" i="1" s="1"/>
  <c r="R117" i="1" s="1"/>
  <c r="J116" i="1"/>
  <c r="M116" i="1" s="1"/>
  <c r="R116" i="1" s="1"/>
  <c r="J115" i="1"/>
  <c r="M115" i="1" s="1"/>
  <c r="R115" i="1" s="1"/>
  <c r="J114" i="1"/>
  <c r="M114" i="1" s="1"/>
  <c r="R114" i="1" s="1"/>
  <c r="J113" i="1"/>
  <c r="M113" i="1" s="1"/>
  <c r="R113" i="1" s="1"/>
  <c r="J112" i="1"/>
  <c r="M112" i="1" s="1"/>
  <c r="R112" i="1" s="1"/>
  <c r="J111" i="1"/>
  <c r="M111" i="1" s="1"/>
  <c r="R111" i="1" s="1"/>
  <c r="J110" i="1"/>
  <c r="M110" i="1" s="1"/>
  <c r="R110" i="1" s="1"/>
  <c r="J108" i="1"/>
  <c r="M108" i="1" s="1"/>
  <c r="R108" i="1" s="1"/>
  <c r="J106" i="1"/>
  <c r="M106" i="1" s="1"/>
  <c r="R106" i="1" s="1"/>
  <c r="J105" i="1"/>
  <c r="M105" i="1" s="1"/>
  <c r="R105" i="1" s="1"/>
  <c r="J104" i="1"/>
  <c r="M104" i="1" s="1"/>
  <c r="R104" i="1" s="1"/>
  <c r="J101" i="1"/>
  <c r="M101" i="1" s="1"/>
  <c r="R101" i="1" s="1"/>
  <c r="J97" i="1"/>
  <c r="M97" i="1" s="1"/>
  <c r="R97" i="1" s="1"/>
  <c r="J94" i="1"/>
  <c r="M94" i="1" s="1"/>
  <c r="R94" i="1" s="1"/>
  <c r="J89" i="1"/>
  <c r="M89" i="1" s="1"/>
  <c r="R89" i="1" s="1"/>
  <c r="J88" i="1"/>
  <c r="M88" i="1" s="1"/>
  <c r="R88" i="1" s="1"/>
  <c r="J87" i="1"/>
  <c r="M87" i="1" s="1"/>
  <c r="R87" i="1" s="1"/>
  <c r="J85" i="1"/>
  <c r="M85" i="1" s="1"/>
  <c r="R85" i="1" s="1"/>
  <c r="J81" i="1"/>
  <c r="M81" i="1" s="1"/>
  <c r="R81" i="1" s="1"/>
  <c r="J77" i="1"/>
  <c r="M77" i="1" s="1"/>
  <c r="R77" i="1" s="1"/>
  <c r="J73" i="1"/>
  <c r="M73" i="1" s="1"/>
  <c r="R73" i="1" s="1"/>
  <c r="J71" i="1"/>
  <c r="M71" i="1" s="1"/>
  <c r="R71" i="1" s="1"/>
  <c r="J69" i="1"/>
  <c r="M69" i="1" s="1"/>
  <c r="R69" i="1" s="1"/>
  <c r="J537" i="1"/>
  <c r="M537" i="1" s="1"/>
  <c r="R537" i="1" s="1"/>
  <c r="J535" i="1"/>
  <c r="M535" i="1" s="1"/>
  <c r="R535" i="1" s="1"/>
  <c r="J534" i="1"/>
  <c r="M534" i="1" s="1"/>
  <c r="R534" i="1" s="1"/>
  <c r="J533" i="1"/>
  <c r="M533" i="1" s="1"/>
  <c r="R533" i="1" s="1"/>
  <c r="J529" i="1"/>
  <c r="M529" i="1" s="1"/>
  <c r="R529" i="1" s="1"/>
  <c r="J526" i="1"/>
  <c r="M526" i="1" s="1"/>
  <c r="R526" i="1" s="1"/>
  <c r="J524" i="1"/>
  <c r="M524" i="1" s="1"/>
  <c r="R524" i="1" s="1"/>
  <c r="J520" i="1"/>
  <c r="M520" i="1" s="1"/>
  <c r="R520" i="1" s="1"/>
  <c r="J517" i="1"/>
  <c r="M517" i="1" s="1"/>
  <c r="R517" i="1" s="1"/>
  <c r="J514" i="1"/>
  <c r="M514" i="1" s="1"/>
  <c r="R514" i="1" s="1"/>
  <c r="J512" i="1"/>
  <c r="M512" i="1" s="1"/>
  <c r="R512" i="1" s="1"/>
  <c r="J509" i="1"/>
  <c r="M509" i="1" s="1"/>
  <c r="R509" i="1" s="1"/>
  <c r="J505" i="1"/>
  <c r="M505" i="1" s="1"/>
  <c r="R505" i="1" s="1"/>
  <c r="J499" i="1"/>
  <c r="M499" i="1" s="1"/>
  <c r="R499" i="1" s="1"/>
  <c r="J497" i="1"/>
  <c r="M497" i="1" s="1"/>
  <c r="R497" i="1" s="1"/>
  <c r="J495" i="1"/>
  <c r="M495" i="1" s="1"/>
  <c r="R495" i="1" s="1"/>
  <c r="J486" i="1"/>
  <c r="M486" i="1" s="1"/>
  <c r="R486" i="1" s="1"/>
  <c r="J477" i="1"/>
  <c r="M477" i="1" s="1"/>
  <c r="R477" i="1" s="1"/>
  <c r="J475" i="1"/>
  <c r="M475" i="1" s="1"/>
  <c r="R475" i="1" s="1"/>
  <c r="J463" i="1"/>
  <c r="M463" i="1" s="1"/>
  <c r="R463" i="1" s="1"/>
  <c r="J460" i="1"/>
  <c r="M460" i="1" s="1"/>
  <c r="R460" i="1" s="1"/>
  <c r="J458" i="1"/>
  <c r="M458" i="1" s="1"/>
  <c r="R458" i="1" s="1"/>
  <c r="J454" i="1"/>
  <c r="M454" i="1" s="1"/>
  <c r="R454" i="1" s="1"/>
  <c r="J450" i="1"/>
  <c r="M450" i="1" s="1"/>
  <c r="R450" i="1" s="1"/>
  <c r="J447" i="1"/>
  <c r="M447" i="1" s="1"/>
  <c r="R447" i="1" s="1"/>
  <c r="J446" i="1"/>
  <c r="M446" i="1" s="1"/>
  <c r="R446" i="1" s="1"/>
  <c r="J445" i="1"/>
  <c r="M445" i="1" s="1"/>
  <c r="R445" i="1" s="1"/>
  <c r="J443" i="1"/>
  <c r="M443" i="1" s="1"/>
  <c r="R443" i="1" s="1"/>
  <c r="J440" i="1"/>
  <c r="M440" i="1" s="1"/>
  <c r="R440" i="1" s="1"/>
  <c r="J437" i="1"/>
  <c r="M437" i="1" s="1"/>
  <c r="R437" i="1" s="1"/>
  <c r="J434" i="1"/>
  <c r="M434" i="1" s="1"/>
  <c r="R434" i="1" s="1"/>
  <c r="J433" i="1"/>
  <c r="M433" i="1" s="1"/>
  <c r="R433" i="1" s="1"/>
  <c r="J430" i="1"/>
  <c r="M430" i="1" s="1"/>
  <c r="R430" i="1" s="1"/>
  <c r="J426" i="1"/>
  <c r="M426" i="1" s="1"/>
  <c r="R426" i="1" s="1"/>
  <c r="J412" i="1"/>
  <c r="M412" i="1" s="1"/>
  <c r="R412" i="1" s="1"/>
  <c r="J411" i="1"/>
  <c r="M411" i="1" s="1"/>
  <c r="R411" i="1" s="1"/>
  <c r="J409" i="1"/>
  <c r="M409" i="1" s="1"/>
  <c r="R409" i="1" s="1"/>
  <c r="J405" i="1"/>
  <c r="M405" i="1" s="1"/>
  <c r="R405" i="1" s="1"/>
  <c r="J403" i="1"/>
  <c r="M403" i="1" s="1"/>
  <c r="R403" i="1" s="1"/>
  <c r="J402" i="1"/>
  <c r="M402" i="1" s="1"/>
  <c r="R402" i="1" s="1"/>
  <c r="J401" i="1"/>
  <c r="M401" i="1" s="1"/>
  <c r="R401" i="1" s="1"/>
  <c r="J400" i="1"/>
  <c r="M400" i="1" s="1"/>
  <c r="R400" i="1" s="1"/>
  <c r="J399" i="1"/>
  <c r="M399" i="1" s="1"/>
  <c r="R399" i="1" s="1"/>
  <c r="J2250" i="1"/>
  <c r="M2250" i="1" s="1"/>
  <c r="J2231" i="1"/>
  <c r="M2231" i="1" s="1"/>
  <c r="J588" i="1"/>
  <c r="M588" i="1" s="1"/>
  <c r="J2165" i="1"/>
  <c r="M2165" i="1" s="1"/>
  <c r="J2141" i="1"/>
  <c r="M2141" i="1" s="1"/>
  <c r="J556" i="1"/>
  <c r="M556" i="1" s="1"/>
  <c r="J2113" i="1"/>
  <c r="M2113" i="1" s="1"/>
  <c r="J2097" i="1"/>
  <c r="M2097" i="1" s="1"/>
  <c r="J2015" i="1"/>
  <c r="M2015" i="1" s="1"/>
  <c r="J2041" i="1"/>
  <c r="M2041" i="1" s="1"/>
  <c r="J1363" i="1"/>
  <c r="M1363" i="1" s="1"/>
  <c r="J1784" i="1"/>
  <c r="M1784" i="1" s="1"/>
  <c r="J2008" i="1"/>
  <c r="M2008" i="1" s="1"/>
  <c r="J1995" i="1"/>
  <c r="M1995" i="1" s="1"/>
  <c r="J1986" i="1"/>
  <c r="M1986" i="1" s="1"/>
  <c r="J2184" i="1"/>
  <c r="M2184" i="1" s="1"/>
  <c r="R2184" i="1" s="1"/>
  <c r="J1992" i="1"/>
  <c r="M1992" i="1" s="1"/>
  <c r="R1992" i="1" s="1"/>
  <c r="J1949" i="1"/>
  <c r="M1949" i="1" s="1"/>
  <c r="R1949" i="1" s="1"/>
  <c r="J1926" i="1"/>
  <c r="M1926" i="1" s="1"/>
  <c r="R1926" i="1" s="1"/>
  <c r="J1919" i="1"/>
  <c r="M1919" i="1" s="1"/>
  <c r="R1919" i="1" s="1"/>
  <c r="J1908" i="1"/>
  <c r="M1908" i="1" s="1"/>
  <c r="R1908" i="1" s="1"/>
  <c r="J1891" i="1"/>
  <c r="M1891" i="1" s="1"/>
  <c r="R1891" i="1" s="1"/>
  <c r="J1883" i="1"/>
  <c r="M1883" i="1" s="1"/>
  <c r="R1883" i="1" s="1"/>
  <c r="J1939" i="1"/>
  <c r="M1939" i="1" s="1"/>
  <c r="R1939" i="1" s="1"/>
  <c r="J1935" i="1"/>
  <c r="M1935" i="1" s="1"/>
  <c r="R1935" i="1" s="1"/>
  <c r="J1865" i="1"/>
  <c r="M1865" i="1" s="1"/>
  <c r="R1865" i="1" s="1"/>
  <c r="J1855" i="1"/>
  <c r="M1855" i="1" s="1"/>
  <c r="R1855" i="1" s="1"/>
  <c r="J1847" i="1"/>
  <c r="M1847" i="1" s="1"/>
  <c r="R1847" i="1" s="1"/>
  <c r="J342" i="1"/>
  <c r="M342" i="1" s="1"/>
  <c r="R342" i="1" s="1"/>
  <c r="J1307" i="1"/>
  <c r="M1307" i="1" s="1"/>
  <c r="R1307" i="1" s="1"/>
  <c r="J325" i="1"/>
  <c r="M325" i="1" s="1"/>
  <c r="R325" i="1" s="1"/>
  <c r="J2197" i="1"/>
  <c r="M2197" i="1" s="1"/>
  <c r="R2197" i="1" s="1"/>
  <c r="J2172" i="1"/>
  <c r="M2172" i="1" s="1"/>
  <c r="R2172" i="1" s="1"/>
  <c r="J990" i="1"/>
  <c r="M990" i="1" s="1"/>
  <c r="R990" i="1" s="1"/>
  <c r="J395" i="1"/>
  <c r="M395" i="1" s="1"/>
  <c r="R395" i="1" s="1"/>
  <c r="J1268" i="1"/>
  <c r="M1268" i="1" s="1"/>
  <c r="R1268" i="1" s="1"/>
  <c r="J388" i="1"/>
  <c r="M388" i="1" s="1"/>
  <c r="R388" i="1" s="1"/>
  <c r="J1018" i="1"/>
  <c r="M1018" i="1" s="1"/>
  <c r="R1018" i="1" s="1"/>
  <c r="J1693" i="1"/>
  <c r="M1693" i="1" s="1"/>
  <c r="R1693" i="1" s="1"/>
  <c r="J1686" i="1"/>
  <c r="M1686" i="1" s="1"/>
  <c r="R1686" i="1" s="1"/>
  <c r="J705" i="1"/>
  <c r="M705" i="1" s="1"/>
  <c r="R705" i="1" s="1"/>
  <c r="J1127" i="1"/>
  <c r="M1127" i="1" s="1"/>
  <c r="R1127" i="1" s="1"/>
  <c r="J2255" i="1"/>
  <c r="M2255" i="1" s="1"/>
  <c r="R2255" i="1" s="1"/>
  <c r="J2236" i="1"/>
  <c r="M2236" i="1" s="1"/>
  <c r="R2236" i="1" s="1"/>
  <c r="J1206" i="1"/>
  <c r="M1206" i="1" s="1"/>
  <c r="R1206" i="1" s="1"/>
  <c r="J1201" i="1"/>
  <c r="M1201" i="1" s="1"/>
  <c r="R1201" i="1" s="1"/>
  <c r="J1197" i="1"/>
  <c r="M1197" i="1" s="1"/>
  <c r="R1197" i="1" s="1"/>
  <c r="J854" i="1"/>
  <c r="M854" i="1" s="1"/>
  <c r="R854" i="1" s="1"/>
  <c r="J1597" i="1"/>
  <c r="M1597" i="1" s="1"/>
  <c r="R1597" i="1" s="1"/>
  <c r="J1648" i="1"/>
  <c r="M1648" i="1" s="1"/>
  <c r="R1648" i="1" s="1"/>
  <c r="J1620" i="1"/>
  <c r="M1620" i="1" s="1"/>
  <c r="R1620" i="1" s="1"/>
  <c r="J1705" i="1"/>
  <c r="M1705" i="1" s="1"/>
  <c r="R1705" i="1" s="1"/>
  <c r="J1805" i="1"/>
  <c r="M1805" i="1" s="1"/>
  <c r="R1805" i="1" s="1"/>
  <c r="J1592" i="1"/>
  <c r="M1592" i="1" s="1"/>
  <c r="R1592" i="1" s="1"/>
  <c r="J1462" i="1"/>
  <c r="M1462" i="1" s="1"/>
  <c r="R1462" i="1" s="1"/>
  <c r="J1456" i="1"/>
  <c r="M1456" i="1" s="1"/>
  <c r="R1456" i="1" s="1"/>
  <c r="J1448" i="1"/>
  <c r="M1448" i="1" s="1"/>
  <c r="R1448" i="1" s="1"/>
  <c r="J1429" i="1"/>
  <c r="M1429" i="1" s="1"/>
  <c r="R1429" i="1" s="1"/>
  <c r="J1412" i="1"/>
  <c r="M1412" i="1" s="1"/>
  <c r="R1412" i="1" s="1"/>
  <c r="J1408" i="1"/>
  <c r="M1408" i="1" s="1"/>
  <c r="R1408" i="1" s="1"/>
  <c r="J1393" i="1"/>
  <c r="M1393" i="1" s="1"/>
  <c r="R1393" i="1" s="1"/>
  <c r="J1376" i="1"/>
  <c r="M1376" i="1" s="1"/>
  <c r="R1376" i="1" s="1"/>
  <c r="J1370" i="1"/>
  <c r="M1370" i="1" s="1"/>
  <c r="R1370" i="1" s="1"/>
  <c r="J464" i="1"/>
  <c r="M464" i="1" s="1"/>
  <c r="R464" i="1" s="1"/>
  <c r="J2010" i="1"/>
  <c r="M2010" i="1" s="1"/>
  <c r="R2010" i="1" s="1"/>
  <c r="J886" i="1"/>
  <c r="M886" i="1" s="1"/>
  <c r="R886" i="1" s="1"/>
  <c r="J1452" i="1"/>
  <c r="M1452" i="1" s="1"/>
  <c r="R1452" i="1" s="1"/>
  <c r="J1399" i="1"/>
  <c r="M1399" i="1" s="1"/>
  <c r="R1399" i="1" s="1"/>
  <c r="J2117" i="1"/>
  <c r="M2117" i="1" s="1"/>
  <c r="R2117" i="1" s="1"/>
  <c r="J1341" i="1"/>
  <c r="M1341" i="1" s="1"/>
  <c r="R1341" i="1" s="1"/>
  <c r="J1242" i="1"/>
  <c r="M1242" i="1" s="1"/>
  <c r="R1242" i="1" s="1"/>
  <c r="J427" i="1"/>
  <c r="M427" i="1" s="1"/>
  <c r="R427" i="1" s="1"/>
  <c r="J2098" i="1"/>
  <c r="M2098" i="1" s="1"/>
  <c r="R2098" i="1" s="1"/>
  <c r="J1491" i="1"/>
  <c r="M1491" i="1" s="1"/>
  <c r="R1491" i="1" s="1"/>
  <c r="J491" i="1"/>
  <c r="M491" i="1" s="1"/>
  <c r="R491" i="1" s="1"/>
  <c r="J1640" i="1"/>
  <c r="M1640" i="1" s="1"/>
  <c r="R1640" i="1" s="1"/>
  <c r="J1633" i="1"/>
  <c r="M1633" i="1" s="1"/>
  <c r="R1633" i="1" s="1"/>
  <c r="J1618" i="1"/>
  <c r="M1618" i="1" s="1"/>
  <c r="R1618" i="1" s="1"/>
  <c r="J1400" i="1"/>
  <c r="M1400" i="1" s="1"/>
  <c r="R1400" i="1" s="1"/>
  <c r="J1281" i="1"/>
  <c r="M1281" i="1" s="1"/>
  <c r="R1281" i="1" s="1"/>
  <c r="J1319" i="1"/>
  <c r="M1319" i="1" s="1"/>
  <c r="R1319" i="1" s="1"/>
  <c r="J1298" i="1"/>
  <c r="M1298" i="1" s="1"/>
  <c r="R1298" i="1" s="1"/>
  <c r="J1293" i="1"/>
  <c r="M1293" i="1" s="1"/>
  <c r="R1293" i="1" s="1"/>
  <c r="J1288" i="1"/>
  <c r="M1288" i="1" s="1"/>
  <c r="R1288" i="1" s="1"/>
  <c r="J1279" i="1"/>
  <c r="M1279" i="1" s="1"/>
  <c r="R1279" i="1" s="1"/>
  <c r="J1274" i="1"/>
  <c r="M1274" i="1" s="1"/>
  <c r="R1274" i="1" s="1"/>
  <c r="J1270" i="1"/>
  <c r="M1270" i="1" s="1"/>
  <c r="R1270" i="1" s="1"/>
  <c r="J1253" i="1"/>
  <c r="M1253" i="1" s="1"/>
  <c r="R1253" i="1" s="1"/>
  <c r="J1233" i="1"/>
  <c r="M1233" i="1" s="1"/>
  <c r="R1233" i="1" s="1"/>
  <c r="J1228" i="1"/>
  <c r="M1228" i="1" s="1"/>
  <c r="R1228" i="1" s="1"/>
  <c r="J1223" i="1"/>
  <c r="M1223" i="1" s="1"/>
  <c r="R1223" i="1" s="1"/>
  <c r="J1219" i="1"/>
  <c r="M1219" i="1" s="1"/>
  <c r="R1219" i="1" s="1"/>
  <c r="D8" i="2"/>
  <c r="D28" i="2"/>
  <c r="D29" i="2"/>
  <c r="D9" i="2"/>
  <c r="D10" i="2"/>
  <c r="J328" i="1" l="1"/>
  <c r="M328" i="1" s="1"/>
  <c r="J177" i="1"/>
  <c r="M177" i="1" s="1"/>
  <c r="J134" i="1"/>
  <c r="M134" i="1" s="1"/>
  <c r="J1404" i="1"/>
  <c r="M1404" i="1" s="1"/>
  <c r="J1334" i="1"/>
  <c r="M1334" i="1" s="1"/>
  <c r="J408" i="1"/>
  <c r="M408" i="1" s="1"/>
  <c r="J449" i="1"/>
  <c r="M449" i="1" s="1"/>
  <c r="J2252" i="1"/>
  <c r="M2252" i="1" s="1"/>
  <c r="J2233" i="1"/>
  <c r="M2233" i="1" s="1"/>
  <c r="J2152" i="1"/>
  <c r="M2152" i="1" s="1"/>
  <c r="J2191" i="1"/>
  <c r="M2191" i="1" s="1"/>
  <c r="J2178" i="1"/>
  <c r="M2178" i="1" s="1"/>
  <c r="J2115" i="1"/>
  <c r="M2115" i="1" s="1"/>
  <c r="J2100" i="1"/>
  <c r="M2100" i="1" s="1"/>
  <c r="J2086" i="1"/>
  <c r="M2086" i="1" s="1"/>
  <c r="J2071" i="1"/>
  <c r="M2071" i="1" s="1"/>
  <c r="J2203" i="1"/>
  <c r="M2203" i="1" s="1"/>
  <c r="J2134" i="1"/>
  <c r="M2134" i="1" s="1"/>
  <c r="J2058" i="1"/>
  <c r="M2058" i="1" s="1"/>
  <c r="J2043" i="1"/>
  <c r="M2043" i="1" s="1"/>
  <c r="J2013" i="1"/>
  <c r="M2013" i="1" s="1"/>
  <c r="J1997" i="1"/>
  <c r="M1997" i="1" s="1"/>
  <c r="J1976" i="1"/>
  <c r="M1976" i="1" s="1"/>
  <c r="J1962" i="1"/>
  <c r="M1962" i="1" s="1"/>
  <c r="J1941" i="1"/>
  <c r="M1941" i="1" s="1"/>
  <c r="J1936" i="1"/>
  <c r="M1936" i="1" s="1"/>
  <c r="J1931" i="1"/>
  <c r="M1931" i="1" s="1"/>
  <c r="J1912" i="1"/>
  <c r="M1912" i="1" s="1"/>
  <c r="J1886" i="1"/>
  <c r="M1886" i="1" s="1"/>
  <c r="J1875" i="1"/>
  <c r="M1875" i="1" s="1"/>
  <c r="J1840" i="1"/>
  <c r="M1840" i="1" s="1"/>
  <c r="J1921" i="1"/>
  <c r="M1921" i="1" s="1"/>
  <c r="J1823" i="1"/>
  <c r="M1823" i="1" s="1"/>
  <c r="J1814" i="1"/>
  <c r="M1814" i="1" s="1"/>
  <c r="J1807" i="1"/>
  <c r="M1807" i="1" s="1"/>
  <c r="J1798" i="1"/>
  <c r="M1798" i="1" s="1"/>
  <c r="J1791" i="1"/>
  <c r="M1791" i="1" s="1"/>
  <c r="J1780" i="1"/>
  <c r="M1780" i="1" s="1"/>
  <c r="J1772" i="1"/>
  <c r="M1772" i="1" s="1"/>
  <c r="J1765" i="1"/>
  <c r="M1765" i="1" s="1"/>
  <c r="J1759" i="1"/>
  <c r="M1759" i="1" s="1"/>
  <c r="J1752" i="1"/>
  <c r="M1752" i="1" s="1"/>
  <c r="J1748" i="1"/>
  <c r="M1748" i="1" s="1"/>
  <c r="J1741" i="1"/>
  <c r="M1741" i="1" s="1"/>
  <c r="J1731" i="1"/>
  <c r="M1731" i="1" s="1"/>
  <c r="J1723" i="1"/>
  <c r="M1723" i="1" s="1"/>
  <c r="J1717" i="1"/>
  <c r="M1717" i="1" s="1"/>
  <c r="J1708" i="1"/>
  <c r="M1708" i="1" s="1"/>
  <c r="J1700" i="1"/>
  <c r="M1700" i="1" s="1"/>
  <c r="J1694" i="1"/>
  <c r="M1694" i="1" s="1"/>
  <c r="J1687" i="1"/>
  <c r="M1687" i="1" s="1"/>
  <c r="J1679" i="1"/>
  <c r="M1679" i="1" s="1"/>
  <c r="J1673" i="1"/>
  <c r="M1673" i="1" s="1"/>
  <c r="J1653" i="1"/>
  <c r="M1653" i="1" s="1"/>
  <c r="J1641" i="1"/>
  <c r="M1641" i="1" s="1"/>
  <c r="J1621" i="1"/>
  <c r="M1621" i="1" s="1"/>
  <c r="J1613" i="1"/>
  <c r="M1613" i="1" s="1"/>
  <c r="J1609" i="1"/>
  <c r="M1609" i="1" s="1"/>
  <c r="J1602" i="1"/>
  <c r="M1602" i="1" s="1"/>
  <c r="J1584" i="1"/>
  <c r="M1584" i="1" s="1"/>
  <c r="J1575" i="1"/>
  <c r="M1575" i="1" s="1"/>
  <c r="J1566" i="1"/>
  <c r="M1566" i="1" s="1"/>
  <c r="J1558" i="1"/>
  <c r="M1558" i="1" s="1"/>
  <c r="J1535" i="1"/>
  <c r="M1535" i="1" s="1"/>
  <c r="J1528" i="1"/>
  <c r="M1528" i="1" s="1"/>
  <c r="J1522" i="1"/>
  <c r="M1522" i="1" s="1"/>
  <c r="J1506" i="1"/>
  <c r="M1506" i="1" s="1"/>
  <c r="J1498" i="1"/>
  <c r="M1498" i="1" s="1"/>
  <c r="J1490" i="1"/>
  <c r="M1490" i="1" s="1"/>
  <c r="J1483" i="1"/>
  <c r="M1483" i="1" s="1"/>
  <c r="J1475" i="1"/>
  <c r="M1475" i="1" s="1"/>
  <c r="J1458" i="1"/>
  <c r="M1458" i="1" s="1"/>
  <c r="J1419" i="1"/>
  <c r="M1419" i="1" s="1"/>
  <c r="J1548" i="1"/>
  <c r="M1548" i="1" s="1"/>
  <c r="J1469" i="1"/>
  <c r="M1469" i="1" s="1"/>
  <c r="J1463" i="1"/>
  <c r="M1463" i="1" s="1"/>
  <c r="J1449" i="1"/>
  <c r="M1449" i="1" s="1"/>
  <c r="J1442" i="1"/>
  <c r="M1442" i="1" s="1"/>
  <c r="J1424" i="1"/>
  <c r="M1424" i="1" s="1"/>
  <c r="J1415" i="1"/>
  <c r="M1415" i="1" s="1"/>
  <c r="J1401" i="1"/>
  <c r="M1401" i="1" s="1"/>
  <c r="J1394" i="1"/>
  <c r="M1394" i="1" s="1"/>
  <c r="J1389" i="1"/>
  <c r="M1389" i="1" s="1"/>
  <c r="J1371" i="1"/>
  <c r="M1371" i="1" s="1"/>
  <c r="J1364" i="1"/>
  <c r="M1364" i="1" s="1"/>
  <c r="J1356" i="1"/>
  <c r="M1356" i="1" s="1"/>
  <c r="J1346" i="1"/>
  <c r="M1346" i="1" s="1"/>
  <c r="J1342" i="1"/>
  <c r="M1342" i="1" s="1"/>
  <c r="J1328" i="1"/>
  <c r="M1328" i="1" s="1"/>
  <c r="J1320" i="1"/>
  <c r="M1320" i="1" s="1"/>
  <c r="J1352" i="1"/>
  <c r="M1352" i="1" s="1"/>
  <c r="J1316" i="1"/>
  <c r="M1316" i="1" s="1"/>
  <c r="J1310" i="1"/>
  <c r="M1310" i="1" s="1"/>
  <c r="J1299" i="1"/>
  <c r="M1299" i="1" s="1"/>
  <c r="J1294" i="1"/>
  <c r="M1294" i="1" s="1"/>
  <c r="J1284" i="1"/>
  <c r="M1284" i="1" s="1"/>
  <c r="J1280" i="1"/>
  <c r="M1280" i="1" s="1"/>
  <c r="J1272" i="1"/>
  <c r="M1272" i="1" s="1"/>
  <c r="J1265" i="1"/>
  <c r="M1265" i="1" s="1"/>
  <c r="J1244" i="1"/>
  <c r="M1244" i="1" s="1"/>
  <c r="J1238" i="1"/>
  <c r="M1238" i="1" s="1"/>
  <c r="J2073" i="1"/>
  <c r="M2073" i="1" s="1"/>
  <c r="J1568" i="1"/>
  <c r="M1568" i="1" s="1"/>
  <c r="J1303" i="1"/>
  <c r="M1303" i="1" s="1"/>
  <c r="J1289" i="1"/>
  <c r="M1289" i="1" s="1"/>
  <c r="J1249" i="1"/>
  <c r="M1249" i="1" s="1"/>
  <c r="J1212" i="1"/>
  <c r="M1212" i="1" s="1"/>
  <c r="J1136" i="1"/>
  <c r="M1136" i="1" s="1"/>
  <c r="J1111" i="1"/>
  <c r="M1111" i="1" s="1"/>
  <c r="J1099" i="1"/>
  <c r="M1099" i="1" s="1"/>
  <c r="J1059" i="1"/>
  <c r="M1059" i="1" s="1"/>
  <c r="J1046" i="1"/>
  <c r="M1046" i="1" s="1"/>
  <c r="J1022" i="1"/>
  <c r="M1022" i="1" s="1"/>
  <c r="J1012" i="1"/>
  <c r="M1012" i="1" s="1"/>
  <c r="J1001" i="1"/>
  <c r="M1001" i="1" s="1"/>
  <c r="J977" i="1"/>
  <c r="M977" i="1" s="1"/>
  <c r="J970" i="1"/>
  <c r="M970" i="1" s="1"/>
  <c r="J966" i="1"/>
  <c r="M966" i="1" s="1"/>
  <c r="J964" i="1"/>
  <c r="M964" i="1" s="1"/>
  <c r="J958" i="1"/>
  <c r="M958" i="1" s="1"/>
  <c r="J1107" i="1"/>
  <c r="M1107" i="1" s="1"/>
  <c r="J1093" i="1"/>
  <c r="M1093" i="1" s="1"/>
  <c r="J1072" i="1"/>
  <c r="M1072" i="1" s="1"/>
  <c r="J1065" i="1"/>
  <c r="M1065" i="1" s="1"/>
  <c r="J975" i="1"/>
  <c r="M975" i="1" s="1"/>
  <c r="J973" i="1"/>
  <c r="M973" i="1" s="1"/>
  <c r="J960" i="1"/>
  <c r="M960" i="1" s="1"/>
  <c r="J953" i="1"/>
  <c r="M953" i="1" s="1"/>
  <c r="J946" i="1"/>
  <c r="M946" i="1" s="1"/>
  <c r="J943" i="1"/>
  <c r="M943" i="1" s="1"/>
  <c r="J938" i="1"/>
  <c r="M938" i="1" s="1"/>
  <c r="J932" i="1"/>
  <c r="M932" i="1" s="1"/>
  <c r="J1068" i="1"/>
  <c r="M1068" i="1" s="1"/>
  <c r="J1051" i="1"/>
  <c r="M1051" i="1" s="1"/>
  <c r="J1029" i="1"/>
  <c r="M1029" i="1" s="1"/>
  <c r="J952" i="1"/>
  <c r="M952" i="1" s="1"/>
  <c r="J925" i="1"/>
  <c r="M925" i="1" s="1"/>
  <c r="J919" i="1"/>
  <c r="M919" i="1" s="1"/>
  <c r="J909" i="1"/>
  <c r="M909" i="1" s="1"/>
  <c r="J1173" i="1"/>
  <c r="M1173" i="1" s="1"/>
  <c r="J1168" i="1"/>
  <c r="M1168" i="1" s="1"/>
  <c r="J1085" i="1"/>
  <c r="M1085" i="1" s="1"/>
  <c r="J951" i="1"/>
  <c r="M951" i="1" s="1"/>
  <c r="J936" i="1"/>
  <c r="M936" i="1" s="1"/>
  <c r="J934" i="1"/>
  <c r="M934" i="1" s="1"/>
  <c r="J929" i="1"/>
  <c r="M929" i="1" s="1"/>
  <c r="J915" i="1"/>
  <c r="M915" i="1" s="1"/>
  <c r="J911" i="1"/>
  <c r="M911" i="1" s="1"/>
  <c r="J907" i="1"/>
  <c r="M907" i="1" s="1"/>
  <c r="J905" i="1"/>
  <c r="M905" i="1" s="1"/>
  <c r="J888" i="1"/>
  <c r="M888" i="1" s="1"/>
  <c r="J885" i="1"/>
  <c r="M885" i="1" s="1"/>
  <c r="J880" i="1"/>
  <c r="M880" i="1" s="1"/>
  <c r="J876" i="1"/>
  <c r="M876" i="1" s="1"/>
  <c r="J2251" i="1"/>
  <c r="M2251" i="1" s="1"/>
  <c r="J2232" i="1"/>
  <c r="M2232" i="1" s="1"/>
  <c r="J2217" i="1"/>
  <c r="M2217" i="1" s="1"/>
  <c r="J2190" i="1"/>
  <c r="M2190" i="1" s="1"/>
  <c r="J2153" i="1"/>
  <c r="M2153" i="1" s="1"/>
  <c r="J2133" i="1"/>
  <c r="M2133" i="1" s="1"/>
  <c r="J2114" i="1"/>
  <c r="M2114" i="1" s="1"/>
  <c r="J2085" i="1"/>
  <c r="M2085" i="1" s="1"/>
  <c r="J2057" i="1"/>
  <c r="M2057" i="1" s="1"/>
  <c r="J2042" i="1"/>
  <c r="M2042" i="1" s="1"/>
  <c r="J2030" i="1"/>
  <c r="M2030" i="1" s="1"/>
  <c r="J2012" i="1"/>
  <c r="M2012" i="1" s="1"/>
  <c r="J1996" i="1"/>
  <c r="M1996" i="1" s="1"/>
  <c r="J1975" i="1"/>
  <c r="M1975" i="1" s="1"/>
  <c r="J1961" i="1"/>
  <c r="M1961" i="1" s="1"/>
  <c r="J1951" i="1"/>
  <c r="M1951" i="1" s="1"/>
  <c r="J1930" i="1"/>
  <c r="M1930" i="1" s="1"/>
  <c r="J1857" i="1"/>
  <c r="M1857" i="1" s="1"/>
  <c r="J1848" i="1"/>
  <c r="M1848" i="1" s="1"/>
  <c r="J1828" i="1"/>
  <c r="M1828" i="1" s="1"/>
  <c r="J1806" i="1"/>
  <c r="M1806" i="1" s="1"/>
  <c r="J1797" i="1"/>
  <c r="M1797" i="1" s="1"/>
  <c r="J1789" i="1"/>
  <c r="M1789" i="1" s="1"/>
  <c r="J1779" i="1"/>
  <c r="M1779" i="1" s="1"/>
  <c r="J1771" i="1"/>
  <c r="M1771" i="1" s="1"/>
  <c r="J1747" i="1"/>
  <c r="M1747" i="1" s="1"/>
  <c r="J1740" i="1"/>
  <c r="M1740" i="1" s="1"/>
  <c r="J1730" i="1"/>
  <c r="M1730" i="1" s="1"/>
  <c r="J1722" i="1"/>
  <c r="M1722" i="1" s="1"/>
  <c r="J1716" i="1"/>
  <c r="M1716" i="1" s="1"/>
  <c r="J1706" i="1"/>
  <c r="M1706" i="1" s="1"/>
  <c r="J1699" i="1"/>
  <c r="M1699" i="1" s="1"/>
  <c r="J1685" i="1"/>
  <c r="M1685" i="1" s="1"/>
  <c r="J1678" i="1"/>
  <c r="M1678" i="1" s="1"/>
  <c r="J1666" i="1"/>
  <c r="M1666" i="1" s="1"/>
  <c r="J1662" i="1"/>
  <c r="M1662" i="1" s="1"/>
  <c r="J1658" i="1"/>
  <c r="M1658" i="1" s="1"/>
  <c r="J1649" i="1"/>
  <c r="M1649" i="1" s="1"/>
  <c r="J1630" i="1"/>
  <c r="M1630" i="1" s="1"/>
  <c r="J1625" i="1"/>
  <c r="M1625" i="1" s="1"/>
  <c r="J1619" i="1"/>
  <c r="M1619" i="1" s="1"/>
  <c r="J1608" i="1"/>
  <c r="M1608" i="1" s="1"/>
  <c r="J1600" i="1"/>
  <c r="M1600" i="1" s="1"/>
  <c r="J1593" i="1"/>
  <c r="M1593" i="1" s="1"/>
  <c r="J1588" i="1"/>
  <c r="M1588" i="1" s="1"/>
  <c r="J1582" i="1"/>
  <c r="M1582" i="1" s="1"/>
  <c r="J1574" i="1"/>
  <c r="M1574" i="1" s="1"/>
  <c r="J1565" i="1"/>
  <c r="M1565" i="1" s="1"/>
  <c r="J1556" i="1"/>
  <c r="M1556" i="1" s="1"/>
  <c r="J1547" i="1"/>
  <c r="M1547" i="1" s="1"/>
  <c r="J1541" i="1"/>
  <c r="M1541" i="1" s="1"/>
  <c r="J1534" i="1"/>
  <c r="M1534" i="1" s="1"/>
  <c r="J1527" i="1"/>
  <c r="M1527" i="1" s="1"/>
  <c r="J1521" i="1"/>
  <c r="M1521" i="1" s="1"/>
  <c r="J1509" i="1"/>
  <c r="M1509" i="1" s="1"/>
  <c r="J1505" i="1"/>
  <c r="M1505" i="1" s="1"/>
  <c r="J1496" i="1"/>
  <c r="M1496" i="1" s="1"/>
  <c r="J1489" i="1"/>
  <c r="M1489" i="1" s="1"/>
  <c r="J1482" i="1"/>
  <c r="M1482" i="1" s="1"/>
  <c r="J1474" i="1"/>
  <c r="M1474" i="1" s="1"/>
  <c r="J1468" i="1"/>
  <c r="M1468" i="1" s="1"/>
  <c r="J1457" i="1"/>
  <c r="M1457" i="1" s="1"/>
  <c r="J1437" i="1"/>
  <c r="M1437" i="1" s="1"/>
  <c r="J1430" i="1"/>
  <c r="M1430" i="1" s="1"/>
  <c r="J1423" i="1"/>
  <c r="M1423" i="1" s="1"/>
  <c r="J1418" i="1"/>
  <c r="M1418" i="1" s="1"/>
  <c r="J1414" i="1"/>
  <c r="M1414" i="1" s="1"/>
  <c r="J1377" i="1"/>
  <c r="M1377" i="1" s="1"/>
  <c r="J1362" i="1"/>
  <c r="M1362" i="1" s="1"/>
  <c r="J1355" i="1"/>
  <c r="M1355" i="1" s="1"/>
  <c r="J1335" i="1"/>
  <c r="M1335" i="1" s="1"/>
  <c r="J1315" i="1"/>
  <c r="M1315" i="1" s="1"/>
  <c r="J1309" i="1"/>
  <c r="M1309" i="1" s="1"/>
  <c r="J1302" i="1"/>
  <c r="M1302" i="1" s="1"/>
  <c r="J1275" i="1"/>
  <c r="M1275" i="1" s="1"/>
  <c r="J1271" i="1"/>
  <c r="M1271" i="1" s="1"/>
  <c r="J1258" i="1"/>
  <c r="M1258" i="1" s="1"/>
  <c r="J1652" i="1"/>
  <c r="M1652" i="1" s="1"/>
  <c r="R1652" i="1" s="1"/>
  <c r="J1243" i="1"/>
  <c r="M1243" i="1" s="1"/>
  <c r="J1234" i="1"/>
  <c r="M1234" i="1" s="1"/>
  <c r="R1234" i="1" s="1"/>
  <c r="J1229" i="1"/>
  <c r="M1229" i="1" s="1"/>
  <c r="R1229" i="1" s="1"/>
  <c r="J1224" i="1"/>
  <c r="M1224" i="1" s="1"/>
  <c r="R1224" i="1" s="1"/>
  <c r="J1211" i="1"/>
  <c r="M1211" i="1" s="1"/>
  <c r="J1207" i="1"/>
  <c r="M1207" i="1" s="1"/>
  <c r="R1207" i="1" s="1"/>
  <c r="J1187" i="1"/>
  <c r="M1187" i="1" s="1"/>
  <c r="R1187" i="1" s="1"/>
  <c r="J1167" i="1"/>
  <c r="M1167" i="1" s="1"/>
  <c r="R1167" i="1" s="1"/>
  <c r="J1163" i="1"/>
  <c r="M1163" i="1" s="1"/>
  <c r="J1159" i="1"/>
  <c r="M1159" i="1" s="1"/>
  <c r="R1159" i="1" s="1"/>
  <c r="J1154" i="1"/>
  <c r="M1154" i="1" s="1"/>
  <c r="R1154" i="1" s="1"/>
  <c r="J2246" i="1"/>
  <c r="M2246" i="1" s="1"/>
  <c r="J2066" i="1"/>
  <c r="M2066" i="1" s="1"/>
  <c r="J1959" i="1"/>
  <c r="M1959" i="1" s="1"/>
  <c r="J1927" i="1"/>
  <c r="M1927" i="1" s="1"/>
  <c r="J1899" i="1"/>
  <c r="M1899" i="1" s="1"/>
  <c r="J1884" i="1"/>
  <c r="M1884" i="1" s="1"/>
  <c r="J1839" i="1"/>
  <c r="M1839" i="1" s="1"/>
  <c r="J1818" i="1"/>
  <c r="M1818" i="1" s="1"/>
  <c r="J1802" i="1"/>
  <c r="M1802" i="1" s="1"/>
  <c r="J1795" i="1"/>
  <c r="M1795" i="1" s="1"/>
  <c r="J1786" i="1"/>
  <c r="M1786" i="1" s="1"/>
  <c r="J1777" i="1"/>
  <c r="M1777" i="1" s="1"/>
  <c r="J1757" i="1"/>
  <c r="M1757" i="1" s="1"/>
  <c r="J1745" i="1"/>
  <c r="M1745" i="1" s="1"/>
  <c r="J1736" i="1"/>
  <c r="M1736" i="1" s="1"/>
  <c r="J1728" i="1"/>
  <c r="M1728" i="1" s="1"/>
  <c r="J1714" i="1"/>
  <c r="M1714" i="1" s="1"/>
  <c r="J1704" i="1"/>
  <c r="M1704" i="1" s="1"/>
  <c r="J1698" i="1"/>
  <c r="M1698" i="1" s="1"/>
  <c r="J1691" i="1"/>
  <c r="M1691" i="1" s="1"/>
  <c r="J1683" i="1"/>
  <c r="M1683" i="1" s="1"/>
  <c r="J2213" i="1"/>
  <c r="M2213" i="1" s="1"/>
  <c r="J2161" i="1"/>
  <c r="M2161" i="1" s="1"/>
  <c r="J2109" i="1"/>
  <c r="M2109" i="1" s="1"/>
  <c r="J2095" i="1"/>
  <c r="M2095" i="1" s="1"/>
  <c r="J1984" i="1"/>
  <c r="M1984" i="1" s="1"/>
  <c r="J1892" i="1"/>
  <c r="M1892" i="1" s="1"/>
  <c r="J1866" i="1"/>
  <c r="M1866" i="1" s="1"/>
  <c r="J1856" i="1"/>
  <c r="M1856" i="1" s="1"/>
  <c r="J1813" i="1"/>
  <c r="M1813" i="1" s="1"/>
  <c r="J1769" i="1"/>
  <c r="M1769" i="1" s="1"/>
  <c r="J2142" i="1"/>
  <c r="M2142" i="1" s="1"/>
  <c r="J2125" i="1"/>
  <c r="M2125" i="1" s="1"/>
  <c r="J2079" i="1"/>
  <c r="M2079" i="1" s="1"/>
  <c r="J2054" i="1"/>
  <c r="M2054" i="1" s="1"/>
  <c r="J2029" i="1"/>
  <c r="M2029" i="1" s="1"/>
  <c r="J2022" i="1"/>
  <c r="M2022" i="1" s="1"/>
  <c r="J2005" i="1"/>
  <c r="M2005" i="1" s="1"/>
  <c r="J1972" i="1"/>
  <c r="M1972" i="1" s="1"/>
  <c r="J1671" i="1"/>
  <c r="M1671" i="1" s="1"/>
  <c r="J1664" i="1"/>
  <c r="M1664" i="1" s="1"/>
  <c r="J1661" i="1"/>
  <c r="M1661" i="1" s="1"/>
  <c r="J1657" i="1"/>
  <c r="M1657" i="1" s="1"/>
  <c r="J1646" i="1"/>
  <c r="M1646" i="1" s="1"/>
  <c r="J1637" i="1"/>
  <c r="M1637" i="1" s="1"/>
  <c r="J1606" i="1"/>
  <c r="M1606" i="1" s="1"/>
  <c r="J1596" i="1"/>
  <c r="M1596" i="1" s="1"/>
  <c r="J1553" i="1"/>
  <c r="M1553" i="1" s="1"/>
  <c r="J1526" i="1"/>
  <c r="M1526" i="1" s="1"/>
  <c r="J1518" i="1"/>
  <c r="M1518" i="1" s="1"/>
  <c r="J1502" i="1"/>
  <c r="M1502" i="1" s="1"/>
  <c r="J1495" i="1"/>
  <c r="M1495" i="1" s="1"/>
  <c r="J1480" i="1"/>
  <c r="M1480" i="1" s="1"/>
  <c r="J1472" i="1"/>
  <c r="M1472" i="1" s="1"/>
  <c r="J1455" i="1"/>
  <c r="M1455" i="1" s="1"/>
  <c r="J1447" i="1"/>
  <c r="M1447" i="1" s="1"/>
  <c r="J1441" i="1"/>
  <c r="M1441" i="1" s="1"/>
  <c r="J1434" i="1"/>
  <c r="M1434" i="1" s="1"/>
  <c r="J1406" i="1"/>
  <c r="M1406" i="1" s="1"/>
  <c r="J1392" i="1"/>
  <c r="M1392" i="1" s="1"/>
  <c r="J1383" i="1"/>
  <c r="M1383" i="1" s="1"/>
  <c r="J1369" i="1"/>
  <c r="M1369" i="1" s="1"/>
  <c r="J1350" i="1"/>
  <c r="M1350" i="1" s="1"/>
  <c r="J1344" i="1"/>
  <c r="M1344" i="1" s="1"/>
  <c r="J1339" i="1"/>
  <c r="M1339" i="1" s="1"/>
  <c r="J1332" i="1"/>
  <c r="M1332" i="1" s="1"/>
  <c r="J1313" i="1"/>
  <c r="M1313" i="1" s="1"/>
  <c r="J552" i="1"/>
  <c r="M552" i="1" s="1"/>
  <c r="J551" i="1"/>
  <c r="M551" i="1" s="1"/>
  <c r="J550" i="1"/>
  <c r="M550" i="1" s="1"/>
  <c r="J549" i="1"/>
  <c r="M549" i="1" s="1"/>
  <c r="J547" i="1"/>
  <c r="M547" i="1" s="1"/>
  <c r="J546" i="1"/>
  <c r="M546" i="1" s="1"/>
  <c r="J545" i="1"/>
  <c r="M545" i="1" s="1"/>
  <c r="J544" i="1"/>
  <c r="M544" i="1" s="1"/>
  <c r="J538" i="1"/>
  <c r="M538" i="1" s="1"/>
  <c r="J521" i="1"/>
  <c r="M521" i="1" s="1"/>
  <c r="J502" i="1"/>
  <c r="M502" i="1" s="1"/>
  <c r="J468" i="1"/>
  <c r="M468" i="1" s="1"/>
  <c r="J442" i="1"/>
  <c r="M442" i="1" s="1"/>
  <c r="J394" i="1"/>
  <c r="M394" i="1" s="1"/>
  <c r="J376" i="1"/>
  <c r="M376" i="1" s="1"/>
  <c r="J373" i="1"/>
  <c r="M373" i="1" s="1"/>
  <c r="J367" i="1"/>
  <c r="M367" i="1" s="1"/>
  <c r="J365" i="1"/>
  <c r="M365" i="1" s="1"/>
  <c r="J362" i="1"/>
  <c r="M362" i="1" s="1"/>
  <c r="J355" i="1"/>
  <c r="M355" i="1" s="1"/>
  <c r="J349" i="1"/>
  <c r="M349" i="1" s="1"/>
  <c r="J345" i="1"/>
  <c r="M345" i="1" s="1"/>
  <c r="J339" i="1"/>
  <c r="M339" i="1" s="1"/>
  <c r="J326" i="1"/>
  <c r="M326" i="1" s="1"/>
  <c r="J303" i="1"/>
  <c r="M303" i="1" s="1"/>
  <c r="J296" i="1"/>
  <c r="M296" i="1" s="1"/>
  <c r="J289" i="1"/>
  <c r="M289" i="1" s="1"/>
  <c r="J282" i="1"/>
  <c r="M282" i="1" s="1"/>
  <c r="J278" i="1"/>
  <c r="M278" i="1" s="1"/>
  <c r="J272" i="1"/>
  <c r="M272" i="1" s="1"/>
  <c r="J316" i="1"/>
  <c r="M316" i="1" s="1"/>
  <c r="J313" i="1"/>
  <c r="M313" i="1" s="1"/>
  <c r="J306" i="1"/>
  <c r="M306" i="1" s="1"/>
  <c r="J269" i="1"/>
  <c r="M269" i="1" s="1"/>
  <c r="J262" i="1"/>
  <c r="M262" i="1" s="1"/>
  <c r="J258" i="1"/>
  <c r="M258" i="1" s="1"/>
  <c r="J253" i="1"/>
  <c r="M253" i="1" s="1"/>
  <c r="J227" i="1"/>
  <c r="M227" i="1" s="1"/>
  <c r="J209" i="1"/>
  <c r="M209" i="1" s="1"/>
  <c r="J208" i="1"/>
  <c r="M208" i="1" s="1"/>
  <c r="J199" i="1"/>
  <c r="M199" i="1" s="1"/>
  <c r="J183" i="1"/>
  <c r="M183" i="1" s="1"/>
  <c r="J131" i="1"/>
  <c r="M131" i="1" s="1"/>
  <c r="J130" i="1"/>
  <c r="M130" i="1" s="1"/>
  <c r="J129" i="1"/>
  <c r="M129" i="1" s="1"/>
  <c r="J128" i="1"/>
  <c r="M128" i="1" s="1"/>
  <c r="J127" i="1"/>
  <c r="M127" i="1" s="1"/>
  <c r="J98" i="1"/>
  <c r="M98" i="1" s="1"/>
  <c r="J78" i="1"/>
  <c r="M78" i="1" s="1"/>
  <c r="J359" i="1"/>
  <c r="M359" i="1" s="1"/>
  <c r="J232" i="1"/>
  <c r="M232" i="1" s="1"/>
  <c r="J217" i="1"/>
  <c r="M217" i="1" s="1"/>
  <c r="J174" i="1"/>
  <c r="M174" i="1" s="1"/>
  <c r="J145" i="1"/>
  <c r="M145" i="1" s="1"/>
  <c r="J140" i="1"/>
  <c r="M140" i="1" s="1"/>
  <c r="J90" i="1"/>
  <c r="M90" i="1" s="1"/>
  <c r="J86" i="1"/>
  <c r="M86" i="1" s="1"/>
  <c r="J75" i="1"/>
  <c r="M75" i="1" s="1"/>
  <c r="J74" i="1"/>
  <c r="M74" i="1" s="1"/>
  <c r="J72" i="1"/>
  <c r="M72" i="1" s="1"/>
  <c r="J70" i="1"/>
  <c r="M70" i="1" s="1"/>
  <c r="J536" i="1"/>
  <c r="M536" i="1" s="1"/>
  <c r="J530" i="1"/>
  <c r="M530" i="1" s="1"/>
  <c r="J299" i="1"/>
  <c r="M299" i="1" s="1"/>
  <c r="R299" i="1" s="1"/>
  <c r="J249" i="1"/>
  <c r="M249" i="1" s="1"/>
  <c r="R249" i="1" s="1"/>
  <c r="J224" i="1"/>
  <c r="M224" i="1" s="1"/>
  <c r="R224" i="1" s="1"/>
  <c r="J190" i="1"/>
  <c r="M190" i="1" s="1"/>
  <c r="J172" i="1"/>
  <c r="M172" i="1" s="1"/>
  <c r="R172" i="1" s="1"/>
  <c r="J157" i="1"/>
  <c r="M157" i="1" s="1"/>
  <c r="R157" i="1" s="1"/>
  <c r="J96" i="1"/>
  <c r="M96" i="1" s="1"/>
  <c r="R96" i="1" s="1"/>
  <c r="J68" i="1"/>
  <c r="M68" i="1" s="1"/>
  <c r="J532" i="1"/>
  <c r="M532" i="1" s="1"/>
  <c r="R532" i="1" s="1"/>
  <c r="J528" i="1"/>
  <c r="M528" i="1" s="1"/>
  <c r="R528" i="1" s="1"/>
  <c r="J523" i="1"/>
  <c r="M523" i="1" s="1"/>
  <c r="R523" i="1" s="1"/>
  <c r="J516" i="1"/>
  <c r="M516" i="1" s="1"/>
  <c r="R516" i="1" s="1"/>
  <c r="J515" i="1"/>
  <c r="M515" i="1" s="1"/>
  <c r="R515" i="1" s="1"/>
  <c r="J511" i="1"/>
  <c r="M511" i="1" s="1"/>
  <c r="R511" i="1" s="1"/>
  <c r="J510" i="1"/>
  <c r="M510" i="1" s="1"/>
  <c r="R510" i="1" s="1"/>
  <c r="J504" i="1"/>
  <c r="M504" i="1" s="1"/>
  <c r="R504" i="1" s="1"/>
  <c r="J498" i="1"/>
  <c r="M498" i="1" s="1"/>
  <c r="R498" i="1" s="1"/>
  <c r="J494" i="1"/>
  <c r="M494" i="1" s="1"/>
  <c r="R494" i="1" s="1"/>
  <c r="J492" i="1"/>
  <c r="M492" i="1" s="1"/>
  <c r="R492" i="1" s="1"/>
  <c r="J242" i="1"/>
  <c r="M242" i="1" s="1"/>
  <c r="R242" i="1" s="1"/>
  <c r="J161" i="1"/>
  <c r="M161" i="1" s="1"/>
  <c r="R161" i="1" s="1"/>
  <c r="J151" i="1"/>
  <c r="M151" i="1" s="1"/>
  <c r="R151" i="1" s="1"/>
  <c r="J76" i="1"/>
  <c r="M76" i="1" s="1"/>
  <c r="R76" i="1" s="1"/>
  <c r="J525" i="1"/>
  <c r="M525" i="1" s="1"/>
  <c r="J508" i="1"/>
  <c r="M508" i="1" s="1"/>
  <c r="R508" i="1" s="1"/>
  <c r="J506" i="1"/>
  <c r="M506" i="1" s="1"/>
  <c r="R506" i="1" s="1"/>
  <c r="J496" i="1"/>
  <c r="M496" i="1" s="1"/>
  <c r="R496" i="1" s="1"/>
  <c r="J485" i="1"/>
  <c r="M485" i="1" s="1"/>
  <c r="R485" i="1" s="1"/>
  <c r="J479" i="1"/>
  <c r="M479" i="1" s="1"/>
  <c r="R479" i="1" s="1"/>
  <c r="J527" i="1"/>
  <c r="M527" i="1" s="1"/>
  <c r="R527" i="1" s="1"/>
  <c r="J519" i="1"/>
  <c r="M519" i="1" s="1"/>
  <c r="R519" i="1" s="1"/>
  <c r="J493" i="1"/>
  <c r="M493" i="1" s="1"/>
  <c r="R493" i="1" s="1"/>
  <c r="J488" i="1"/>
  <c r="M488" i="1" s="1"/>
  <c r="R488" i="1" s="1"/>
  <c r="J482" i="1"/>
  <c r="M482" i="1" s="1"/>
  <c r="R482" i="1" s="1"/>
  <c r="J476" i="1"/>
  <c r="M476" i="1" s="1"/>
  <c r="R476" i="1" s="1"/>
  <c r="J474" i="1"/>
  <c r="M474" i="1" s="1"/>
  <c r="R474" i="1" s="1"/>
  <c r="J473" i="1"/>
  <c r="M473" i="1" s="1"/>
  <c r="R473" i="1" s="1"/>
  <c r="J472" i="1"/>
  <c r="M472" i="1" s="1"/>
  <c r="R472" i="1" s="1"/>
  <c r="J471" i="1"/>
  <c r="M471" i="1" s="1"/>
  <c r="R471" i="1" s="1"/>
  <c r="J441" i="1"/>
  <c r="M441" i="1" s="1"/>
  <c r="R441" i="1" s="1"/>
  <c r="J518" i="1"/>
  <c r="M518" i="1" s="1"/>
  <c r="R518" i="1" s="1"/>
  <c r="J478" i="1"/>
  <c r="M478" i="1" s="1"/>
  <c r="R478" i="1" s="1"/>
  <c r="J470" i="1"/>
  <c r="M470" i="1" s="1"/>
  <c r="R470" i="1" s="1"/>
  <c r="J469" i="1"/>
  <c r="M469" i="1" s="1"/>
  <c r="J466" i="1"/>
  <c r="M466" i="1" s="1"/>
  <c r="R466" i="1" s="1"/>
  <c r="J462" i="1"/>
  <c r="M462" i="1" s="1"/>
  <c r="R462" i="1" s="1"/>
  <c r="J461" i="1"/>
  <c r="M461" i="1" s="1"/>
  <c r="R461" i="1" s="1"/>
  <c r="J2247" i="1"/>
  <c r="M2247" i="1" s="1"/>
  <c r="R2247" i="1" s="1"/>
  <c r="J435" i="1"/>
  <c r="M435" i="1" s="1"/>
  <c r="R435" i="1" s="1"/>
  <c r="J431" i="1"/>
  <c r="M431" i="1" s="1"/>
  <c r="R431" i="1" s="1"/>
  <c r="J425" i="1"/>
  <c r="M425" i="1" s="1"/>
  <c r="R425" i="1" s="1"/>
  <c r="J397" i="1"/>
  <c r="M397" i="1" s="1"/>
  <c r="R397" i="1" s="1"/>
  <c r="J396" i="1"/>
  <c r="M396" i="1" s="1"/>
  <c r="R396" i="1" s="1"/>
  <c r="J390" i="1"/>
  <c r="M390" i="1" s="1"/>
  <c r="R390" i="1" s="1"/>
  <c r="J389" i="1"/>
  <c r="M389" i="1" s="1"/>
  <c r="R389" i="1" s="1"/>
  <c r="J386" i="1"/>
  <c r="M386" i="1" s="1"/>
  <c r="R386" i="1" s="1"/>
  <c r="J149" i="1"/>
  <c r="M149" i="1" s="1"/>
  <c r="R149" i="1" s="1"/>
  <c r="J465" i="1"/>
  <c r="M465" i="1" s="1"/>
  <c r="R465" i="1" s="1"/>
  <c r="J459" i="1"/>
  <c r="M459" i="1" s="1"/>
  <c r="R459" i="1" s="1"/>
  <c r="J456" i="1"/>
  <c r="M456" i="1" s="1"/>
  <c r="R456" i="1" s="1"/>
  <c r="J455" i="1"/>
  <c r="M455" i="1" s="1"/>
  <c r="R455" i="1" s="1"/>
  <c r="J453" i="1"/>
  <c r="M453" i="1" s="1"/>
  <c r="R453" i="1" s="1"/>
  <c r="J452" i="1"/>
  <c r="M452" i="1" s="1"/>
  <c r="R452" i="1" s="1"/>
  <c r="J451" i="1"/>
  <c r="M451" i="1" s="1"/>
  <c r="J444" i="1"/>
  <c r="M444" i="1" s="1"/>
  <c r="R444" i="1" s="1"/>
  <c r="J439" i="1"/>
  <c r="M439" i="1" s="1"/>
  <c r="R439" i="1" s="1"/>
  <c r="J436" i="1"/>
  <c r="M436" i="1" s="1"/>
  <c r="R436" i="1" s="1"/>
  <c r="J429" i="1"/>
  <c r="M429" i="1" s="1"/>
  <c r="R429" i="1" s="1"/>
  <c r="J407" i="1"/>
  <c r="M407" i="1" s="1"/>
  <c r="R407" i="1" s="1"/>
  <c r="J404" i="1"/>
  <c r="M404" i="1" s="1"/>
  <c r="R404" i="1" s="1"/>
  <c r="J391" i="1"/>
  <c r="M391" i="1" s="1"/>
  <c r="R391" i="1" s="1"/>
  <c r="J387" i="1"/>
  <c r="M387" i="1" s="1"/>
  <c r="R387" i="1" s="1"/>
  <c r="J2224" i="1"/>
  <c r="M2224" i="1" s="1"/>
  <c r="R2224" i="1" s="1"/>
  <c r="J383" i="1"/>
  <c r="M383" i="1" s="1"/>
  <c r="R383" i="1" s="1"/>
  <c r="J382" i="1"/>
  <c r="M382" i="1" s="1"/>
  <c r="R382" i="1" s="1"/>
  <c r="J374" i="1"/>
  <c r="M374" i="1" s="1"/>
  <c r="J543" i="1"/>
  <c r="M543" i="1" s="1"/>
  <c r="J381" i="1"/>
  <c r="M381" i="1" s="1"/>
  <c r="J336" i="1"/>
  <c r="M336" i="1" s="1"/>
  <c r="J136" i="1"/>
  <c r="M136" i="1" s="1"/>
  <c r="J83" i="1"/>
  <c r="M83" i="1" s="1"/>
  <c r="J539" i="1"/>
  <c r="M539" i="1" s="1"/>
  <c r="J503" i="1"/>
  <c r="M503" i="1" s="1"/>
  <c r="J480" i="1"/>
  <c r="M480" i="1" s="1"/>
  <c r="J180" i="1"/>
  <c r="M180" i="1" s="1"/>
  <c r="J385" i="1"/>
  <c r="M385" i="1" s="1"/>
  <c r="J353" i="1"/>
  <c r="M353" i="1" s="1"/>
  <c r="J350" i="1"/>
  <c r="M350" i="1" s="1"/>
  <c r="J346" i="1"/>
  <c r="M346" i="1" s="1"/>
  <c r="J340" i="1"/>
  <c r="M340" i="1" s="1"/>
  <c r="J257" i="1"/>
  <c r="M257" i="1" s="1"/>
  <c r="J251" i="1"/>
  <c r="M251" i="1" s="1"/>
  <c r="J246" i="1"/>
  <c r="M246" i="1" s="1"/>
  <c r="J522" i="1"/>
  <c r="M522" i="1" s="1"/>
  <c r="J317" i="1"/>
  <c r="M317" i="1" s="1"/>
  <c r="J260" i="1"/>
  <c r="M260" i="1" s="1"/>
  <c r="J233" i="1"/>
  <c r="M233" i="1" s="1"/>
  <c r="J467" i="1"/>
  <c r="M467" i="1" s="1"/>
  <c r="J280" i="1"/>
  <c r="M280" i="1" s="1"/>
  <c r="J276" i="1"/>
  <c r="M276" i="1" s="1"/>
  <c r="J263" i="1"/>
  <c r="M263" i="1" s="1"/>
  <c r="J238" i="1"/>
  <c r="M238" i="1" s="1"/>
  <c r="J220" i="1"/>
  <c r="M220" i="1" s="1"/>
  <c r="J196" i="1"/>
  <c r="M196" i="1" s="1"/>
  <c r="J193" i="1"/>
  <c r="M193" i="1" s="1"/>
  <c r="J187" i="1"/>
  <c r="M187" i="1" s="1"/>
  <c r="J370" i="1"/>
  <c r="M370" i="1" s="1"/>
  <c r="J236" i="1"/>
  <c r="M236" i="1" s="1"/>
  <c r="J206" i="1"/>
  <c r="M206" i="1" s="1"/>
  <c r="J170" i="1"/>
  <c r="M170" i="1" s="1"/>
  <c r="J158" i="1"/>
  <c r="M158" i="1" s="1"/>
  <c r="J137" i="1"/>
  <c r="M137" i="1" s="1"/>
  <c r="J181" i="1"/>
  <c r="M181" i="1" s="1"/>
  <c r="J146" i="1"/>
  <c r="M146" i="1" s="1"/>
  <c r="J142" i="1"/>
  <c r="M142" i="1" s="1"/>
  <c r="J132" i="1"/>
  <c r="M132" i="1" s="1"/>
  <c r="J80" i="1"/>
  <c r="M80" i="1" s="1"/>
  <c r="J301" i="1"/>
  <c r="M301" i="1" s="1"/>
  <c r="J222" i="1"/>
  <c r="M222" i="1" s="1"/>
  <c r="J201" i="1"/>
  <c r="M201" i="1" s="1"/>
  <c r="J164" i="1"/>
  <c r="M164" i="1" s="1"/>
  <c r="J102" i="1"/>
  <c r="M102" i="1" s="1"/>
  <c r="J99" i="1"/>
  <c r="M99" i="1" s="1"/>
  <c r="J91" i="1"/>
  <c r="M91" i="1" s="1"/>
  <c r="J84" i="1"/>
  <c r="M84" i="1" s="1"/>
  <c r="J368" i="1"/>
  <c r="M368" i="1" s="1"/>
  <c r="J363" i="1"/>
  <c r="M363" i="1" s="1"/>
  <c r="J321" i="1"/>
  <c r="M321" i="1" s="1"/>
  <c r="J290" i="1"/>
  <c r="M290" i="1" s="1"/>
  <c r="J273" i="1"/>
  <c r="M273" i="1" s="1"/>
  <c r="J186" i="1"/>
  <c r="M186" i="1" s="1"/>
  <c r="J169" i="1"/>
  <c r="M169" i="1" s="1"/>
  <c r="J154" i="1"/>
  <c r="M154" i="1" s="1"/>
  <c r="J79" i="1"/>
  <c r="M79" i="1" s="1"/>
  <c r="J352" i="1"/>
  <c r="M352" i="1" s="1"/>
  <c r="J351" i="1"/>
  <c r="M351" i="1" s="1"/>
  <c r="J162" i="1"/>
  <c r="M162" i="1" s="1"/>
  <c r="J1524" i="1"/>
  <c r="M1524" i="1" s="1"/>
  <c r="R1524" i="1" s="1"/>
  <c r="J1508" i="1"/>
  <c r="M1508" i="1" s="1"/>
  <c r="R1508" i="1" s="1"/>
  <c r="J1471" i="1"/>
  <c r="M1471" i="1" s="1"/>
  <c r="J1465" i="1"/>
  <c r="M1465" i="1" s="1"/>
  <c r="R1465" i="1" s="1"/>
  <c r="J1454" i="1"/>
  <c r="M1454" i="1" s="1"/>
  <c r="R1454" i="1" s="1"/>
  <c r="J1445" i="1"/>
  <c r="M1445" i="1" s="1"/>
  <c r="R1445" i="1" s="1"/>
  <c r="J1439" i="1"/>
  <c r="M1439" i="1" s="1"/>
  <c r="R1439" i="1" s="1"/>
  <c r="J558" i="1"/>
  <c r="M558" i="1" s="1"/>
  <c r="R558" i="1" s="1"/>
  <c r="J557" i="1"/>
  <c r="M557" i="1" s="1"/>
  <c r="R557" i="1" s="1"/>
  <c r="J1426" i="1"/>
  <c r="M1426" i="1" s="1"/>
  <c r="R1426" i="1" s="1"/>
  <c r="J1422" i="1"/>
  <c r="M1422" i="1" s="1"/>
  <c r="R1422" i="1" s="1"/>
  <c r="J1387" i="1"/>
  <c r="M1387" i="1" s="1"/>
  <c r="R1387" i="1" s="1"/>
  <c r="J1380" i="1"/>
  <c r="M1380" i="1" s="1"/>
  <c r="R1380" i="1" s="1"/>
  <c r="J2119" i="1"/>
  <c r="M2119" i="1" s="1"/>
  <c r="R2119" i="1" s="1"/>
  <c r="J585" i="1"/>
  <c r="M585" i="1" s="1"/>
  <c r="J1544" i="1"/>
  <c r="M1544" i="1" s="1"/>
  <c r="R1544" i="1" s="1"/>
  <c r="J1512" i="1"/>
  <c r="M1512" i="1" s="1"/>
  <c r="R1512" i="1" s="1"/>
  <c r="J1373" i="1"/>
  <c r="M1373" i="1" s="1"/>
  <c r="R1373" i="1" s="1"/>
  <c r="J1366" i="1"/>
  <c r="M1366" i="1" s="1"/>
  <c r="R1366" i="1" s="1"/>
  <c r="J1358" i="1"/>
  <c r="M1358" i="1" s="1"/>
  <c r="R1358" i="1" s="1"/>
  <c r="J1348" i="1"/>
  <c r="M1348" i="1" s="1"/>
  <c r="R1348" i="1" s="1"/>
  <c r="J2256" i="1"/>
  <c r="M2256" i="1" s="1"/>
  <c r="J2237" i="1"/>
  <c r="M2237" i="1" s="1"/>
  <c r="J2219" i="1"/>
  <c r="M2219" i="1" s="1"/>
  <c r="J2206" i="1"/>
  <c r="M2206" i="1" s="1"/>
  <c r="J2193" i="1"/>
  <c r="M2193" i="1" s="1"/>
  <c r="J2182" i="1"/>
  <c r="M2182" i="1" s="1"/>
  <c r="J2169" i="1"/>
  <c r="M2169" i="1" s="1"/>
  <c r="J2157" i="1"/>
  <c r="M2157" i="1" s="1"/>
  <c r="J2024" i="1"/>
  <c r="M2024" i="1" s="1"/>
  <c r="J2137" i="1"/>
  <c r="M2137" i="1" s="1"/>
  <c r="J2122" i="1"/>
  <c r="M2122" i="1" s="1"/>
  <c r="J2103" i="1"/>
  <c r="M2103" i="1" s="1"/>
  <c r="J2089" i="1"/>
  <c r="M2089" i="1" s="1"/>
  <c r="J2074" i="1"/>
  <c r="M2074" i="1" s="1"/>
  <c r="J2062" i="1"/>
  <c r="M2062" i="1" s="1"/>
  <c r="J2049" i="1"/>
  <c r="M2049" i="1" s="1"/>
  <c r="J2034" i="1"/>
  <c r="M2034" i="1" s="1"/>
  <c r="J2017" i="1"/>
  <c r="M2017" i="1" s="1"/>
  <c r="J1989" i="1"/>
  <c r="M1989" i="1" s="1"/>
  <c r="J1980" i="1"/>
  <c r="M1980" i="1" s="1"/>
  <c r="J1967" i="1"/>
  <c r="M1967" i="1" s="1"/>
  <c r="J1954" i="1"/>
  <c r="M1954" i="1" s="1"/>
  <c r="J1946" i="1"/>
  <c r="M1946" i="1" s="1"/>
  <c r="J1938" i="1"/>
  <c r="M1938" i="1" s="1"/>
  <c r="J1934" i="1"/>
  <c r="M1934" i="1" s="1"/>
  <c r="J1924" i="1"/>
  <c r="M1924" i="1" s="1"/>
  <c r="J1916" i="1"/>
  <c r="M1916" i="1" s="1"/>
  <c r="J1905" i="1"/>
  <c r="M1905" i="1" s="1"/>
  <c r="J1878" i="1"/>
  <c r="M1878" i="1" s="1"/>
  <c r="J1868" i="1"/>
  <c r="M1868" i="1" s="1"/>
  <c r="J1852" i="1"/>
  <c r="M1852" i="1" s="1"/>
  <c r="J1999" i="1"/>
  <c r="M1999" i="1" s="1"/>
  <c r="J1889" i="1"/>
  <c r="M1889" i="1" s="1"/>
  <c r="J1860" i="1"/>
  <c r="M1860" i="1" s="1"/>
  <c r="J1843" i="1"/>
  <c r="M1843" i="1" s="1"/>
  <c r="J1554" i="1"/>
  <c r="M1554" i="1" s="1"/>
  <c r="J378" i="1"/>
  <c r="M378" i="1" s="1"/>
  <c r="J332" i="1"/>
  <c r="M332" i="1" s="1"/>
  <c r="J214" i="1"/>
  <c r="M214" i="1" s="1"/>
  <c r="J178" i="1"/>
  <c r="M178" i="1" s="1"/>
  <c r="J82" i="1"/>
  <c r="M82" i="1" s="1"/>
  <c r="J283" i="1"/>
  <c r="M283" i="1" s="1"/>
  <c r="J500" i="1"/>
  <c r="M500" i="1" s="1"/>
  <c r="J501" i="1"/>
  <c r="M501" i="1" s="1"/>
  <c r="J553" i="1"/>
  <c r="M553" i="1" s="1"/>
  <c r="J2248" i="1"/>
  <c r="J2230" i="1"/>
  <c r="M2230" i="1" s="1"/>
  <c r="J2215" i="1"/>
  <c r="M2215" i="1" s="1"/>
  <c r="J2201" i="1"/>
  <c r="M2201" i="1" s="1"/>
  <c r="J2188" i="1"/>
  <c r="M2188" i="1" s="1"/>
  <c r="J2176" i="1"/>
  <c r="M2176" i="1" s="1"/>
  <c r="J2163" i="1"/>
  <c r="M2163" i="1" s="1"/>
  <c r="J2144" i="1"/>
  <c r="M2144" i="1" s="1"/>
  <c r="J2130" i="1"/>
  <c r="M2130" i="1" s="1"/>
  <c r="J2110" i="1"/>
  <c r="M2110" i="1" s="1"/>
  <c r="J2096" i="1"/>
  <c r="M2096" i="1" s="1"/>
  <c r="J2083" i="1"/>
  <c r="M2083" i="1" s="1"/>
  <c r="J2069" i="1"/>
  <c r="M2069" i="1" s="1"/>
  <c r="J1893" i="1"/>
  <c r="M1893" i="1" s="1"/>
  <c r="J1833" i="1"/>
  <c r="M1833" i="1" s="1"/>
  <c r="J1778" i="1"/>
  <c r="M1778" i="1" s="1"/>
  <c r="J1763" i="1"/>
  <c r="M1763" i="1" s="1"/>
  <c r="J1746" i="1"/>
  <c r="M1746" i="1" s="1"/>
  <c r="J1737" i="1"/>
  <c r="M1737" i="1" s="1"/>
  <c r="J1729" i="1"/>
  <c r="M1729" i="1" s="1"/>
  <c r="J1617" i="1"/>
  <c r="M1617" i="1" s="1"/>
  <c r="J1611" i="1"/>
  <c r="M1611" i="1" s="1"/>
  <c r="J1591" i="1"/>
  <c r="M1591" i="1" s="1"/>
  <c r="J1587" i="1"/>
  <c r="M1587" i="1" s="1"/>
  <c r="J1581" i="1"/>
  <c r="M1581" i="1" s="1"/>
  <c r="J1533" i="1"/>
  <c r="M1533" i="1" s="1"/>
  <c r="J1351" i="1"/>
  <c r="M1351" i="1" s="1"/>
  <c r="J1287" i="1"/>
  <c r="M1287" i="1" s="1"/>
  <c r="J1283" i="1"/>
  <c r="M1283" i="1" s="1"/>
  <c r="J1278" i="1"/>
  <c r="M1278" i="1" s="1"/>
  <c r="J1273" i="1"/>
  <c r="M1273" i="1" s="1"/>
  <c r="J1257" i="1"/>
  <c r="M1257" i="1" s="1"/>
  <c r="J1241" i="1"/>
  <c r="M1241" i="1" s="1"/>
  <c r="J1177" i="1"/>
  <c r="M1177" i="1" s="1"/>
  <c r="J1147" i="1"/>
  <c r="M1147" i="1" s="1"/>
  <c r="J1144" i="1"/>
  <c r="M1144" i="1" s="1"/>
  <c r="J1973" i="1"/>
  <c r="M1973" i="1" s="1"/>
  <c r="J1940" i="1"/>
  <c r="M1940" i="1" s="1"/>
  <c r="J1928" i="1"/>
  <c r="M1928" i="1" s="1"/>
  <c r="J1900" i="1"/>
  <c r="M1900" i="1" s="1"/>
  <c r="J1803" i="1"/>
  <c r="M1803" i="1" s="1"/>
  <c r="J1770" i="1"/>
  <c r="M1770" i="1" s="1"/>
  <c r="J1684" i="1"/>
  <c r="M1684" i="1" s="1"/>
  <c r="J1672" i="1"/>
  <c r="M1672" i="1" s="1"/>
  <c r="J1665" i="1"/>
  <c r="M1665" i="1" s="1"/>
  <c r="J1647" i="1"/>
  <c r="M1647" i="1" s="1"/>
  <c r="J1638" i="1"/>
  <c r="M1638" i="1" s="1"/>
  <c r="J1632" i="1"/>
  <c r="M1632" i="1" s="1"/>
  <c r="J1624" i="1"/>
  <c r="M1624" i="1" s="1"/>
  <c r="J1607" i="1"/>
  <c r="M1607" i="1" s="1"/>
  <c r="J1563" i="1"/>
  <c r="M1563" i="1" s="1"/>
  <c r="J1546" i="1"/>
  <c r="M1546" i="1" s="1"/>
  <c r="J1354" i="1"/>
  <c r="M1354" i="1" s="1"/>
  <c r="J1345" i="1"/>
  <c r="M1345" i="1" s="1"/>
  <c r="J1324" i="1"/>
  <c r="M1324" i="1" s="1"/>
  <c r="J1306" i="1"/>
  <c r="M1306" i="1" s="1"/>
  <c r="J1172" i="1"/>
  <c r="M1172" i="1" s="1"/>
  <c r="J1166" i="1"/>
  <c r="M1166" i="1" s="1"/>
  <c r="J1162" i="1"/>
  <c r="M1162" i="1" s="1"/>
  <c r="J1150" i="1"/>
  <c r="M1150" i="1" s="1"/>
  <c r="J1142" i="1"/>
  <c r="M1142" i="1" s="1"/>
  <c r="J1139" i="1"/>
  <c r="M1139" i="1" s="1"/>
  <c r="J1133" i="1"/>
  <c r="M1133" i="1" s="1"/>
  <c r="J1130" i="1"/>
  <c r="M1130" i="1" s="1"/>
  <c r="J1128" i="1"/>
  <c r="M1128" i="1" s="1"/>
  <c r="J1121" i="1"/>
  <c r="M1121" i="1" s="1"/>
  <c r="J1114" i="1"/>
  <c r="M1114" i="1" s="1"/>
  <c r="J1088" i="1"/>
  <c r="M1088" i="1" s="1"/>
  <c r="J1084" i="1"/>
  <c r="M1084" i="1" s="1"/>
  <c r="J1036" i="1"/>
  <c r="M1036" i="1" s="1"/>
  <c r="J1034" i="1"/>
  <c r="M1034" i="1" s="1"/>
  <c r="J954" i="1"/>
  <c r="M954" i="1" s="1"/>
  <c r="J1885" i="1"/>
  <c r="M1885" i="1" s="1"/>
  <c r="J1872" i="1"/>
  <c r="M1872" i="1" s="1"/>
  <c r="J1486" i="1"/>
  <c r="M1486" i="1" s="1"/>
  <c r="J1481" i="1"/>
  <c r="M1481" i="1" s="1"/>
  <c r="J1467" i="1"/>
  <c r="M1467" i="1" s="1"/>
  <c r="J1375" i="1"/>
  <c r="M1375" i="1" s="1"/>
  <c r="J1301" i="1"/>
  <c r="M1301" i="1" s="1"/>
  <c r="J1297" i="1"/>
  <c r="M1297" i="1" s="1"/>
  <c r="J1292" i="1"/>
  <c r="M1292" i="1" s="1"/>
  <c r="J1269" i="1"/>
  <c r="M1269" i="1" s="1"/>
  <c r="J1264" i="1"/>
  <c r="M1264" i="1" s="1"/>
  <c r="J1232" i="1"/>
  <c r="M1232" i="1" s="1"/>
  <c r="J1222" i="1"/>
  <c r="M1222" i="1" s="1"/>
  <c r="J1190" i="1"/>
  <c r="M1190" i="1" s="1"/>
  <c r="J1186" i="1"/>
  <c r="M1186" i="1" s="1"/>
  <c r="J1067" i="1"/>
  <c r="M1067" i="1" s="1"/>
  <c r="J1062" i="1"/>
  <c r="M1062" i="1" s="1"/>
  <c r="J1058" i="1"/>
  <c r="M1058" i="1" s="1"/>
  <c r="J1055" i="1"/>
  <c r="M1055" i="1" s="1"/>
  <c r="J1050" i="1"/>
  <c r="M1050" i="1" s="1"/>
  <c r="J1045" i="1"/>
  <c r="M1045" i="1" s="1"/>
  <c r="J1043" i="1"/>
  <c r="M1043" i="1" s="1"/>
  <c r="J1028" i="1"/>
  <c r="M1028" i="1" s="1"/>
  <c r="J1026" i="1"/>
  <c r="M1026" i="1" s="1"/>
  <c r="J1024" i="1"/>
  <c r="M1024" i="1" s="1"/>
  <c r="J1019" i="1"/>
  <c r="M1019" i="1" s="1"/>
  <c r="J1016" i="1"/>
  <c r="M1016" i="1" s="1"/>
  <c r="J1014" i="1"/>
  <c r="M1014" i="1" s="1"/>
  <c r="J1010" i="1"/>
  <c r="M1010" i="1" s="1"/>
  <c r="J1008" i="1"/>
  <c r="M1008" i="1" s="1"/>
  <c r="J1005" i="1"/>
  <c r="M1005" i="1" s="1"/>
  <c r="J1003" i="1"/>
  <c r="M1003" i="1" s="1"/>
  <c r="J999" i="1"/>
  <c r="M999" i="1" s="1"/>
  <c r="J978" i="1"/>
  <c r="M978" i="1" s="1"/>
  <c r="J976" i="1"/>
  <c r="M976" i="1" s="1"/>
  <c r="J974" i="1"/>
  <c r="M974" i="1" s="1"/>
  <c r="J972" i="1"/>
  <c r="M972" i="1" s="1"/>
  <c r="J971" i="1"/>
  <c r="M971" i="1" s="1"/>
  <c r="J969" i="1"/>
  <c r="M969" i="1" s="1"/>
  <c r="J968" i="1"/>
  <c r="M968" i="1" s="1"/>
  <c r="J957" i="1"/>
  <c r="M957" i="1" s="1"/>
  <c r="J956" i="1"/>
  <c r="M956" i="1" s="1"/>
  <c r="J955" i="1"/>
  <c r="M955" i="1" s="1"/>
  <c r="J939" i="1"/>
  <c r="M939" i="1" s="1"/>
  <c r="J937" i="1"/>
  <c r="M937" i="1" s="1"/>
  <c r="J935" i="1"/>
  <c r="M935" i="1" s="1"/>
  <c r="J933" i="1"/>
  <c r="M933" i="1" s="1"/>
  <c r="J931" i="1"/>
  <c r="M931" i="1" s="1"/>
  <c r="J930" i="1"/>
  <c r="M930" i="1" s="1"/>
  <c r="J922" i="1"/>
  <c r="M922" i="1" s="1"/>
  <c r="J921" i="1"/>
  <c r="M921" i="1" s="1"/>
  <c r="J920" i="1"/>
  <c r="M920" i="1" s="1"/>
  <c r="J918" i="1"/>
  <c r="M918" i="1" s="1"/>
  <c r="J899" i="1"/>
  <c r="M899" i="1" s="1"/>
  <c r="J1407" i="1"/>
  <c r="M1407" i="1" s="1"/>
  <c r="J1787" i="1"/>
  <c r="M1787" i="1" s="1"/>
  <c r="J1598" i="1"/>
  <c r="M1598" i="1" s="1"/>
  <c r="J1572" i="1"/>
  <c r="M1572" i="1" s="1"/>
  <c r="J1540" i="1"/>
  <c r="M1540" i="1" s="1"/>
  <c r="J1519" i="1"/>
  <c r="M1519" i="1" s="1"/>
  <c r="J1461" i="1"/>
  <c r="M1461" i="1" s="1"/>
  <c r="J1398" i="1"/>
  <c r="M1398" i="1" s="1"/>
  <c r="J1384" i="1"/>
  <c r="M1384" i="1" s="1"/>
  <c r="J1361" i="1"/>
  <c r="M1361" i="1" s="1"/>
  <c r="J1333" i="1"/>
  <c r="M1333" i="1" s="1"/>
  <c r="J1327" i="1"/>
  <c r="M1327" i="1" s="1"/>
  <c r="J1314" i="1"/>
  <c r="M1314" i="1" s="1"/>
  <c r="J1252" i="1"/>
  <c r="M1252" i="1" s="1"/>
  <c r="J1248" i="1"/>
  <c r="M1248" i="1" s="1"/>
  <c r="J1237" i="1"/>
  <c r="M1237" i="1" s="1"/>
  <c r="J1227" i="1"/>
  <c r="M1227" i="1" s="1"/>
  <c r="J1217" i="1"/>
  <c r="M1217" i="1" s="1"/>
  <c r="J1210" i="1"/>
  <c r="M1210" i="1" s="1"/>
  <c r="J1205" i="1"/>
  <c r="M1205" i="1" s="1"/>
  <c r="J1200" i="1"/>
  <c r="M1200" i="1" s="1"/>
  <c r="J1196" i="1"/>
  <c r="M1196" i="1" s="1"/>
  <c r="J1181" i="1"/>
  <c r="M1181" i="1" s="1"/>
  <c r="J1118" i="1"/>
  <c r="M1118" i="1" s="1"/>
  <c r="J1116" i="1"/>
  <c r="M1116" i="1" s="1"/>
  <c r="J1106" i="1"/>
  <c r="M1106" i="1" s="1"/>
  <c r="J1103" i="1"/>
  <c r="M1103" i="1" s="1"/>
  <c r="J1095" i="1"/>
  <c r="M1095" i="1" s="1"/>
  <c r="J1091" i="1"/>
  <c r="M1091" i="1" s="1"/>
  <c r="J1074" i="1"/>
  <c r="M1074" i="1" s="1"/>
  <c r="J1071" i="1"/>
  <c r="M1071" i="1" s="1"/>
  <c r="J1064" i="1"/>
  <c r="M1064" i="1" s="1"/>
  <c r="J1039" i="1"/>
  <c r="M1039" i="1" s="1"/>
  <c r="J1032" i="1"/>
  <c r="M1032" i="1" s="1"/>
  <c r="J1021" i="1"/>
  <c r="M1021" i="1" s="1"/>
  <c r="J997" i="1"/>
  <c r="M997" i="1" s="1"/>
  <c r="J993" i="1"/>
  <c r="M993" i="1" s="1"/>
  <c r="J991" i="1"/>
  <c r="M991" i="1" s="1"/>
  <c r="J988" i="1"/>
  <c r="M988" i="1" s="1"/>
  <c r="J986" i="1"/>
  <c r="M986" i="1" s="1"/>
  <c r="J984" i="1"/>
  <c r="M984" i="1" s="1"/>
  <c r="J983" i="1"/>
  <c r="M983" i="1" s="1"/>
  <c r="J982" i="1"/>
  <c r="M982" i="1" s="1"/>
  <c r="J981" i="1"/>
  <c r="M981" i="1" s="1"/>
  <c r="J980" i="1"/>
  <c r="M980" i="1" s="1"/>
  <c r="J979" i="1"/>
  <c r="M979" i="1" s="1"/>
  <c r="J965" i="1"/>
  <c r="M965" i="1" s="1"/>
  <c r="J963" i="1"/>
  <c r="M963" i="1" s="1"/>
  <c r="J962" i="1"/>
  <c r="M962" i="1" s="1"/>
  <c r="J961" i="1"/>
  <c r="M961" i="1" s="1"/>
  <c r="J959" i="1"/>
  <c r="M959" i="1" s="1"/>
  <c r="J949" i="1"/>
  <c r="M949" i="1" s="1"/>
  <c r="J948" i="1"/>
  <c r="M948" i="1" s="1"/>
  <c r="J947" i="1"/>
  <c r="M947" i="1" s="1"/>
  <c r="J945" i="1"/>
  <c r="M945" i="1" s="1"/>
  <c r="J944" i="1"/>
  <c r="M944" i="1" s="1"/>
  <c r="J942" i="1"/>
  <c r="M942" i="1" s="1"/>
  <c r="J941" i="1"/>
  <c r="M941" i="1" s="1"/>
  <c r="J940" i="1"/>
  <c r="M940" i="1" s="1"/>
  <c r="J928" i="1"/>
  <c r="M928" i="1" s="1"/>
  <c r="J927" i="1"/>
  <c r="M927" i="1" s="1"/>
  <c r="J926" i="1"/>
  <c r="M926" i="1" s="1"/>
  <c r="J917" i="1"/>
  <c r="M917" i="1" s="1"/>
  <c r="J916" i="1"/>
  <c r="M916" i="1" s="1"/>
  <c r="J914" i="1"/>
  <c r="M914" i="1" s="1"/>
  <c r="J913" i="1"/>
  <c r="M913" i="1" s="1"/>
  <c r="J912" i="1"/>
  <c r="M912" i="1" s="1"/>
  <c r="J910" i="1"/>
  <c r="M910" i="1" s="1"/>
  <c r="J908" i="1"/>
  <c r="M908" i="1" s="1"/>
  <c r="J906" i="1"/>
  <c r="M906" i="1" s="1"/>
  <c r="J904" i="1"/>
  <c r="M904" i="1" s="1"/>
  <c r="J903" i="1"/>
  <c r="M903" i="1" s="1"/>
  <c r="J902" i="1"/>
  <c r="M902" i="1" s="1"/>
  <c r="J901" i="1"/>
  <c r="M901" i="1" s="1"/>
  <c r="J900" i="1"/>
  <c r="M900" i="1" s="1"/>
  <c r="J898" i="1"/>
  <c r="M898" i="1" s="1"/>
  <c r="J897" i="1"/>
  <c r="M897" i="1" s="1"/>
  <c r="J896" i="1"/>
  <c r="M896" i="1" s="1"/>
  <c r="J895" i="1"/>
  <c r="M895" i="1" s="1"/>
  <c r="J893" i="1"/>
  <c r="M893" i="1" s="1"/>
  <c r="J892" i="1"/>
  <c r="M892" i="1" s="1"/>
  <c r="J891" i="1"/>
  <c r="M891" i="1" s="1"/>
  <c r="J890" i="1"/>
  <c r="M890" i="1" s="1"/>
  <c r="J889" i="1"/>
  <c r="M889" i="1" s="1"/>
  <c r="J884" i="1"/>
  <c r="M884" i="1" s="1"/>
  <c r="J879" i="1"/>
  <c r="M879" i="1" s="1"/>
  <c r="J875" i="1"/>
  <c r="M875" i="1" s="1"/>
  <c r="J874" i="1"/>
  <c r="M874" i="1" s="1"/>
  <c r="J423" i="1"/>
  <c r="M423" i="1" s="1"/>
  <c r="J393" i="1"/>
  <c r="M393" i="1" s="1"/>
  <c r="J384" i="1"/>
  <c r="M384" i="1" s="1"/>
  <c r="J375" i="1"/>
  <c r="M375" i="1" s="1"/>
  <c r="J372" i="1"/>
  <c r="M372" i="1" s="1"/>
  <c r="J366" i="1"/>
  <c r="M366" i="1" s="1"/>
  <c r="J364" i="1"/>
  <c r="M364" i="1" s="1"/>
  <c r="J361" i="1"/>
  <c r="M361" i="1" s="1"/>
  <c r="J358" i="1"/>
  <c r="M358" i="1" s="1"/>
  <c r="J354" i="1"/>
  <c r="M354" i="1" s="1"/>
  <c r="J348" i="1"/>
  <c r="M348" i="1" s="1"/>
  <c r="J344" i="1"/>
  <c r="M344" i="1" s="1"/>
  <c r="J338" i="1"/>
  <c r="M338" i="1" s="1"/>
  <c r="J324" i="1"/>
  <c r="M324" i="1" s="1"/>
  <c r="J315" i="1"/>
  <c r="M315" i="1" s="1"/>
  <c r="J311" i="1"/>
  <c r="M311" i="1" s="1"/>
  <c r="J309" i="1"/>
  <c r="M309" i="1" s="1"/>
  <c r="J307" i="1"/>
  <c r="M307" i="1" s="1"/>
  <c r="J305" i="1"/>
  <c r="M305" i="1" s="1"/>
  <c r="J302" i="1"/>
  <c r="M302" i="1" s="1"/>
  <c r="J298" i="1"/>
  <c r="M298" i="1" s="1"/>
  <c r="J294" i="1"/>
  <c r="M294" i="1" s="1"/>
  <c r="J288" i="1"/>
  <c r="M288" i="1" s="1"/>
  <c r="J281" i="1"/>
  <c r="M281" i="1" s="1"/>
  <c r="J277" i="1"/>
  <c r="M277" i="1" s="1"/>
  <c r="J271" i="1"/>
  <c r="M271" i="1" s="1"/>
  <c r="J268" i="1"/>
  <c r="M268" i="1" s="1"/>
  <c r="J267" i="1"/>
  <c r="M267" i="1" s="1"/>
  <c r="J265" i="1"/>
  <c r="M265" i="1" s="1"/>
  <c r="J259" i="1"/>
  <c r="M259" i="1" s="1"/>
  <c r="J254" i="1"/>
  <c r="M254" i="1" s="1"/>
  <c r="J248" i="1"/>
  <c r="M248" i="1" s="1"/>
  <c r="J245" i="1"/>
  <c r="M245" i="1" s="1"/>
  <c r="J241" i="1"/>
  <c r="M241" i="1" s="1"/>
  <c r="J237" i="1"/>
  <c r="M237" i="1" s="1"/>
  <c r="J235" i="1"/>
  <c r="M235" i="1" s="1"/>
  <c r="J231" i="1"/>
  <c r="M231" i="1" s="1"/>
  <c r="J228" i="1"/>
  <c r="M228" i="1" s="1"/>
  <c r="J226" i="1"/>
  <c r="M226" i="1" s="1"/>
  <c r="J223" i="1"/>
  <c r="M223" i="1" s="1"/>
  <c r="J221" i="1"/>
  <c r="M221" i="1" s="1"/>
  <c r="J218" i="1"/>
  <c r="M218" i="1" s="1"/>
  <c r="J215" i="1"/>
  <c r="M215" i="1" s="1"/>
  <c r="J212" i="1"/>
  <c r="M212" i="1" s="1"/>
  <c r="J210" i="1"/>
  <c r="M210" i="1" s="1"/>
  <c r="J207" i="1"/>
  <c r="M207" i="1" s="1"/>
  <c r="J204" i="1"/>
  <c r="M204" i="1" s="1"/>
  <c r="J202" i="1"/>
  <c r="M202" i="1" s="1"/>
  <c r="J197" i="1"/>
  <c r="M197" i="1" s="1"/>
  <c r="J194" i="1"/>
  <c r="M194" i="1" s="1"/>
  <c r="J189" i="1"/>
  <c r="M189" i="1" s="1"/>
  <c r="J185" i="1"/>
  <c r="M185" i="1" s="1"/>
  <c r="J182" i="1"/>
  <c r="M182" i="1" s="1"/>
  <c r="J175" i="1"/>
  <c r="M175" i="1" s="1"/>
  <c r="J171" i="1"/>
  <c r="M171" i="1" s="1"/>
  <c r="J167" i="1"/>
  <c r="M167" i="1" s="1"/>
  <c r="J165" i="1"/>
  <c r="M165" i="1" s="1"/>
  <c r="J160" i="1"/>
  <c r="M160" i="1" s="1"/>
  <c r="J156" i="1"/>
  <c r="M156" i="1" s="1"/>
  <c r="J152" i="1"/>
  <c r="M152" i="1" s="1"/>
  <c r="J147" i="1"/>
  <c r="M147" i="1" s="1"/>
  <c r="J141" i="1"/>
  <c r="M141" i="1" s="1"/>
  <c r="J138" i="1"/>
  <c r="M138" i="1" s="1"/>
  <c r="J133" i="1"/>
  <c r="M133" i="1" s="1"/>
  <c r="J126" i="1"/>
  <c r="M126" i="1" s="1"/>
  <c r="J103" i="1"/>
  <c r="M103" i="1" s="1"/>
  <c r="J100" i="1"/>
  <c r="M100" i="1" s="1"/>
  <c r="J95" i="1"/>
  <c r="M95" i="1" s="1"/>
  <c r="J92" i="1"/>
  <c r="M92" i="1" s="1"/>
  <c r="J2145" i="1"/>
  <c r="M2145" i="1" s="1"/>
  <c r="J2205" i="1"/>
  <c r="M2205" i="1" s="1"/>
  <c r="J2181" i="1"/>
  <c r="M2181" i="1" s="1"/>
  <c r="J2168" i="1"/>
  <c r="M2168" i="1" s="1"/>
  <c r="J2156" i="1"/>
  <c r="M2156" i="1" s="1"/>
  <c r="J2102" i="1"/>
  <c r="M2102" i="1" s="1"/>
  <c r="J2061" i="1"/>
  <c r="M2061" i="1" s="1"/>
  <c r="J2121" i="1"/>
  <c r="M2121" i="1" s="1"/>
  <c r="J2032" i="1"/>
  <c r="M2032" i="1" s="1"/>
  <c r="J1979" i="1"/>
  <c r="M1979" i="1" s="1"/>
  <c r="J1966" i="1"/>
  <c r="M1966" i="1" s="1"/>
  <c r="J1923" i="1"/>
  <c r="M1923" i="1" s="1"/>
  <c r="J1851" i="1"/>
  <c r="M1851" i="1" s="1"/>
  <c r="J1794" i="1"/>
  <c r="M1794" i="1" s="1"/>
  <c r="J1775" i="1"/>
  <c r="M1775" i="1" s="1"/>
  <c r="J1768" i="1"/>
  <c r="M1768" i="1" s="1"/>
  <c r="J1735" i="1"/>
  <c r="M1735" i="1" s="1"/>
  <c r="J548" i="1"/>
  <c r="M548" i="1" s="1"/>
  <c r="R548" i="1" s="1"/>
  <c r="J2036" i="1"/>
  <c r="J216" i="1"/>
  <c r="J213" i="1"/>
  <c r="J424" i="1"/>
  <c r="J318" i="1"/>
  <c r="J266" i="1"/>
  <c r="J406" i="1"/>
  <c r="J1911" i="1"/>
  <c r="R148" i="1"/>
  <c r="R894" i="1"/>
  <c r="J2254" i="1"/>
  <c r="M2254" i="1" s="1"/>
  <c r="J2235" i="1"/>
  <c r="M2235" i="1" s="1"/>
  <c r="J2180" i="1"/>
  <c r="M2180" i="1" s="1"/>
  <c r="J2167" i="1"/>
  <c r="M2167" i="1" s="1"/>
  <c r="J2155" i="1"/>
  <c r="M2155" i="1" s="1"/>
  <c r="J2120" i="1"/>
  <c r="M2120" i="1" s="1"/>
  <c r="J2088" i="1"/>
  <c r="M2088" i="1" s="1"/>
  <c r="J2060" i="1"/>
  <c r="M2060" i="1" s="1"/>
  <c r="J2047" i="1"/>
  <c r="M2047" i="1" s="1"/>
  <c r="J2023" i="1"/>
  <c r="M2023" i="1" s="1"/>
  <c r="J2016" i="1"/>
  <c r="M2016" i="1" s="1"/>
  <c r="J1988" i="1"/>
  <c r="M1988" i="1" s="1"/>
  <c r="J1978" i="1"/>
  <c r="M1978" i="1" s="1"/>
  <c r="J1964" i="1"/>
  <c r="M1964" i="1" s="1"/>
  <c r="J1953" i="1"/>
  <c r="M1953" i="1" s="1"/>
  <c r="J1944" i="1"/>
  <c r="M1944" i="1" s="1"/>
  <c r="J1937" i="1"/>
  <c r="M1937" i="1" s="1"/>
  <c r="J1932" i="1"/>
  <c r="M1932" i="1" s="1"/>
  <c r="J1914" i="1"/>
  <c r="M1914" i="1" s="1"/>
  <c r="J1904" i="1"/>
  <c r="M1904" i="1" s="1"/>
  <c r="J1895" i="1"/>
  <c r="M1895" i="1" s="1"/>
  <c r="J1888" i="1"/>
  <c r="M1888" i="1" s="1"/>
  <c r="J1877" i="1"/>
  <c r="M1877" i="1" s="1"/>
  <c r="J1867" i="1"/>
  <c r="M1867" i="1" s="1"/>
  <c r="J1859" i="1"/>
  <c r="M1859" i="1" s="1"/>
  <c r="J1850" i="1"/>
  <c r="M1850" i="1" s="1"/>
  <c r="J1842" i="1"/>
  <c r="M1842" i="1" s="1"/>
  <c r="J1836" i="1"/>
  <c r="M1836" i="1" s="1"/>
  <c r="J1825" i="1"/>
  <c r="M1825" i="1" s="1"/>
  <c r="J1820" i="1"/>
  <c r="M1820" i="1" s="1"/>
  <c r="J1816" i="1"/>
  <c r="M1816" i="1" s="1"/>
  <c r="J1811" i="1"/>
  <c r="M1811" i="1" s="1"/>
  <c r="J1800" i="1"/>
  <c r="M1800" i="1" s="1"/>
  <c r="J1793" i="1"/>
  <c r="M1793" i="1" s="1"/>
  <c r="J1782" i="1"/>
  <c r="M1782" i="1" s="1"/>
  <c r="J1774" i="1"/>
  <c r="M1774" i="1" s="1"/>
  <c r="J1767" i="1"/>
  <c r="M1767" i="1" s="1"/>
  <c r="J1761" i="1"/>
  <c r="M1761" i="1" s="1"/>
  <c r="J1754" i="1"/>
  <c r="M1754" i="1" s="1"/>
  <c r="J1749" i="1"/>
  <c r="M1749" i="1" s="1"/>
  <c r="J1898" i="1"/>
  <c r="M1898" i="1" s="1"/>
  <c r="J1734" i="1"/>
  <c r="M1734" i="1" s="1"/>
  <c r="J1725" i="1"/>
  <c r="M1725" i="1" s="1"/>
  <c r="J1720" i="1"/>
  <c r="M1720" i="1" s="1"/>
  <c r="J1711" i="1"/>
  <c r="M1711" i="1" s="1"/>
  <c r="J1702" i="1"/>
  <c r="M1702" i="1" s="1"/>
  <c r="J584" i="1"/>
  <c r="M584" i="1" s="1"/>
  <c r="J583" i="1"/>
  <c r="M583" i="1" s="1"/>
  <c r="J582" i="1"/>
  <c r="M582" i="1" s="1"/>
  <c r="J1689" i="1"/>
  <c r="M1689" i="1" s="1"/>
  <c r="J1681" i="1"/>
  <c r="M1681" i="1" s="1"/>
  <c r="J1676" i="1"/>
  <c r="M1676" i="1" s="1"/>
  <c r="J1669" i="1"/>
  <c r="M1669" i="1" s="1"/>
  <c r="J1985" i="1"/>
  <c r="M1985" i="1" s="1"/>
  <c r="J1655" i="1"/>
  <c r="M1655" i="1" s="1"/>
  <c r="J1644" i="1"/>
  <c r="M1644" i="1" s="1"/>
  <c r="J1635" i="1"/>
  <c r="M1635" i="1" s="1"/>
  <c r="J2104" i="1"/>
  <c r="M2104" i="1" s="1"/>
  <c r="J1627" i="1"/>
  <c r="M1627" i="1" s="1"/>
  <c r="J1615" i="1"/>
  <c r="M1615" i="1" s="1"/>
  <c r="J1604" i="1"/>
  <c r="M1604" i="1" s="1"/>
  <c r="J1594" i="1"/>
  <c r="M1594" i="1" s="1"/>
  <c r="J1586" i="1"/>
  <c r="M1586" i="1" s="1"/>
  <c r="J1579" i="1"/>
  <c r="M1579" i="1" s="1"/>
  <c r="J1569" i="1"/>
  <c r="M1569" i="1" s="1"/>
  <c r="J1560" i="1"/>
  <c r="M1560" i="1" s="1"/>
  <c r="J1543" i="1"/>
  <c r="M1543" i="1" s="1"/>
  <c r="J1538" i="1"/>
  <c r="M1538" i="1" s="1"/>
  <c r="J1530" i="1"/>
  <c r="M1530" i="1" s="1"/>
  <c r="J1516" i="1"/>
  <c r="M1516" i="1" s="1"/>
  <c r="J1511" i="1"/>
  <c r="M1511" i="1" s="1"/>
  <c r="J1500" i="1"/>
  <c r="M1500" i="1" s="1"/>
  <c r="J1493" i="1"/>
  <c r="M1493" i="1" s="1"/>
  <c r="J1485" i="1"/>
  <c r="M1485" i="1" s="1"/>
  <c r="J1477" i="1"/>
  <c r="M1477" i="1" s="1"/>
  <c r="J1460" i="1"/>
  <c r="M1460" i="1" s="1"/>
  <c r="J1453" i="1"/>
  <c r="M1453" i="1" s="1"/>
  <c r="J1444" i="1"/>
  <c r="M1444" i="1" s="1"/>
  <c r="J1432" i="1"/>
  <c r="M1432" i="1" s="1"/>
  <c r="J2127" i="1"/>
  <c r="M2127" i="1" s="1"/>
  <c r="J1421" i="1"/>
  <c r="M1421" i="1" s="1"/>
  <c r="J1396" i="1"/>
  <c r="M1396" i="1" s="1"/>
  <c r="J1531" i="1"/>
  <c r="M1531" i="1" s="1"/>
  <c r="J1386" i="1"/>
  <c r="M1386" i="1" s="1"/>
  <c r="J1918" i="1"/>
  <c r="M1918" i="1" s="1"/>
  <c r="J380" i="1"/>
  <c r="M380" i="1" s="1"/>
  <c r="J335" i="1"/>
  <c r="M335" i="1" s="1"/>
  <c r="J285" i="1"/>
  <c r="M285" i="1" s="1"/>
  <c r="J244" i="1"/>
  <c r="M244" i="1" s="1"/>
  <c r="J621" i="1"/>
  <c r="M621" i="1" s="1"/>
  <c r="J1260" i="1"/>
  <c r="M1260" i="1" s="1"/>
  <c r="J607" i="1"/>
  <c r="M607" i="1" s="1"/>
  <c r="J598" i="1"/>
  <c r="M598" i="1" s="1"/>
  <c r="J597" i="1"/>
  <c r="M597" i="1" s="1"/>
  <c r="J596" i="1"/>
  <c r="M596" i="1" s="1"/>
  <c r="J1576" i="1"/>
  <c r="M1576" i="1" s="1"/>
  <c r="J595" i="1"/>
  <c r="M595" i="1" s="1"/>
  <c r="J1254" i="1"/>
  <c r="M1254" i="1" s="1"/>
  <c r="J620" i="1"/>
  <c r="M620" i="1" s="1"/>
  <c r="J619" i="1"/>
  <c r="M619" i="1" s="1"/>
  <c r="J1487" i="1"/>
  <c r="M1487" i="1" s="1"/>
  <c r="J1804" i="1"/>
  <c r="M1804" i="1" s="1"/>
  <c r="J1809" i="1"/>
  <c r="M1809" i="1" s="1"/>
  <c r="J618" i="1"/>
  <c r="M618" i="1" s="1"/>
  <c r="J617" i="1"/>
  <c r="M617" i="1" s="1"/>
  <c r="J1726" i="1"/>
  <c r="M1726" i="1" s="1"/>
  <c r="J616" i="1"/>
  <c r="M616" i="1" s="1"/>
  <c r="J615" i="1"/>
  <c r="M615" i="1" s="1"/>
  <c r="J614" i="1"/>
  <c r="M614" i="1" s="1"/>
  <c r="J420" i="1"/>
  <c r="M420" i="1" s="1"/>
  <c r="J613" i="1"/>
  <c r="M613" i="1" s="1"/>
  <c r="J7" i="1"/>
  <c r="M7" i="1" s="1"/>
  <c r="J1943" i="1"/>
  <c r="M1943" i="1" s="1"/>
  <c r="J2003" i="1"/>
  <c r="M2003" i="1" s="1"/>
  <c r="J8" i="1"/>
  <c r="M8" i="1" s="1"/>
  <c r="J612" i="1"/>
  <c r="M612" i="1" s="1"/>
  <c r="J856" i="1"/>
  <c r="M856" i="1" s="1"/>
  <c r="J611" i="1"/>
  <c r="M611" i="1" s="1"/>
  <c r="J1263" i="1"/>
  <c r="M1263" i="1" s="1"/>
  <c r="J610" i="1"/>
  <c r="M610" i="1" s="1"/>
  <c r="J609" i="1"/>
  <c r="M609" i="1" s="1"/>
  <c r="J608" i="1"/>
  <c r="M608" i="1" s="1"/>
  <c r="J606" i="1"/>
  <c r="M606" i="1" s="1"/>
  <c r="J605" i="1"/>
  <c r="M605" i="1" s="1"/>
  <c r="J604" i="1"/>
  <c r="M604" i="1" s="1"/>
  <c r="J603" i="1"/>
  <c r="M603" i="1" s="1"/>
  <c r="J602" i="1"/>
  <c r="M602" i="1" s="1"/>
  <c r="J601" i="1"/>
  <c r="M601" i="1" s="1"/>
  <c r="J600" i="1"/>
  <c r="M600" i="1" s="1"/>
  <c r="J587" i="1"/>
  <c r="M587" i="1" s="1"/>
  <c r="J586" i="1"/>
  <c r="M586" i="1" s="1"/>
  <c r="J2258" i="1"/>
  <c r="M2258" i="1" s="1"/>
  <c r="J2239" i="1"/>
  <c r="M2239" i="1" s="1"/>
  <c r="J2221" i="1"/>
  <c r="M2221" i="1" s="1"/>
  <c r="J2208" i="1"/>
  <c r="M2208" i="1" s="1"/>
  <c r="J2194" i="1"/>
  <c r="M2194" i="1" s="1"/>
  <c r="J2138" i="1"/>
  <c r="M2138" i="1" s="1"/>
  <c r="J2063" i="1"/>
  <c r="M2063" i="1" s="1"/>
  <c r="J2050" i="1"/>
  <c r="M2050" i="1" s="1"/>
  <c r="J2037" i="1"/>
  <c r="M2037" i="1" s="1"/>
  <c r="J2026" i="1"/>
  <c r="M2026" i="1" s="1"/>
  <c r="J2018" i="1"/>
  <c r="M2018" i="1" s="1"/>
  <c r="J2001" i="1"/>
  <c r="M2001" i="1" s="1"/>
  <c r="J1981" i="1"/>
  <c r="M1981" i="1" s="1"/>
  <c r="J1947" i="1"/>
  <c r="M1947" i="1" s="1"/>
  <c r="J1906" i="1"/>
  <c r="M1906" i="1" s="1"/>
  <c r="J1879" i="1"/>
  <c r="M1879" i="1" s="1"/>
  <c r="J1902" i="1"/>
  <c r="M1902" i="1" s="1"/>
  <c r="J2091" i="1"/>
  <c r="M2091" i="1" s="1"/>
  <c r="J1870" i="1"/>
  <c r="M1870" i="1" s="1"/>
  <c r="J1863" i="1"/>
  <c r="M1863" i="1" s="1"/>
  <c r="J1854" i="1"/>
  <c r="M1854" i="1" s="1"/>
  <c r="J1844" i="1"/>
  <c r="M1844" i="1" s="1"/>
  <c r="J1837" i="1"/>
  <c r="M1837" i="1" s="1"/>
  <c r="J1831" i="1"/>
  <c r="M1831" i="1" s="1"/>
  <c r="J1826" i="1"/>
  <c r="M1826" i="1" s="1"/>
  <c r="J1969" i="1"/>
  <c r="M1969" i="1" s="1"/>
  <c r="J1956" i="1"/>
  <c r="M1956" i="1" s="1"/>
  <c r="J1925" i="1"/>
  <c r="M1925" i="1" s="1"/>
  <c r="J2222" i="1"/>
  <c r="M2222" i="1" s="1"/>
  <c r="R2222" i="1" s="1"/>
  <c r="J2195" i="1"/>
  <c r="M2195" i="1" s="1"/>
  <c r="R2195" i="1" s="1"/>
  <c r="J2170" i="1"/>
  <c r="M2170" i="1" s="1"/>
  <c r="R2170" i="1" s="1"/>
  <c r="J2123" i="1"/>
  <c r="M2123" i="1" s="1"/>
  <c r="R2123" i="1" s="1"/>
  <c r="J2090" i="1"/>
  <c r="M2090" i="1" s="1"/>
  <c r="R2090" i="1" s="1"/>
  <c r="J2075" i="1"/>
  <c r="M2075" i="1" s="1"/>
  <c r="J2025" i="1"/>
  <c r="M2025" i="1" s="1"/>
  <c r="R2025" i="1" s="1"/>
  <c r="J2000" i="1"/>
  <c r="M2000" i="1" s="1"/>
  <c r="R2000" i="1" s="1"/>
  <c r="J1968" i="1"/>
  <c r="M1968" i="1" s="1"/>
  <c r="R1968" i="1" s="1"/>
  <c r="J1955" i="1"/>
  <c r="M1955" i="1" s="1"/>
  <c r="R1955" i="1" s="1"/>
  <c r="J1861" i="1"/>
  <c r="M1861" i="1" s="1"/>
  <c r="R1861" i="1" s="1"/>
  <c r="J1853" i="1"/>
  <c r="M1853" i="1" s="1"/>
  <c r="R1853" i="1" s="1"/>
  <c r="J1845" i="1"/>
  <c r="M1845" i="1" s="1"/>
  <c r="R1845" i="1" s="1"/>
  <c r="J1830" i="1"/>
  <c r="M1830" i="1" s="1"/>
  <c r="R1830" i="1" s="1"/>
  <c r="J1821" i="1"/>
  <c r="M1821" i="1" s="1"/>
  <c r="R1821" i="1" s="1"/>
  <c r="J1817" i="1"/>
  <c r="M1817" i="1" s="1"/>
  <c r="R1817" i="1" s="1"/>
  <c r="J2253" i="1"/>
  <c r="M2253" i="1" s="1"/>
  <c r="J2234" i="1"/>
  <c r="M2234" i="1" s="1"/>
  <c r="J1667" i="1"/>
  <c r="M1667" i="1" s="1"/>
  <c r="J2204" i="1"/>
  <c r="M2204" i="1" s="1"/>
  <c r="J2192" i="1"/>
  <c r="M2192" i="1" s="1"/>
  <c r="J2179" i="1"/>
  <c r="M2179" i="1" s="1"/>
  <c r="J2166" i="1"/>
  <c r="M2166" i="1" s="1"/>
  <c r="J2154" i="1"/>
  <c r="M2154" i="1" s="1"/>
  <c r="J2135" i="1"/>
  <c r="M2135" i="1" s="1"/>
  <c r="J2116" i="1"/>
  <c r="M2116" i="1" s="1"/>
  <c r="J2101" i="1"/>
  <c r="M2101" i="1" s="1"/>
  <c r="J2087" i="1"/>
  <c r="M2087" i="1" s="1"/>
  <c r="J2035" i="1"/>
  <c r="M2035" i="1" s="1"/>
  <c r="J2059" i="1"/>
  <c r="M2059" i="1" s="1"/>
  <c r="J2031" i="1"/>
  <c r="M2031" i="1" s="1"/>
  <c r="J1915" i="1"/>
  <c r="M1915" i="1" s="1"/>
  <c r="J2014" i="1"/>
  <c r="M2014" i="1" s="1"/>
  <c r="J1998" i="1"/>
  <c r="M1998" i="1" s="1"/>
  <c r="J1987" i="1"/>
  <c r="M1987" i="1" s="1"/>
  <c r="J1963" i="1"/>
  <c r="M1963" i="1" s="1"/>
  <c r="J1952" i="1"/>
  <c r="M1952" i="1" s="1"/>
  <c r="J1977" i="1"/>
  <c r="M1977" i="1" s="1"/>
  <c r="J1942" i="1"/>
  <c r="M1942" i="1" s="1"/>
  <c r="J1922" i="1"/>
  <c r="M1922" i="1" s="1"/>
  <c r="J1903" i="1"/>
  <c r="M1903" i="1" s="1"/>
  <c r="J1887" i="1"/>
  <c r="M1887" i="1" s="1"/>
  <c r="J1876" i="1"/>
  <c r="M1876" i="1" s="1"/>
  <c r="J2126" i="1"/>
  <c r="M2126" i="1" s="1"/>
  <c r="J1849" i="1"/>
  <c r="M1849" i="1" s="1"/>
  <c r="J1841" i="1"/>
  <c r="M1841" i="1" s="1"/>
  <c r="J1835" i="1"/>
  <c r="M1835" i="1" s="1"/>
  <c r="J1829" i="1"/>
  <c r="M1829" i="1" s="1"/>
  <c r="J1824" i="1"/>
  <c r="M1824" i="1" s="1"/>
  <c r="J2048" i="1"/>
  <c r="M2048" i="1" s="1"/>
  <c r="J1815" i="1"/>
  <c r="M1815" i="1" s="1"/>
  <c r="J1799" i="1"/>
  <c r="M1799" i="1" s="1"/>
  <c r="J1792" i="1"/>
  <c r="M1792" i="1" s="1"/>
  <c r="J1766" i="1"/>
  <c r="M1766" i="1" s="1"/>
  <c r="J1753" i="1"/>
  <c r="M1753" i="1" s="1"/>
  <c r="J1743" i="1"/>
  <c r="M1743" i="1" s="1"/>
  <c r="J1701" i="1"/>
  <c r="M1701" i="1" s="1"/>
  <c r="J1650" i="1"/>
  <c r="M1650" i="1" s="1"/>
  <c r="J2080" i="1"/>
  <c r="M2080" i="1" s="1"/>
  <c r="J1378" i="1"/>
  <c r="M1378" i="1" s="1"/>
  <c r="J1372" i="1"/>
  <c r="M1372" i="1" s="1"/>
  <c r="J1365" i="1"/>
  <c r="M1365" i="1" s="1"/>
  <c r="J1357" i="1"/>
  <c r="M1357" i="1" s="1"/>
  <c r="J1353" i="1"/>
  <c r="M1353" i="1" s="1"/>
  <c r="J1347" i="1"/>
  <c r="M1347" i="1" s="1"/>
  <c r="J1343" i="1"/>
  <c r="M1343" i="1" s="1"/>
  <c r="J1336" i="1"/>
  <c r="M1336" i="1" s="1"/>
  <c r="J1329" i="1"/>
  <c r="M1329" i="1" s="1"/>
  <c r="J1326" i="1"/>
  <c r="M1326" i="1" s="1"/>
  <c r="J1321" i="1"/>
  <c r="M1321" i="1" s="1"/>
  <c r="J1317" i="1"/>
  <c r="M1317" i="1" s="1"/>
  <c r="J1311" i="1"/>
  <c r="M1311" i="1" s="1"/>
  <c r="J1305" i="1"/>
  <c r="M1305" i="1" s="1"/>
  <c r="J1300" i="1"/>
  <c r="M1300" i="1" s="1"/>
  <c r="J1295" i="1"/>
  <c r="M1295" i="1" s="1"/>
  <c r="J1290" i="1"/>
  <c r="M1290" i="1" s="1"/>
  <c r="J1285" i="1"/>
  <c r="M1285" i="1" s="1"/>
  <c r="J1276" i="1"/>
  <c r="M1276" i="1" s="1"/>
  <c r="J1266" i="1"/>
  <c r="M1266" i="1" s="1"/>
  <c r="J1261" i="1"/>
  <c r="M1261" i="1" s="1"/>
  <c r="J1255" i="1"/>
  <c r="M1255" i="1" s="1"/>
  <c r="J1250" i="1"/>
  <c r="M1250" i="1" s="1"/>
  <c r="J1245" i="1"/>
  <c r="M1245" i="1" s="1"/>
  <c r="J1239" i="1"/>
  <c r="M1239" i="1" s="1"/>
  <c r="J1235" i="1"/>
  <c r="M1235" i="1" s="1"/>
  <c r="J1230" i="1"/>
  <c r="M1230" i="1" s="1"/>
  <c r="J1225" i="1"/>
  <c r="M1225" i="1" s="1"/>
  <c r="J1220" i="1"/>
  <c r="M1220" i="1" s="1"/>
  <c r="J1724" i="1"/>
  <c r="M1724" i="1" s="1"/>
  <c r="J1622" i="1"/>
  <c r="M1622" i="1" s="1"/>
  <c r="J1614" i="1"/>
  <c r="M1614" i="1" s="1"/>
  <c r="J1781" i="1"/>
  <c r="M1781" i="1" s="1"/>
  <c r="J1634" i="1"/>
  <c r="M1634" i="1" s="1"/>
  <c r="J1603" i="1"/>
  <c r="M1603" i="1" s="1"/>
  <c r="J1492" i="1"/>
  <c r="M1492" i="1" s="1"/>
  <c r="J1695" i="1"/>
  <c r="M1695" i="1" s="1"/>
  <c r="J1416" i="1"/>
  <c r="M1416" i="1" s="1"/>
  <c r="J2045" i="1"/>
  <c r="M2045" i="1" s="1"/>
  <c r="J1858" i="1"/>
  <c r="M1858" i="1" s="1"/>
  <c r="J1810" i="1"/>
  <c r="M1810" i="1" s="1"/>
  <c r="J1773" i="1"/>
  <c r="M1773" i="1" s="1"/>
  <c r="J1760" i="1"/>
  <c r="M1760" i="1" s="1"/>
  <c r="J1732" i="1"/>
  <c r="M1732" i="1" s="1"/>
  <c r="J1719" i="1"/>
  <c r="M1719" i="1" s="1"/>
  <c r="J1710" i="1"/>
  <c r="M1710" i="1" s="1"/>
  <c r="J1688" i="1"/>
  <c r="M1688" i="1" s="1"/>
  <c r="J1680" i="1"/>
  <c r="M1680" i="1" s="1"/>
  <c r="J1674" i="1"/>
  <c r="M1674" i="1" s="1"/>
  <c r="J1668" i="1"/>
  <c r="M1668" i="1" s="1"/>
  <c r="J1663" i="1"/>
  <c r="M1663" i="1" s="1"/>
  <c r="J1659" i="1"/>
  <c r="M1659" i="1" s="1"/>
  <c r="J1654" i="1"/>
  <c r="M1654" i="1" s="1"/>
  <c r="J1642" i="1"/>
  <c r="M1642" i="1" s="1"/>
  <c r="J1631" i="1"/>
  <c r="M1631" i="1" s="1"/>
  <c r="J1626" i="1"/>
  <c r="M1626" i="1" s="1"/>
  <c r="J1913" i="1"/>
  <c r="M1913" i="1" s="1"/>
  <c r="J1894" i="1"/>
  <c r="M1894" i="1" s="1"/>
  <c r="J1589" i="1"/>
  <c r="M1589" i="1" s="1"/>
  <c r="J1585" i="1"/>
  <c r="M1585" i="1" s="1"/>
  <c r="J1578" i="1"/>
  <c r="M1578" i="1" s="1"/>
  <c r="J1567" i="1"/>
  <c r="M1567" i="1" s="1"/>
  <c r="J1559" i="1"/>
  <c r="M1559" i="1" s="1"/>
  <c r="J1550" i="1"/>
  <c r="M1550" i="1" s="1"/>
  <c r="J1542" i="1"/>
  <c r="M1542" i="1" s="1"/>
  <c r="J1536" i="1"/>
  <c r="M1536" i="1" s="1"/>
  <c r="J1529" i="1"/>
  <c r="M1529" i="1" s="1"/>
  <c r="J1523" i="1"/>
  <c r="M1523" i="1" s="1"/>
  <c r="J1515" i="1"/>
  <c r="M1515" i="1" s="1"/>
  <c r="J1510" i="1"/>
  <c r="M1510" i="1" s="1"/>
  <c r="J1507" i="1"/>
  <c r="M1507" i="1" s="1"/>
  <c r="J1499" i="1"/>
  <c r="M1499" i="1" s="1"/>
  <c r="J1484" i="1"/>
  <c r="M1484" i="1" s="1"/>
  <c r="J1476" i="1"/>
  <c r="M1476" i="1" s="1"/>
  <c r="J1470" i="1"/>
  <c r="M1470" i="1" s="1"/>
  <c r="J1464" i="1"/>
  <c r="M1464" i="1" s="1"/>
  <c r="J1459" i="1"/>
  <c r="M1459" i="1" s="1"/>
  <c r="J1450" i="1"/>
  <c r="M1450" i="1" s="1"/>
  <c r="J1443" i="1"/>
  <c r="M1443" i="1" s="1"/>
  <c r="J1438" i="1"/>
  <c r="M1438" i="1" s="1"/>
  <c r="J1431" i="1"/>
  <c r="M1431" i="1" s="1"/>
  <c r="J1425" i="1"/>
  <c r="M1425" i="1" s="1"/>
  <c r="J1420" i="1"/>
  <c r="M1420" i="1" s="1"/>
  <c r="J1409" i="1"/>
  <c r="M1409" i="1" s="1"/>
  <c r="J1403" i="1"/>
  <c r="M1403" i="1" s="1"/>
  <c r="J1395" i="1"/>
  <c r="M1395" i="1" s="1"/>
  <c r="J1390" i="1"/>
  <c r="M1390" i="1" s="1"/>
  <c r="J1179" i="1"/>
  <c r="M1179" i="1" s="1"/>
  <c r="J1385" i="1"/>
  <c r="M1385" i="1" s="1"/>
  <c r="J1215" i="1"/>
  <c r="M1215" i="1" s="1"/>
  <c r="J1213" i="1"/>
  <c r="M1213" i="1" s="1"/>
  <c r="J1208" i="1"/>
  <c r="M1208" i="1" s="1"/>
  <c r="J1202" i="1"/>
  <c r="M1202" i="1" s="1"/>
  <c r="J1198" i="1"/>
  <c r="M1198" i="1" s="1"/>
  <c r="J1194" i="1"/>
  <c r="M1194" i="1" s="1"/>
  <c r="J1191" i="1"/>
  <c r="M1191" i="1" s="1"/>
  <c r="J1188" i="1"/>
  <c r="M1188" i="1" s="1"/>
  <c r="J1182" i="1"/>
  <c r="M1182" i="1" s="1"/>
  <c r="J1174" i="1"/>
  <c r="M1174" i="1" s="1"/>
  <c r="J1169" i="1"/>
  <c r="M1169" i="1" s="1"/>
  <c r="J1164" i="1"/>
  <c r="M1164" i="1" s="1"/>
  <c r="J1160" i="1"/>
  <c r="M1160" i="1" s="1"/>
  <c r="J1155" i="1"/>
  <c r="M1155" i="1" s="1"/>
  <c r="J1151" i="1"/>
  <c r="M1151" i="1" s="1"/>
  <c r="J1148" i="1"/>
  <c r="M1148" i="1" s="1"/>
  <c r="J1145" i="1"/>
  <c r="M1145" i="1" s="1"/>
  <c r="J1143" i="1"/>
  <c r="M1143" i="1" s="1"/>
  <c r="J1140" i="1"/>
  <c r="M1140" i="1" s="1"/>
  <c r="J1137" i="1"/>
  <c r="M1137" i="1" s="1"/>
  <c r="J1134" i="1"/>
  <c r="M1134" i="1" s="1"/>
  <c r="J1131" i="1"/>
  <c r="M1131" i="1" s="1"/>
  <c r="J1129" i="1"/>
  <c r="M1129" i="1" s="1"/>
  <c r="J1124" i="1"/>
  <c r="M1124" i="1" s="1"/>
  <c r="J1122" i="1"/>
  <c r="M1122" i="1" s="1"/>
  <c r="J1119" i="1"/>
  <c r="M1119" i="1" s="1"/>
  <c r="J1117" i="1"/>
  <c r="M1117" i="1" s="1"/>
  <c r="J1115" i="1"/>
  <c r="M1115" i="1" s="1"/>
  <c r="J1112" i="1"/>
  <c r="M1112" i="1" s="1"/>
  <c r="J1108" i="1"/>
  <c r="M1108" i="1" s="1"/>
  <c r="J1104" i="1"/>
  <c r="M1104" i="1" s="1"/>
  <c r="J1100" i="1"/>
  <c r="M1100" i="1" s="1"/>
  <c r="J1094" i="1"/>
  <c r="M1094" i="1" s="1"/>
  <c r="J1092" i="1"/>
  <c r="M1092" i="1" s="1"/>
  <c r="J1089" i="1"/>
  <c r="M1089" i="1" s="1"/>
  <c r="J1086" i="1"/>
  <c r="M1086" i="1" s="1"/>
  <c r="J1081" i="1"/>
  <c r="M1081" i="1" s="1"/>
  <c r="J1076" i="1"/>
  <c r="M1076" i="1" s="1"/>
  <c r="J1073" i="1"/>
  <c r="M1073" i="1" s="1"/>
  <c r="J1069" i="1"/>
  <c r="M1069" i="1" s="1"/>
  <c r="J1066" i="1"/>
  <c r="M1066" i="1" s="1"/>
  <c r="J1063" i="1"/>
  <c r="M1063" i="1" s="1"/>
  <c r="J1060" i="1"/>
  <c r="M1060" i="1" s="1"/>
  <c r="J1056" i="1"/>
  <c r="M1056" i="1" s="1"/>
  <c r="J1052" i="1"/>
  <c r="M1052" i="1" s="1"/>
  <c r="J1048" i="1"/>
  <c r="M1048" i="1" s="1"/>
  <c r="J1047" i="1"/>
  <c r="M1047" i="1" s="1"/>
  <c r="J1044" i="1"/>
  <c r="M1044" i="1" s="1"/>
  <c r="J1042" i="1"/>
  <c r="M1042" i="1" s="1"/>
  <c r="J1040" i="1"/>
  <c r="M1040" i="1" s="1"/>
  <c r="J1037" i="1"/>
  <c r="M1037" i="1" s="1"/>
  <c r="J1035" i="1"/>
  <c r="M1035" i="1" s="1"/>
  <c r="J1033" i="1"/>
  <c r="M1033" i="1" s="1"/>
  <c r="J1031" i="1"/>
  <c r="M1031" i="1" s="1"/>
  <c r="J1027" i="1"/>
  <c r="M1027" i="1" s="1"/>
  <c r="J1025" i="1"/>
  <c r="M1025" i="1" s="1"/>
  <c r="J1023" i="1"/>
  <c r="M1023" i="1" s="1"/>
  <c r="J1020" i="1"/>
  <c r="M1020" i="1" s="1"/>
  <c r="J1017" i="1"/>
  <c r="M1017" i="1" s="1"/>
  <c r="J1015" i="1"/>
  <c r="M1015" i="1" s="1"/>
  <c r="J1013" i="1"/>
  <c r="M1013" i="1" s="1"/>
  <c r="J1009" i="1"/>
  <c r="M1009" i="1" s="1"/>
  <c r="J1006" i="1"/>
  <c r="M1006" i="1" s="1"/>
  <c r="J1004" i="1"/>
  <c r="M1004" i="1" s="1"/>
  <c r="J1002" i="1"/>
  <c r="M1002" i="1" s="1"/>
  <c r="J998" i="1"/>
  <c r="M998" i="1" s="1"/>
  <c r="J996" i="1"/>
  <c r="M996" i="1" s="1"/>
  <c r="J992" i="1"/>
  <c r="M992" i="1" s="1"/>
  <c r="J989" i="1"/>
  <c r="M989" i="1" s="1"/>
  <c r="J987" i="1"/>
  <c r="M987" i="1" s="1"/>
  <c r="R985" i="1"/>
  <c r="J2173" i="1"/>
  <c r="M2173" i="1" s="1"/>
  <c r="J2159" i="1"/>
  <c r="M2159" i="1" s="1"/>
  <c r="J2139" i="1"/>
  <c r="M2139" i="1" s="1"/>
  <c r="J1379" i="1"/>
  <c r="M1379" i="1" s="1"/>
  <c r="J2106" i="1"/>
  <c r="M2106" i="1" s="1"/>
  <c r="J2094" i="1"/>
  <c r="M2094" i="1" s="1"/>
  <c r="J2077" i="1"/>
  <c r="M2077" i="1" s="1"/>
  <c r="J286" i="1"/>
  <c r="M286" i="1" s="1"/>
  <c r="J2052" i="1"/>
  <c r="M2052" i="1" s="1"/>
  <c r="J2038" i="1"/>
  <c r="M2038" i="1" s="1"/>
  <c r="J2027" i="1"/>
  <c r="M2027" i="1" s="1"/>
  <c r="J2019" i="1"/>
  <c r="M2019" i="1" s="1"/>
  <c r="J2002" i="1"/>
  <c r="M2002" i="1" s="1"/>
  <c r="J1991" i="1"/>
  <c r="M1991" i="1" s="1"/>
  <c r="J1983" i="1"/>
  <c r="M1983" i="1" s="1"/>
  <c r="J1971" i="1"/>
  <c r="M1971" i="1" s="1"/>
  <c r="J2243" i="1"/>
  <c r="M2243" i="1" s="1"/>
  <c r="J2227" i="1"/>
  <c r="M2227" i="1" s="1"/>
  <c r="J2211" i="1"/>
  <c r="M2211" i="1" s="1"/>
  <c r="J2198" i="1"/>
  <c r="M2198" i="1" s="1"/>
  <c r="J2185" i="1"/>
  <c r="M2185" i="1" s="1"/>
  <c r="J2174" i="1"/>
  <c r="M2174" i="1" s="1"/>
  <c r="J2160" i="1"/>
  <c r="M2160" i="1" s="1"/>
  <c r="J2140" i="1"/>
  <c r="M2140" i="1" s="1"/>
  <c r="J2124" i="1"/>
  <c r="M2124" i="1" s="1"/>
  <c r="J2107" i="1"/>
  <c r="M2107" i="1" s="1"/>
  <c r="J2078" i="1"/>
  <c r="M2078" i="1" s="1"/>
  <c r="J2065" i="1"/>
  <c r="M2065" i="1" s="1"/>
  <c r="J2053" i="1"/>
  <c r="M2053" i="1" s="1"/>
  <c r="J2028" i="1"/>
  <c r="M2028" i="1" s="1"/>
  <c r="J2021" i="1"/>
  <c r="M2021" i="1" s="1"/>
  <c r="J1993" i="1"/>
  <c r="M1993" i="1" s="1"/>
  <c r="J1203" i="1"/>
  <c r="M1203" i="1" s="1"/>
  <c r="J1733" i="1"/>
  <c r="M1733" i="1" s="1"/>
  <c r="J2229" i="1"/>
  <c r="M2229" i="1" s="1"/>
  <c r="J2214" i="1"/>
  <c r="M2214" i="1" s="1"/>
  <c r="J2200" i="1"/>
  <c r="M2200" i="1" s="1"/>
  <c r="J2187" i="1"/>
  <c r="M2187" i="1" s="1"/>
  <c r="J2175" i="1"/>
  <c r="M2175" i="1" s="1"/>
  <c r="J2162" i="1"/>
  <c r="M2162" i="1" s="1"/>
  <c r="J2143" i="1"/>
  <c r="M2143" i="1" s="1"/>
  <c r="J1785" i="1"/>
  <c r="M1785" i="1" s="1"/>
  <c r="J2081" i="1"/>
  <c r="M2081" i="1" s="1"/>
  <c r="J2068" i="1"/>
  <c r="M2068" i="1" s="1"/>
  <c r="J2055" i="1"/>
  <c r="M2055" i="1" s="1"/>
  <c r="J2039" i="1"/>
  <c r="M2039" i="1" s="1"/>
  <c r="J356" i="1"/>
  <c r="M356" i="1" s="1"/>
  <c r="J594" i="1"/>
  <c r="M594" i="1" s="1"/>
  <c r="J593" i="1"/>
  <c r="M593" i="1" s="1"/>
  <c r="J592" i="1"/>
  <c r="M592" i="1" s="1"/>
  <c r="J591" i="1"/>
  <c r="M591" i="1" s="1"/>
  <c r="J2240" i="1"/>
  <c r="M2240" i="1" s="1"/>
  <c r="J2223" i="1"/>
  <c r="M2223" i="1" s="1"/>
  <c r="J2209" i="1"/>
  <c r="M2209" i="1" s="1"/>
  <c r="J2196" i="1"/>
  <c r="M2196" i="1" s="1"/>
  <c r="J2171" i="1"/>
  <c r="M2171" i="1" s="1"/>
  <c r="J2158" i="1"/>
  <c r="M2158" i="1" s="1"/>
  <c r="J2105" i="1"/>
  <c r="M2105" i="1" s="1"/>
  <c r="J2092" i="1"/>
  <c r="M2092" i="1" s="1"/>
  <c r="J2076" i="1"/>
  <c r="M2076" i="1" s="1"/>
  <c r="J2064" i="1"/>
  <c r="M2064" i="1" s="1"/>
  <c r="J1990" i="1"/>
  <c r="M1990" i="1" s="1"/>
  <c r="J1982" i="1"/>
  <c r="M1982" i="1" s="1"/>
  <c r="J1970" i="1"/>
  <c r="M1970" i="1" s="1"/>
  <c r="J1958" i="1"/>
  <c r="M1958" i="1" s="1"/>
  <c r="J1948" i="1"/>
  <c r="M1948" i="1" s="1"/>
  <c r="J1907" i="1"/>
  <c r="M1907" i="1" s="1"/>
  <c r="J1871" i="1"/>
  <c r="M1871" i="1" s="1"/>
  <c r="J1846" i="1"/>
  <c r="M1846" i="1" s="1"/>
  <c r="J1838" i="1"/>
  <c r="M1838" i="1" s="1"/>
  <c r="J1832" i="1"/>
  <c r="M1832" i="1" s="1"/>
  <c r="J1827" i="1"/>
  <c r="M1827" i="1" s="1"/>
  <c r="J1812" i="1"/>
  <c r="M1812" i="1" s="1"/>
  <c r="J1783" i="1"/>
  <c r="M1783" i="1" s="1"/>
  <c r="J1776" i="1"/>
  <c r="M1776" i="1" s="1"/>
  <c r="J1762" i="1"/>
  <c r="M1762" i="1" s="1"/>
  <c r="J1756" i="1"/>
  <c r="M1756" i="1" s="1"/>
  <c r="J1750" i="1"/>
  <c r="M1750" i="1" s="1"/>
  <c r="J1744" i="1"/>
  <c r="M1744" i="1" s="1"/>
  <c r="J1727" i="1"/>
  <c r="M1727" i="1" s="1"/>
  <c r="J1721" i="1"/>
  <c r="M1721" i="1" s="1"/>
  <c r="J1713" i="1"/>
  <c r="M1713" i="1" s="1"/>
  <c r="J1703" i="1"/>
  <c r="M1703" i="1" s="1"/>
  <c r="J1696" i="1"/>
  <c r="M1696" i="1" s="1"/>
  <c r="J1690" i="1"/>
  <c r="M1690" i="1" s="1"/>
  <c r="J1682" i="1"/>
  <c r="M1682" i="1" s="1"/>
  <c r="J1677" i="1"/>
  <c r="M1677" i="1" s="1"/>
  <c r="J1670" i="1"/>
  <c r="M1670" i="1" s="1"/>
  <c r="J1660" i="1"/>
  <c r="M1660" i="1" s="1"/>
  <c r="J1656" i="1"/>
  <c r="M1656" i="1" s="1"/>
  <c r="J1651" i="1"/>
  <c r="M1651" i="1" s="1"/>
  <c r="J1645" i="1"/>
  <c r="M1645" i="1" s="1"/>
  <c r="J1636" i="1"/>
  <c r="M1636" i="1" s="1"/>
  <c r="J1628" i="1"/>
  <c r="M1628" i="1" s="1"/>
  <c r="J1623" i="1"/>
  <c r="M1623" i="1" s="1"/>
  <c r="J1616" i="1"/>
  <c r="M1616" i="1" s="1"/>
  <c r="J1610" i="1"/>
  <c r="M1610" i="1" s="1"/>
  <c r="J1605" i="1"/>
  <c r="M1605" i="1" s="1"/>
  <c r="J1595" i="1"/>
  <c r="M1595" i="1" s="1"/>
  <c r="J1590" i="1"/>
  <c r="M1590" i="1" s="1"/>
  <c r="J1917" i="1"/>
  <c r="M1917" i="1" s="1"/>
  <c r="J1897" i="1"/>
  <c r="M1897" i="1" s="1"/>
  <c r="J1890" i="1"/>
  <c r="M1890" i="1" s="1"/>
  <c r="J1881" i="1"/>
  <c r="M1881" i="1" s="1"/>
  <c r="J1864" i="1"/>
  <c r="M1864" i="1" s="1"/>
  <c r="J1801" i="1"/>
  <c r="M1801" i="1" s="1"/>
  <c r="J1571" i="1"/>
  <c r="M1571" i="1" s="1"/>
  <c r="J1561" i="1"/>
  <c r="M1561" i="1" s="1"/>
  <c r="J1552" i="1"/>
  <c r="M1552" i="1" s="1"/>
  <c r="J1545" i="1"/>
  <c r="M1545" i="1" s="1"/>
  <c r="J1539" i="1"/>
  <c r="M1539" i="1" s="1"/>
  <c r="J1532" i="1"/>
  <c r="M1532" i="1" s="1"/>
  <c r="J1525" i="1"/>
  <c r="M1525" i="1" s="1"/>
  <c r="J1517" i="1"/>
  <c r="M1517" i="1" s="1"/>
  <c r="J1514" i="1"/>
  <c r="M1514" i="1" s="1"/>
  <c r="J1501" i="1"/>
  <c r="M1501" i="1" s="1"/>
  <c r="J1494" i="1"/>
  <c r="M1494" i="1" s="1"/>
  <c r="J1479" i="1"/>
  <c r="M1479" i="1" s="1"/>
  <c r="J1466" i="1"/>
  <c r="M1466" i="1" s="1"/>
  <c r="J1446" i="1"/>
  <c r="M1446" i="1" s="1"/>
  <c r="J1440" i="1"/>
  <c r="M1440" i="1" s="1"/>
  <c r="J1433" i="1"/>
  <c r="M1433" i="1" s="1"/>
  <c r="J1427" i="1"/>
  <c r="M1427" i="1" s="1"/>
  <c r="J1417" i="1"/>
  <c r="M1417" i="1" s="1"/>
  <c r="J1410" i="1"/>
  <c r="M1410" i="1" s="1"/>
  <c r="J1405" i="1"/>
  <c r="M1405" i="1" s="1"/>
  <c r="J1397" i="1"/>
  <c r="M1397" i="1" s="1"/>
  <c r="J1391" i="1"/>
  <c r="M1391" i="1" s="1"/>
  <c r="J1382" i="1"/>
  <c r="M1382" i="1" s="1"/>
  <c r="J1374" i="1"/>
  <c r="M1374" i="1" s="1"/>
  <c r="J1368" i="1"/>
  <c r="M1368" i="1" s="1"/>
  <c r="J1349" i="1"/>
  <c r="M1349" i="1" s="1"/>
  <c r="J1337" i="1"/>
  <c r="M1337" i="1" s="1"/>
  <c r="J1322" i="1"/>
  <c r="M1322" i="1" s="1"/>
  <c r="J1296" i="1"/>
  <c r="M1296" i="1" s="1"/>
  <c r="J1291" i="1"/>
  <c r="M1291" i="1" s="1"/>
  <c r="J1286" i="1"/>
  <c r="M1286" i="1" s="1"/>
  <c r="J1282" i="1"/>
  <c r="M1282" i="1" s="1"/>
  <c r="J1277" i="1"/>
  <c r="M1277" i="1" s="1"/>
  <c r="J1267" i="1"/>
  <c r="M1267" i="1" s="1"/>
  <c r="J1256" i="1"/>
  <c r="M1256" i="1" s="1"/>
  <c r="J1246" i="1"/>
  <c r="M1246" i="1" s="1"/>
  <c r="J1240" i="1"/>
  <c r="M1240" i="1" s="1"/>
  <c r="J1236" i="1"/>
  <c r="M1236" i="1" s="1"/>
  <c r="J1251" i="1"/>
  <c r="M1251" i="1" s="1"/>
  <c r="J1231" i="1"/>
  <c r="M1231" i="1" s="1"/>
  <c r="J1113" i="1"/>
  <c r="M1113" i="1" s="1"/>
  <c r="J1388" i="1"/>
  <c r="M1388" i="1" s="1"/>
  <c r="J1359" i="1"/>
  <c r="M1359" i="1" s="1"/>
  <c r="J1330" i="1"/>
  <c r="M1330" i="1" s="1"/>
  <c r="J1312" i="1"/>
  <c r="M1312" i="1" s="1"/>
  <c r="J1262" i="1"/>
  <c r="M1262" i="1" s="1"/>
  <c r="J1226" i="1"/>
  <c r="M1226" i="1" s="1"/>
  <c r="J1221" i="1"/>
  <c r="M1221" i="1" s="1"/>
  <c r="J1216" i="1"/>
  <c r="M1216" i="1" s="1"/>
  <c r="J1214" i="1"/>
  <c r="M1214" i="1" s="1"/>
  <c r="J1209" i="1"/>
  <c r="M1209" i="1" s="1"/>
  <c r="J1204" i="1"/>
  <c r="M1204" i="1" s="1"/>
  <c r="J1199" i="1"/>
  <c r="M1199" i="1" s="1"/>
  <c r="J1195" i="1"/>
  <c r="M1195" i="1" s="1"/>
  <c r="J1192" i="1"/>
  <c r="M1192" i="1" s="1"/>
  <c r="J1189" i="1"/>
  <c r="M1189" i="1" s="1"/>
  <c r="J1184" i="1"/>
  <c r="M1184" i="1" s="1"/>
  <c r="J1180" i="1"/>
  <c r="M1180" i="1" s="1"/>
  <c r="J1175" i="1"/>
  <c r="M1175" i="1" s="1"/>
  <c r="J1170" i="1"/>
  <c r="M1170" i="1" s="1"/>
  <c r="J1165" i="1"/>
  <c r="M1165" i="1" s="1"/>
  <c r="J1161" i="1"/>
  <c r="M1161" i="1" s="1"/>
  <c r="J1156" i="1"/>
  <c r="M1156" i="1" s="1"/>
  <c r="J1152" i="1"/>
  <c r="M1152" i="1" s="1"/>
  <c r="J1149" i="1"/>
  <c r="M1149" i="1" s="1"/>
  <c r="J1146" i="1"/>
  <c r="M1146" i="1" s="1"/>
  <c r="J1141" i="1"/>
  <c r="M1141" i="1" s="1"/>
  <c r="J1138" i="1"/>
  <c r="M1138" i="1" s="1"/>
  <c r="J1135" i="1"/>
  <c r="M1135" i="1" s="1"/>
  <c r="J1132" i="1"/>
  <c r="M1132" i="1" s="1"/>
  <c r="J1123" i="1"/>
  <c r="M1123" i="1" s="1"/>
  <c r="J1120" i="1"/>
  <c r="M1120" i="1" s="1"/>
  <c r="J1109" i="1"/>
  <c r="M1109" i="1" s="1"/>
  <c r="J1102" i="1"/>
  <c r="M1102" i="1" s="1"/>
  <c r="J1090" i="1"/>
  <c r="M1090" i="1" s="1"/>
  <c r="J1087" i="1"/>
  <c r="M1087" i="1" s="1"/>
  <c r="J1083" i="1"/>
  <c r="M1083" i="1" s="1"/>
  <c r="J1077" i="1"/>
  <c r="M1077" i="1" s="1"/>
  <c r="J1070" i="1"/>
  <c r="M1070" i="1" s="1"/>
  <c r="J1061" i="1"/>
  <c r="M1061" i="1" s="1"/>
  <c r="J1054" i="1"/>
  <c r="M1054" i="1" s="1"/>
  <c r="J1049" i="1"/>
  <c r="M1049" i="1" s="1"/>
  <c r="J2249" i="1"/>
  <c r="M2249" i="1" s="1"/>
  <c r="J2128" i="1"/>
  <c r="M2128" i="1" s="1"/>
  <c r="J2202" i="1"/>
  <c r="M2202" i="1" s="1"/>
  <c r="J2189" i="1"/>
  <c r="M2189" i="1" s="1"/>
  <c r="J2177" i="1"/>
  <c r="M2177" i="1" s="1"/>
  <c r="J2164" i="1"/>
  <c r="M2164" i="1" s="1"/>
  <c r="J2149" i="1"/>
  <c r="M2149" i="1" s="1"/>
  <c r="J2131" i="1"/>
  <c r="M2131" i="1" s="1"/>
  <c r="J2111" i="1"/>
  <c r="M2111" i="1" s="1"/>
  <c r="J2070" i="1"/>
  <c r="M2070" i="1" s="1"/>
  <c r="J2082" i="1"/>
  <c r="M2082" i="1" s="1"/>
  <c r="J1557" i="1"/>
  <c r="M1557" i="1" s="1"/>
  <c r="J1451" i="1"/>
  <c r="M1451" i="1" s="1"/>
  <c r="J1185" i="1"/>
  <c r="M1185" i="1" s="1"/>
  <c r="J790" i="1"/>
  <c r="M790" i="1" s="1"/>
  <c r="J255" i="1"/>
  <c r="M255" i="1" s="1"/>
  <c r="J67" i="1"/>
  <c r="M67" i="1" s="1"/>
  <c r="J1413" i="1"/>
  <c r="M1413" i="1" s="1"/>
  <c r="J782" i="1"/>
  <c r="M782" i="1" s="1"/>
  <c r="J670" i="1"/>
  <c r="M670" i="1" s="1"/>
  <c r="J655" i="1"/>
  <c r="M655" i="1" s="1"/>
  <c r="J2020" i="1"/>
  <c r="M2020" i="1" s="1"/>
  <c r="J1078" i="1"/>
  <c r="M1078" i="1" s="1"/>
  <c r="J1580" i="1"/>
  <c r="M1580" i="1" s="1"/>
  <c r="J1562" i="1"/>
  <c r="M1562" i="1" s="1"/>
  <c r="J995" i="1"/>
  <c r="M995" i="1" s="1"/>
  <c r="J1411" i="1"/>
  <c r="M1411" i="1" s="1"/>
  <c r="J1862" i="1"/>
  <c r="M1862" i="1" s="1"/>
  <c r="J1105" i="1"/>
  <c r="M1105" i="1" s="1"/>
  <c r="J1360" i="1"/>
  <c r="M1360" i="1" s="1"/>
  <c r="J1428" i="1"/>
  <c r="M1428" i="1" s="1"/>
  <c r="J1323" i="1"/>
  <c r="M1323" i="1" s="1"/>
  <c r="J1478" i="1"/>
  <c r="M1478" i="1" s="1"/>
  <c r="J1707" i="1"/>
  <c r="M1707" i="1" s="1"/>
  <c r="J1011" i="1"/>
  <c r="M1011" i="1" s="1"/>
  <c r="J2099" i="1"/>
  <c r="M2099" i="1" s="1"/>
  <c r="J1577" i="1"/>
  <c r="M1577" i="1" s="1"/>
  <c r="J770" i="1"/>
  <c r="M770" i="1" s="1"/>
  <c r="J200" i="1"/>
  <c r="M200" i="1" s="1"/>
  <c r="J950" i="1"/>
  <c r="M950" i="1" s="1"/>
  <c r="J1157" i="1"/>
  <c r="M1157" i="1" s="1"/>
  <c r="J1098" i="1"/>
  <c r="M1098" i="1" s="1"/>
  <c r="J994" i="1"/>
  <c r="M994" i="1" s="1"/>
  <c r="J1259" i="1"/>
  <c r="M1259" i="1" s="1"/>
  <c r="J694" i="1"/>
  <c r="M694" i="1" s="1"/>
  <c r="J1193" i="1"/>
  <c r="M1193" i="1" s="1"/>
  <c r="J668" i="1"/>
  <c r="M668" i="1" s="1"/>
  <c r="J1079" i="1"/>
  <c r="M1079" i="1" s="1"/>
  <c r="J758" i="1"/>
  <c r="M758" i="1" s="1"/>
  <c r="J416" i="1"/>
  <c r="M416" i="1" s="1"/>
  <c r="J1639" i="1"/>
  <c r="M1639" i="1" s="1"/>
  <c r="J513" i="1"/>
  <c r="M513" i="1" s="1"/>
  <c r="J835" i="1"/>
  <c r="M835" i="1" s="1"/>
  <c r="J1436" i="1"/>
  <c r="M1436" i="1" s="1"/>
  <c r="J1340" i="1"/>
  <c r="M1340" i="1" s="1"/>
  <c r="J343" i="1"/>
  <c r="M343" i="1" s="1"/>
  <c r="J1126" i="1"/>
  <c r="M1126" i="1" s="1"/>
  <c r="J1513" i="1"/>
  <c r="M1513" i="1" s="1"/>
  <c r="J1125" i="1"/>
  <c r="M1125" i="1" s="1"/>
  <c r="J1643" i="1"/>
  <c r="M1643" i="1" s="1"/>
  <c r="J1218" i="1"/>
  <c r="M1218" i="1" s="1"/>
  <c r="J1873" i="1"/>
  <c r="M1873" i="1" s="1"/>
  <c r="J1030" i="1"/>
  <c r="M1030" i="1" s="1"/>
  <c r="J1882" i="1"/>
  <c r="M1882" i="1" s="1"/>
  <c r="J565" i="1"/>
  <c r="M565" i="1" s="1"/>
  <c r="J775" i="1"/>
  <c r="M775" i="1" s="1"/>
  <c r="J924" i="1"/>
  <c r="M924" i="1" s="1"/>
  <c r="J371" i="1"/>
  <c r="M371" i="1" s="1"/>
  <c r="J564" i="1"/>
  <c r="M564" i="1" s="1"/>
  <c r="J1742" i="1"/>
  <c r="M1742" i="1" s="1"/>
  <c r="J150" i="1"/>
  <c r="M150" i="1" s="1"/>
  <c r="J410" i="1"/>
  <c r="M410" i="1" s="1"/>
  <c r="J1503" i="1"/>
  <c r="M1503" i="1" s="1"/>
  <c r="J1570" i="1"/>
  <c r="M1570" i="1" s="1"/>
  <c r="J2132" i="1"/>
  <c r="M2132" i="1" s="1"/>
  <c r="J1537" i="1"/>
  <c r="M1537" i="1" s="1"/>
  <c r="J322" i="1"/>
  <c r="M322" i="1" s="1"/>
  <c r="J663" i="1"/>
  <c r="M663" i="1" s="1"/>
  <c r="J1880" i="1"/>
  <c r="M1880" i="1" s="1"/>
  <c r="J1304" i="1"/>
  <c r="M1304" i="1" s="1"/>
  <c r="J192" i="1"/>
  <c r="M192" i="1" s="1"/>
  <c r="J742" i="1"/>
  <c r="M742" i="1" s="1"/>
  <c r="J1367" i="1"/>
  <c r="M1367" i="1" s="1"/>
  <c r="J1929" i="1"/>
  <c r="M1929" i="1" s="1"/>
  <c r="J1402" i="1"/>
  <c r="M1402" i="1" s="1"/>
  <c r="J2257" i="1"/>
  <c r="M2257" i="1" s="1"/>
  <c r="J2238" i="1"/>
  <c r="M2238" i="1" s="1"/>
  <c r="J2220" i="1"/>
  <c r="M2220" i="1" s="1"/>
  <c r="J2207" i="1"/>
  <c r="M2207" i="1" s="1"/>
  <c r="J2242" i="1"/>
  <c r="M2242" i="1" s="1"/>
  <c r="J2226" i="1"/>
  <c r="M2226" i="1" s="1"/>
  <c r="J2210" i="1"/>
  <c r="M2210" i="1" s="1"/>
  <c r="J2245" i="1"/>
  <c r="M2245" i="1" s="1"/>
  <c r="J144" i="1"/>
  <c r="M144" i="1" s="1"/>
  <c r="J119" i="1"/>
  <c r="M119" i="1" s="1"/>
  <c r="J135" i="1"/>
  <c r="M135" i="1" s="1"/>
  <c r="J2072" i="1"/>
  <c r="M2072" i="1" s="1"/>
  <c r="J448" i="1"/>
  <c r="M448" i="1" s="1"/>
  <c r="J1520" i="1"/>
  <c r="M1520" i="1" s="1"/>
  <c r="J2150" i="1"/>
  <c r="M2150" i="1" s="1"/>
  <c r="J487" i="1"/>
  <c r="M487" i="1" s="1"/>
  <c r="J392" i="1"/>
  <c r="M392" i="1" s="1"/>
  <c r="J329" i="1"/>
  <c r="M329" i="1" s="1"/>
  <c r="J2112" i="1"/>
  <c r="M2112" i="1" s="1"/>
  <c r="J2136" i="1"/>
  <c r="M2136" i="1" s="1"/>
  <c r="J2146" i="1"/>
  <c r="M2146" i="1" s="1"/>
  <c r="J2147" i="1"/>
  <c r="M2147" i="1" s="1"/>
  <c r="J2004" i="1"/>
  <c r="M2004" i="1" s="1"/>
  <c r="J1675" i="1"/>
  <c r="M1675" i="1" s="1"/>
  <c r="J489" i="1"/>
  <c r="M489" i="1" s="1"/>
  <c r="J2009" i="1"/>
  <c r="M2009" i="1" s="1"/>
  <c r="J2129" i="1"/>
  <c r="M2129" i="1" s="1"/>
  <c r="J2148" i="1"/>
  <c r="M2148" i="1" s="1"/>
  <c r="J2093" i="1"/>
  <c r="M2093" i="1" s="1"/>
  <c r="J1901" i="1"/>
  <c r="M1901" i="1" s="1"/>
  <c r="J320" i="1"/>
  <c r="M320" i="1" s="1"/>
  <c r="J2108" i="1"/>
  <c r="M2108" i="1" s="1"/>
  <c r="J2118" i="1"/>
  <c r="M2118" i="1" s="1"/>
  <c r="J1709" i="1"/>
  <c r="M1709" i="1" s="1"/>
  <c r="J1896" i="1"/>
  <c r="M1896" i="1" s="1"/>
  <c r="J825" i="1"/>
  <c r="M825" i="1" s="1"/>
  <c r="J2067" i="1"/>
  <c r="M2067" i="1" s="1"/>
  <c r="J61" i="1"/>
  <c r="M61" i="1" s="1"/>
  <c r="J1551" i="1"/>
  <c r="M1551" i="1" s="1"/>
  <c r="J293" i="1"/>
  <c r="M293" i="1" s="1"/>
  <c r="J438" i="1"/>
  <c r="M438" i="1" s="1"/>
  <c r="J484" i="1"/>
  <c r="M484" i="1" s="1"/>
  <c r="J483" i="1"/>
  <c r="M483" i="1" s="1"/>
  <c r="J1790" i="1"/>
  <c r="M1790" i="1" s="1"/>
  <c r="J1755" i="1"/>
  <c r="M1755" i="1" s="1"/>
  <c r="J1808" i="1"/>
  <c r="M1808" i="1" s="1"/>
  <c r="J2046" i="1"/>
  <c r="M2046" i="1" s="1"/>
  <c r="J490" i="1"/>
  <c r="M490" i="1" s="1"/>
  <c r="J93" i="1"/>
  <c r="M93" i="1" s="1"/>
  <c r="J2006" i="1"/>
  <c r="M2006" i="1" s="1"/>
  <c r="J869" i="1"/>
  <c r="J2044" i="1"/>
  <c r="M2044" i="1" s="1"/>
  <c r="J1965" i="1"/>
  <c r="M1965" i="1" s="1"/>
  <c r="J1869" i="1"/>
  <c r="M1869" i="1" s="1"/>
  <c r="J1549" i="1"/>
  <c r="M1549" i="1" s="1"/>
  <c r="R1549" i="1" s="1"/>
  <c r="J2244" i="1"/>
  <c r="M2244" i="1" s="1"/>
  <c r="R2244" i="1" s="1"/>
  <c r="J2228" i="1"/>
  <c r="M2228" i="1" s="1"/>
  <c r="R2228" i="1" s="1"/>
  <c r="J2212" i="1"/>
  <c r="M2212" i="1" s="1"/>
  <c r="R2212" i="1" s="1"/>
  <c r="J2199" i="1"/>
  <c r="M2199" i="1" s="1"/>
  <c r="R2199" i="1" s="1"/>
  <c r="J2186" i="1"/>
  <c r="M2186" i="1" s="1"/>
  <c r="R2186" i="1" s="1"/>
  <c r="J1718" i="1"/>
  <c r="M1718" i="1" s="1"/>
  <c r="J2216" i="1"/>
  <c r="M2216" i="1" s="1"/>
  <c r="J2084" i="1"/>
  <c r="M2084" i="1" s="1"/>
  <c r="J2056" i="1"/>
  <c r="M2056" i="1" s="1"/>
  <c r="J2040" i="1"/>
  <c r="M2040" i="1" s="1"/>
  <c r="J1325" i="1"/>
  <c r="M1325" i="1" s="1"/>
  <c r="J2007" i="1"/>
  <c r="M2007" i="1" s="1"/>
  <c r="J1994" i="1"/>
  <c r="M1994" i="1" s="1"/>
  <c r="J1974" i="1"/>
  <c r="M1974" i="1" s="1"/>
  <c r="J590" i="1"/>
  <c r="M590" i="1" s="1"/>
  <c r="J589" i="1"/>
  <c r="M589" i="1" s="1"/>
  <c r="J1950" i="1"/>
  <c r="M1950" i="1" s="1"/>
  <c r="J1920" i="1"/>
  <c r="M1920" i="1" s="1"/>
  <c r="J2011" i="1"/>
  <c r="M2011" i="1" s="1"/>
  <c r="J1874" i="1"/>
  <c r="M1874" i="1" s="1"/>
  <c r="J2151" i="1"/>
  <c r="M2151" i="1" s="1"/>
  <c r="J1796" i="1"/>
  <c r="M1796" i="1" s="1"/>
  <c r="J1788" i="1"/>
  <c r="M1788" i="1" s="1"/>
  <c r="J1758" i="1"/>
  <c r="M1758" i="1" s="1"/>
  <c r="J1751" i="1"/>
  <c r="M1751" i="1" s="1"/>
  <c r="J1738" i="1"/>
  <c r="M1738" i="1" s="1"/>
  <c r="J1692" i="1"/>
  <c r="M1692" i="1" s="1"/>
  <c r="J2218" i="1"/>
  <c r="M2218" i="1" s="1"/>
  <c r="J1629" i="1"/>
  <c r="M1629" i="1" s="1"/>
  <c r="J1564" i="1"/>
  <c r="M1564" i="1" s="1"/>
  <c r="J1960" i="1"/>
  <c r="M1960" i="1" s="1"/>
  <c r="J1909" i="1"/>
  <c r="M1909" i="1" s="1"/>
  <c r="J1834" i="1"/>
  <c r="M1834" i="1" s="1"/>
  <c r="J1822" i="1"/>
  <c r="M1822" i="1" s="1"/>
  <c r="J1819" i="1"/>
  <c r="M1819" i="1" s="1"/>
  <c r="J1764" i="1"/>
  <c r="M1764" i="1" s="1"/>
  <c r="J1715" i="1"/>
  <c r="M1715" i="1" s="1"/>
  <c r="J1331" i="1"/>
  <c r="M1331" i="1" s="1"/>
  <c r="J2051" i="1"/>
  <c r="M2051" i="1" s="1"/>
  <c r="J1599" i="1"/>
  <c r="M1599" i="1" s="1"/>
  <c r="J1488" i="1"/>
  <c r="M1488" i="1" s="1"/>
  <c r="J1435" i="1"/>
  <c r="M1435" i="1" s="1"/>
  <c r="R2075" i="1"/>
  <c r="R585" i="1"/>
  <c r="R1471" i="1"/>
  <c r="R374" i="1"/>
  <c r="R190" i="1"/>
  <c r="R68" i="1"/>
  <c r="R525" i="1"/>
  <c r="R469" i="1"/>
  <c r="R451" i="1"/>
  <c r="R1243" i="1"/>
  <c r="R1211" i="1"/>
  <c r="R1163" i="1"/>
  <c r="M2248" i="1" l="1"/>
  <c r="M869" i="1"/>
  <c r="M1911" i="1"/>
  <c r="R1911" i="1" s="1"/>
  <c r="M406" i="1"/>
  <c r="R406" i="1" s="1"/>
  <c r="M266" i="1"/>
  <c r="R266" i="1" s="1"/>
  <c r="M318" i="1"/>
  <c r="R318" i="1" s="1"/>
  <c r="M424" i="1"/>
  <c r="R424" i="1" s="1"/>
  <c r="M213" i="1"/>
  <c r="R213" i="1" s="1"/>
  <c r="M216" i="1"/>
  <c r="R216" i="1" s="1"/>
  <c r="M2036" i="1"/>
  <c r="R2036" i="1" s="1"/>
  <c r="R553" i="1" l="1"/>
  <c r="R500" i="1"/>
  <c r="R501" i="1"/>
  <c r="R283" i="1"/>
  <c r="R2245" i="1" l="1"/>
  <c r="R2210" i="1"/>
  <c r="R2226" i="1"/>
  <c r="R2242" i="1"/>
  <c r="R2207" i="1"/>
  <c r="R2220" i="1"/>
  <c r="R2238" i="1"/>
  <c r="R2257" i="1"/>
  <c r="R1402" i="1"/>
  <c r="R1929" i="1"/>
  <c r="R1367" i="1"/>
  <c r="R742" i="1"/>
  <c r="R192" i="1"/>
  <c r="R1304" i="1"/>
  <c r="R1880" i="1"/>
  <c r="R663" i="1"/>
  <c r="R322" i="1"/>
  <c r="R1537" i="1"/>
  <c r="R2132" i="1"/>
  <c r="R1570" i="1"/>
  <c r="R1503" i="1"/>
  <c r="R410" i="1"/>
  <c r="R150" i="1"/>
  <c r="R1742" i="1"/>
  <c r="R564" i="1"/>
  <c r="R371" i="1"/>
  <c r="R924" i="1"/>
  <c r="R775" i="1"/>
  <c r="R565" i="1"/>
  <c r="R1882" i="1"/>
  <c r="R1030" i="1"/>
  <c r="R1873" i="1"/>
  <c r="R1218" i="1"/>
  <c r="R1643" i="1"/>
  <c r="R1125" i="1"/>
  <c r="R1513" i="1"/>
  <c r="R1126" i="1"/>
  <c r="R343" i="1"/>
  <c r="R1340" i="1"/>
  <c r="R1436" i="1"/>
  <c r="R835" i="1"/>
  <c r="R513" i="1"/>
  <c r="R1639" i="1"/>
  <c r="R416" i="1"/>
  <c r="R758" i="1"/>
  <c r="R1079" i="1"/>
  <c r="R668" i="1"/>
  <c r="R1193" i="1"/>
  <c r="R694" i="1"/>
  <c r="R1259" i="1"/>
  <c r="R994" i="1"/>
  <c r="R1098" i="1"/>
  <c r="R1157" i="1"/>
  <c r="R950" i="1"/>
  <c r="R200" i="1"/>
  <c r="R770" i="1"/>
  <c r="R1577" i="1"/>
  <c r="R2099" i="1"/>
  <c r="R1011" i="1"/>
  <c r="R1707" i="1"/>
  <c r="R1478" i="1"/>
  <c r="R1323" i="1"/>
  <c r="R1428" i="1"/>
  <c r="R1360" i="1"/>
  <c r="R1105" i="1"/>
  <c r="R1862" i="1"/>
  <c r="R1411" i="1"/>
  <c r="R995" i="1"/>
  <c r="R1562" i="1"/>
  <c r="R1580" i="1"/>
  <c r="R1078" i="1"/>
  <c r="R2020" i="1"/>
  <c r="R655" i="1"/>
  <c r="R670" i="1"/>
  <c r="R782" i="1"/>
  <c r="R1413" i="1"/>
  <c r="R67" i="1"/>
  <c r="R255" i="1"/>
  <c r="R790" i="1"/>
  <c r="R1185" i="1"/>
  <c r="R1451" i="1"/>
  <c r="R1557" i="1"/>
  <c r="R2082" i="1"/>
  <c r="R1918" i="1" l="1"/>
  <c r="R380" i="1"/>
  <c r="R335" i="1"/>
  <c r="R285" i="1"/>
  <c r="R244" i="1"/>
  <c r="R2205" i="1" l="1"/>
  <c r="R2181" i="1"/>
  <c r="R2168" i="1"/>
  <c r="R2156" i="1"/>
  <c r="R2102" i="1"/>
  <c r="R2061" i="1"/>
  <c r="R2121" i="1"/>
  <c r="R2032" i="1"/>
  <c r="R1979" i="1"/>
  <c r="R1966" i="1"/>
  <c r="R1923" i="1"/>
  <c r="R1851" i="1"/>
  <c r="R1794" i="1"/>
  <c r="R1775" i="1"/>
  <c r="R1768" i="1"/>
  <c r="R1735" i="1"/>
  <c r="R1554" i="1" l="1"/>
  <c r="R378" i="1"/>
  <c r="R332" i="1"/>
  <c r="R214" i="1"/>
  <c r="R178" i="1"/>
  <c r="R82" i="1"/>
  <c r="R530" i="1" l="1"/>
  <c r="R522" i="1"/>
  <c r="R317" i="1"/>
  <c r="R260" i="1"/>
  <c r="R233" i="1"/>
  <c r="R467" i="1"/>
  <c r="R280" i="1"/>
  <c r="R276" i="1"/>
  <c r="R263" i="1"/>
  <c r="R238" i="1"/>
  <c r="R220" i="1"/>
  <c r="R196" i="1"/>
  <c r="R193" i="1"/>
  <c r="R187" i="1"/>
  <c r="R370" i="1"/>
  <c r="R236" i="1"/>
  <c r="R206" i="1"/>
  <c r="R170" i="1"/>
  <c r="R158" i="1"/>
  <c r="R137" i="1"/>
  <c r="R181" i="1"/>
  <c r="R146" i="1"/>
  <c r="R142" i="1"/>
  <c r="R132" i="1"/>
  <c r="R80" i="1"/>
  <c r="R301" i="1"/>
  <c r="R222" i="1"/>
  <c r="R201" i="1"/>
  <c r="R164" i="1"/>
  <c r="R102" i="1"/>
  <c r="R99" i="1"/>
  <c r="R91" i="1"/>
  <c r="R84" i="1"/>
  <c r="R368" i="1"/>
  <c r="R363" i="1"/>
  <c r="R321" i="1"/>
  <c r="R290" i="1"/>
  <c r="R273" i="1"/>
  <c r="R186" i="1"/>
  <c r="R169" i="1"/>
  <c r="R154" i="1"/>
  <c r="R79" i="1"/>
  <c r="R352" i="1"/>
  <c r="R351" i="1"/>
  <c r="R162" i="1"/>
  <c r="R316" i="1" l="1"/>
  <c r="R313" i="1"/>
  <c r="R306" i="1"/>
  <c r="R269" i="1"/>
  <c r="R262" i="1"/>
  <c r="R258" i="1"/>
  <c r="R253" i="1"/>
  <c r="R227" i="1"/>
  <c r="R209" i="1"/>
  <c r="R208" i="1"/>
  <c r="R199" i="1"/>
  <c r="R183" i="1"/>
  <c r="R131" i="1"/>
  <c r="R130" i="1"/>
  <c r="R129" i="1"/>
  <c r="R128" i="1"/>
  <c r="R127" i="1"/>
  <c r="R98" i="1"/>
  <c r="R78" i="1"/>
  <c r="R359" i="1"/>
  <c r="R232" i="1"/>
  <c r="R217" i="1"/>
  <c r="R174" i="1"/>
  <c r="R145" i="1"/>
  <c r="R140" i="1"/>
  <c r="R90" i="1"/>
  <c r="R86" i="1"/>
  <c r="R75" i="1"/>
  <c r="R70" i="1"/>
  <c r="R536" i="1"/>
  <c r="R74" i="1"/>
  <c r="R72" i="1"/>
  <c r="R1658" i="1" l="1"/>
  <c r="R1649" i="1"/>
  <c r="R1630" i="1"/>
  <c r="R1625" i="1"/>
  <c r="R1619" i="1"/>
  <c r="R1608" i="1"/>
  <c r="R1600" i="1"/>
  <c r="R1593" i="1"/>
  <c r="R1588" i="1"/>
  <c r="R1582" i="1"/>
  <c r="R1574" i="1"/>
  <c r="R1565" i="1"/>
  <c r="R1556" i="1"/>
  <c r="R1547" i="1"/>
  <c r="R1541" i="1"/>
  <c r="R1534" i="1"/>
  <c r="R1527" i="1"/>
  <c r="R1521" i="1"/>
  <c r="R1509" i="1"/>
  <c r="R1505" i="1"/>
  <c r="R1496" i="1"/>
  <c r="R1489" i="1"/>
  <c r="R1482" i="1"/>
  <c r="R1474" i="1"/>
  <c r="R1468" i="1"/>
  <c r="R1457" i="1"/>
  <c r="R1437" i="1"/>
  <c r="R1430" i="1"/>
  <c r="R1423" i="1"/>
  <c r="R1418" i="1"/>
  <c r="R1414" i="1"/>
  <c r="R1377" i="1"/>
  <c r="R1362" i="1"/>
  <c r="R1355" i="1"/>
  <c r="R1335" i="1"/>
  <c r="R1315" i="1"/>
  <c r="R1309" i="1"/>
  <c r="R1302" i="1"/>
  <c r="R1275" i="1"/>
  <c r="R1271" i="1"/>
  <c r="R1258" i="1"/>
  <c r="R1843" i="1" l="1"/>
  <c r="R1860" i="1"/>
  <c r="R1889" i="1"/>
  <c r="R1999" i="1"/>
  <c r="R1852" i="1"/>
  <c r="R1868" i="1"/>
  <c r="R1878" i="1"/>
  <c r="R1905" i="1"/>
  <c r="R1916" i="1"/>
  <c r="R1924" i="1"/>
  <c r="R1934" i="1"/>
  <c r="R1938" i="1"/>
  <c r="R1946" i="1"/>
  <c r="R1954" i="1"/>
  <c r="R1967" i="1"/>
  <c r="R1980" i="1"/>
  <c r="R1989" i="1"/>
  <c r="R2017" i="1"/>
  <c r="R2034" i="1"/>
  <c r="R2049" i="1"/>
  <c r="R2062" i="1"/>
  <c r="R2074" i="1"/>
  <c r="R2089" i="1"/>
  <c r="R2103" i="1"/>
  <c r="R2122" i="1"/>
  <c r="R2137" i="1"/>
  <c r="R2024" i="1"/>
  <c r="R2157" i="1"/>
  <c r="R2169" i="1"/>
  <c r="R2182" i="1"/>
  <c r="R2193" i="1"/>
  <c r="R2206" i="1"/>
  <c r="R2219" i="1"/>
  <c r="R2237" i="1"/>
  <c r="R2256" i="1"/>
  <c r="R2070" i="1"/>
  <c r="R2111" i="1"/>
  <c r="R2131" i="1"/>
  <c r="R2149" i="1"/>
  <c r="R2164" i="1"/>
  <c r="R2177" i="1"/>
  <c r="R2189" i="1"/>
  <c r="R2202" i="1"/>
  <c r="R2128" i="1"/>
  <c r="R2249" i="1"/>
  <c r="R1049" i="1"/>
  <c r="R1054" i="1"/>
  <c r="R1061" i="1"/>
  <c r="R1070" i="1"/>
  <c r="R1077" i="1"/>
  <c r="R1083" i="1"/>
  <c r="R1087" i="1"/>
  <c r="R1090" i="1"/>
  <c r="R1102" i="1"/>
  <c r="R1109" i="1"/>
  <c r="R1120" i="1"/>
  <c r="R1123" i="1"/>
  <c r="R1132" i="1"/>
  <c r="R1135" i="1"/>
  <c r="R1138" i="1"/>
  <c r="R1141" i="1"/>
  <c r="R1146" i="1"/>
  <c r="R1149" i="1"/>
  <c r="R1152" i="1"/>
  <c r="R1156" i="1"/>
  <c r="R1161" i="1"/>
  <c r="R1165" i="1"/>
  <c r="R1170" i="1"/>
  <c r="R1175" i="1"/>
  <c r="R1180" i="1"/>
  <c r="R1184" i="1"/>
  <c r="R1189" i="1"/>
  <c r="R1192" i="1"/>
  <c r="R1195" i="1"/>
  <c r="R1199" i="1"/>
  <c r="R1204" i="1"/>
  <c r="R1209" i="1"/>
  <c r="R1214" i="1"/>
  <c r="R1216" i="1"/>
  <c r="R1221" i="1"/>
  <c r="R1226" i="1"/>
  <c r="R1262" i="1"/>
  <c r="R1312" i="1"/>
  <c r="R1330" i="1"/>
  <c r="R1359" i="1"/>
  <c r="R1388" i="1"/>
  <c r="R1113" i="1"/>
  <c r="R1231" i="1"/>
  <c r="R1251" i="1"/>
  <c r="R1236" i="1"/>
  <c r="R1240" i="1"/>
  <c r="R1246" i="1"/>
  <c r="R1256" i="1"/>
  <c r="R1267" i="1"/>
  <c r="R1277" i="1"/>
  <c r="R1282" i="1"/>
  <c r="R1286" i="1"/>
  <c r="R1291" i="1"/>
  <c r="R1296" i="1"/>
  <c r="R1322" i="1"/>
  <c r="R1337" i="1"/>
  <c r="R1349" i="1"/>
  <c r="R1368" i="1"/>
  <c r="R1374" i="1"/>
  <c r="R1382" i="1"/>
  <c r="R1391" i="1"/>
  <c r="R1397" i="1"/>
  <c r="R1405" i="1"/>
  <c r="R1410" i="1"/>
  <c r="R1417" i="1"/>
  <c r="R1427" i="1"/>
  <c r="R1433" i="1"/>
  <c r="R1440" i="1"/>
  <c r="R1446" i="1"/>
  <c r="R1466" i="1"/>
  <c r="R1479" i="1"/>
  <c r="R1494" i="1"/>
  <c r="R1501" i="1"/>
  <c r="R1514" i="1"/>
  <c r="R1517" i="1"/>
  <c r="R1525" i="1"/>
  <c r="R1532" i="1"/>
  <c r="R1539" i="1"/>
  <c r="R1545" i="1"/>
  <c r="R1552" i="1"/>
  <c r="R1561" i="1"/>
  <c r="R1571" i="1"/>
  <c r="R1801" i="1"/>
  <c r="R1864" i="1"/>
  <c r="R1881" i="1"/>
  <c r="R1890" i="1"/>
  <c r="R1897" i="1"/>
  <c r="R1917" i="1"/>
  <c r="R1590" i="1"/>
  <c r="R1595" i="1"/>
  <c r="R1605" i="1"/>
  <c r="R1610" i="1"/>
  <c r="R1616" i="1"/>
  <c r="R1623" i="1"/>
  <c r="R1628" i="1"/>
  <c r="R1636" i="1"/>
  <c r="R1645" i="1"/>
  <c r="R1651" i="1"/>
  <c r="R1656" i="1"/>
  <c r="R1660" i="1"/>
  <c r="R1670" i="1"/>
  <c r="R1677" i="1"/>
  <c r="R1682" i="1"/>
  <c r="R1690" i="1"/>
  <c r="R1696" i="1"/>
  <c r="R1703" i="1"/>
  <c r="R1713" i="1"/>
  <c r="R1721" i="1"/>
  <c r="R1727" i="1"/>
  <c r="R1744" i="1"/>
  <c r="R1750" i="1"/>
  <c r="R1756" i="1"/>
  <c r="R1762" i="1"/>
  <c r="R1776" i="1"/>
  <c r="R1783" i="1"/>
  <c r="R1812" i="1"/>
  <c r="R1827" i="1"/>
  <c r="R1832" i="1"/>
  <c r="R1838" i="1"/>
  <c r="R1846" i="1"/>
  <c r="R1871" i="1"/>
  <c r="R1907" i="1"/>
  <c r="R1948" i="1"/>
  <c r="R1958" i="1"/>
  <c r="R1970" i="1"/>
  <c r="R1982" i="1"/>
  <c r="R1990" i="1"/>
  <c r="R2064" i="1"/>
  <c r="R2076" i="1"/>
  <c r="R2092" i="1"/>
  <c r="R2105" i="1"/>
  <c r="R2158" i="1"/>
  <c r="R2171" i="1"/>
  <c r="R2196" i="1"/>
  <c r="R2209" i="1"/>
  <c r="R2223" i="1"/>
  <c r="R2240" i="1"/>
  <c r="R591" i="1"/>
  <c r="R592" i="1"/>
  <c r="R593" i="1"/>
  <c r="R594" i="1"/>
  <c r="R356" i="1"/>
  <c r="R2039" i="1"/>
  <c r="R2055" i="1"/>
  <c r="R2068" i="1"/>
  <c r="R2081" i="1"/>
  <c r="R1785" i="1"/>
  <c r="R2143" i="1"/>
  <c r="R2162" i="1"/>
  <c r="R2175" i="1"/>
  <c r="R2187" i="1"/>
  <c r="R2200" i="1"/>
  <c r="R2214" i="1"/>
  <c r="R2229" i="1"/>
  <c r="R1733" i="1"/>
  <c r="R1203" i="1"/>
  <c r="R1993" i="1"/>
  <c r="R2021" i="1"/>
  <c r="R2028" i="1"/>
  <c r="R2053" i="1"/>
  <c r="R2065" i="1"/>
  <c r="R2078" i="1"/>
  <c r="R2107" i="1"/>
  <c r="R2124" i="1"/>
  <c r="R2140" i="1"/>
  <c r="R2160" i="1"/>
  <c r="R2174" i="1"/>
  <c r="R2185" i="1"/>
  <c r="R2198" i="1"/>
  <c r="R2211" i="1"/>
  <c r="R2227" i="1"/>
  <c r="R2243" i="1"/>
  <c r="R1971" i="1"/>
  <c r="R1983" i="1"/>
  <c r="R1991" i="1"/>
  <c r="R2002" i="1"/>
  <c r="R2019" i="1"/>
  <c r="R2027" i="1"/>
  <c r="R2038" i="1"/>
  <c r="R2052" i="1"/>
  <c r="R286" i="1"/>
  <c r="R2077" i="1"/>
  <c r="R2094" i="1"/>
  <c r="R2106" i="1"/>
  <c r="R1379" i="1"/>
  <c r="R2139" i="1"/>
  <c r="R2159" i="1"/>
  <c r="R2173" i="1"/>
  <c r="H2183" i="1"/>
  <c r="I2225" i="1"/>
  <c r="H2225" i="1"/>
  <c r="G2225" i="1"/>
  <c r="H2241" i="1"/>
  <c r="G2241" i="1"/>
  <c r="J2241" i="1" s="1"/>
  <c r="R874" i="1"/>
  <c r="R875" i="1"/>
  <c r="R879" i="1"/>
  <c r="R884" i="1"/>
  <c r="R889" i="1"/>
  <c r="R890" i="1"/>
  <c r="R891" i="1"/>
  <c r="R892" i="1"/>
  <c r="R893" i="1"/>
  <c r="R895" i="1"/>
  <c r="R896" i="1"/>
  <c r="R897" i="1"/>
  <c r="R898" i="1"/>
  <c r="R900" i="1"/>
  <c r="R901" i="1"/>
  <c r="R902" i="1"/>
  <c r="R903" i="1"/>
  <c r="R904" i="1"/>
  <c r="R906" i="1"/>
  <c r="R908" i="1"/>
  <c r="R910" i="1"/>
  <c r="R912" i="1"/>
  <c r="R913" i="1"/>
  <c r="R914" i="1"/>
  <c r="R916" i="1"/>
  <c r="R917" i="1"/>
  <c r="R926" i="1"/>
  <c r="R927" i="1"/>
  <c r="R928" i="1"/>
  <c r="R940" i="1"/>
  <c r="R941" i="1"/>
  <c r="R942" i="1"/>
  <c r="R944" i="1"/>
  <c r="R945" i="1"/>
  <c r="R947" i="1"/>
  <c r="R948" i="1"/>
  <c r="R949" i="1"/>
  <c r="R959" i="1"/>
  <c r="R961" i="1"/>
  <c r="R962" i="1"/>
  <c r="R963" i="1"/>
  <c r="R965" i="1"/>
  <c r="R979" i="1"/>
  <c r="R980" i="1"/>
  <c r="R981" i="1"/>
  <c r="R982" i="1"/>
  <c r="R983" i="1"/>
  <c r="R984" i="1"/>
  <c r="R986" i="1"/>
  <c r="R988" i="1"/>
  <c r="R991" i="1"/>
  <c r="R993" i="1"/>
  <c r="R997" i="1"/>
  <c r="R1021" i="1"/>
  <c r="R1032" i="1"/>
  <c r="R1039" i="1"/>
  <c r="R1064" i="1"/>
  <c r="R1071" i="1"/>
  <c r="R1074" i="1"/>
  <c r="R1091" i="1"/>
  <c r="R1095" i="1"/>
  <c r="R1103" i="1"/>
  <c r="R1106" i="1"/>
  <c r="R1116" i="1"/>
  <c r="R1118" i="1"/>
  <c r="R1181" i="1"/>
  <c r="R1196" i="1"/>
  <c r="R1200" i="1"/>
  <c r="R1205" i="1"/>
  <c r="R1210" i="1"/>
  <c r="R1217" i="1"/>
  <c r="R1227" i="1"/>
  <c r="R1237" i="1"/>
  <c r="R1248" i="1"/>
  <c r="R1252" i="1"/>
  <c r="R1314" i="1"/>
  <c r="R1327" i="1"/>
  <c r="R1333" i="1"/>
  <c r="R1361" i="1"/>
  <c r="R1384" i="1"/>
  <c r="R1398" i="1"/>
  <c r="R1461" i="1"/>
  <c r="R1519" i="1"/>
  <c r="R1540" i="1"/>
  <c r="R1572" i="1"/>
  <c r="R1598" i="1"/>
  <c r="R1787" i="1"/>
  <c r="R1407" i="1"/>
  <c r="R899" i="1"/>
  <c r="R918" i="1"/>
  <c r="R920" i="1"/>
  <c r="R921" i="1"/>
  <c r="R922" i="1"/>
  <c r="R930" i="1"/>
  <c r="R931" i="1"/>
  <c r="R933" i="1"/>
  <c r="R935" i="1"/>
  <c r="R937" i="1"/>
  <c r="R939" i="1"/>
  <c r="R955" i="1"/>
  <c r="R956" i="1"/>
  <c r="R957" i="1"/>
  <c r="R968" i="1"/>
  <c r="R969" i="1"/>
  <c r="R971" i="1"/>
  <c r="R972" i="1"/>
  <c r="R974" i="1"/>
  <c r="R976" i="1"/>
  <c r="R978" i="1"/>
  <c r="R999" i="1"/>
  <c r="R1003" i="1"/>
  <c r="R1005" i="1"/>
  <c r="R1008" i="1"/>
  <c r="R1010" i="1"/>
  <c r="R1014" i="1"/>
  <c r="R1016" i="1"/>
  <c r="R1019" i="1"/>
  <c r="R1024" i="1"/>
  <c r="R1026" i="1"/>
  <c r="R1028" i="1"/>
  <c r="R1043" i="1"/>
  <c r="R1045" i="1"/>
  <c r="R1050" i="1"/>
  <c r="R1055" i="1"/>
  <c r="R1058" i="1"/>
  <c r="R1062" i="1"/>
  <c r="R1067" i="1"/>
  <c r="R1186" i="1"/>
  <c r="R1190" i="1"/>
  <c r="R1222" i="1"/>
  <c r="R1232" i="1"/>
  <c r="R1264" i="1"/>
  <c r="R1269" i="1"/>
  <c r="R1292" i="1"/>
  <c r="R1297" i="1"/>
  <c r="R1301" i="1"/>
  <c r="R1375" i="1"/>
  <c r="R1467" i="1"/>
  <c r="R1481" i="1"/>
  <c r="R1486" i="1"/>
  <c r="R1872" i="1"/>
  <c r="R1885" i="1"/>
  <c r="R954" i="1"/>
  <c r="R1034" i="1"/>
  <c r="R1036" i="1"/>
  <c r="R1084" i="1"/>
  <c r="R1088" i="1"/>
  <c r="R1114" i="1"/>
  <c r="R1121" i="1"/>
  <c r="R1128" i="1"/>
  <c r="R1130" i="1"/>
  <c r="R1133" i="1"/>
  <c r="R1139" i="1"/>
  <c r="R1142" i="1"/>
  <c r="R1150" i="1"/>
  <c r="R1162" i="1"/>
  <c r="R1166" i="1"/>
  <c r="R1172" i="1"/>
  <c r="R1306" i="1"/>
  <c r="R1324" i="1"/>
  <c r="R1345" i="1"/>
  <c r="R1354" i="1"/>
  <c r="R1546" i="1"/>
  <c r="R1563" i="1"/>
  <c r="R1607" i="1"/>
  <c r="R1624" i="1"/>
  <c r="R1632" i="1"/>
  <c r="R1638" i="1"/>
  <c r="R1647" i="1"/>
  <c r="R1665" i="1"/>
  <c r="R1672" i="1"/>
  <c r="R1684" i="1"/>
  <c r="R1770" i="1"/>
  <c r="R1803" i="1"/>
  <c r="R1900" i="1"/>
  <c r="R1928" i="1"/>
  <c r="R1940" i="1"/>
  <c r="R1973" i="1"/>
  <c r="R1144" i="1"/>
  <c r="R1147" i="1"/>
  <c r="R1177" i="1"/>
  <c r="R1241" i="1"/>
  <c r="R1257" i="1"/>
  <c r="R1273" i="1"/>
  <c r="R1278" i="1"/>
  <c r="R1283" i="1"/>
  <c r="R1287" i="1"/>
  <c r="R1351" i="1"/>
  <c r="R1533" i="1"/>
  <c r="R1581" i="1"/>
  <c r="R1587" i="1"/>
  <c r="R1591" i="1"/>
  <c r="R1611" i="1"/>
  <c r="R1617" i="1"/>
  <c r="R1729" i="1"/>
  <c r="R1737" i="1"/>
  <c r="R1746" i="1"/>
  <c r="R1763" i="1"/>
  <c r="R1778" i="1"/>
  <c r="R1833" i="1"/>
  <c r="R1893" i="1"/>
  <c r="R2069" i="1"/>
  <c r="R2083" i="1"/>
  <c r="R2096" i="1"/>
  <c r="R2110" i="1"/>
  <c r="R2130" i="1"/>
  <c r="R2144" i="1"/>
  <c r="R2163" i="1"/>
  <c r="R2176" i="1"/>
  <c r="R2188" i="1"/>
  <c r="R2201" i="1"/>
  <c r="R2215" i="1"/>
  <c r="R2230" i="1"/>
  <c r="R2248" i="1"/>
  <c r="R1313" i="1"/>
  <c r="R1332" i="1"/>
  <c r="R1339" i="1"/>
  <c r="R1344" i="1"/>
  <c r="R1350" i="1"/>
  <c r="R1369" i="1"/>
  <c r="R1383" i="1"/>
  <c r="R1392" i="1"/>
  <c r="R1406" i="1"/>
  <c r="R1434" i="1"/>
  <c r="R1441" i="1"/>
  <c r="R1447" i="1"/>
  <c r="R1455" i="1"/>
  <c r="R1472" i="1"/>
  <c r="R1480" i="1"/>
  <c r="R1495" i="1"/>
  <c r="R1502" i="1"/>
  <c r="R1518" i="1"/>
  <c r="R1526" i="1"/>
  <c r="R1553" i="1"/>
  <c r="R1596" i="1"/>
  <c r="R1606" i="1"/>
  <c r="R1637" i="1"/>
  <c r="R1646" i="1"/>
  <c r="R1657" i="1"/>
  <c r="R1661" i="1"/>
  <c r="R1664" i="1"/>
  <c r="R1671" i="1"/>
  <c r="R1972" i="1"/>
  <c r="R2005" i="1"/>
  <c r="R2022" i="1"/>
  <c r="R2029" i="1"/>
  <c r="R2054" i="1"/>
  <c r="R2079" i="1"/>
  <c r="R2125" i="1"/>
  <c r="R2142" i="1"/>
  <c r="R1769" i="1"/>
  <c r="R1813" i="1"/>
  <c r="R1856" i="1"/>
  <c r="R1866" i="1"/>
  <c r="R1892" i="1"/>
  <c r="R1984" i="1"/>
  <c r="R2095" i="1"/>
  <c r="R2109" i="1"/>
  <c r="R2161" i="1"/>
  <c r="R2213" i="1"/>
  <c r="R1683" i="1"/>
  <c r="R1691" i="1"/>
  <c r="R1698" i="1"/>
  <c r="R1704" i="1"/>
  <c r="R1714" i="1"/>
  <c r="R1728" i="1"/>
  <c r="R1736" i="1"/>
  <c r="R1745" i="1"/>
  <c r="R1757" i="1"/>
  <c r="R1777" i="1"/>
  <c r="R1786" i="1"/>
  <c r="R1795" i="1"/>
  <c r="R1802" i="1"/>
  <c r="R1818" i="1"/>
  <c r="R1839" i="1"/>
  <c r="R1884" i="1"/>
  <c r="R1899" i="1"/>
  <c r="R1927" i="1"/>
  <c r="R1959" i="1"/>
  <c r="R2066" i="1"/>
  <c r="R2246" i="1"/>
  <c r="R1925" i="1"/>
  <c r="R1956" i="1"/>
  <c r="R1969" i="1"/>
  <c r="R1826" i="1"/>
  <c r="R1831" i="1"/>
  <c r="R1837" i="1"/>
  <c r="R1844" i="1"/>
  <c r="R1854" i="1"/>
  <c r="R1863" i="1"/>
  <c r="R1870" i="1"/>
  <c r="R2091" i="1"/>
  <c r="R1902" i="1"/>
  <c r="R1879" i="1"/>
  <c r="R1906" i="1"/>
  <c r="R1947" i="1"/>
  <c r="R1981" i="1"/>
  <c r="R2001" i="1"/>
  <c r="R2018" i="1"/>
  <c r="R2026" i="1"/>
  <c r="R2037" i="1"/>
  <c r="R2050" i="1"/>
  <c r="R2063" i="1"/>
  <c r="R2138" i="1"/>
  <c r="R2194" i="1"/>
  <c r="R2208" i="1"/>
  <c r="R2221" i="1"/>
  <c r="R2239" i="1"/>
  <c r="R2258" i="1"/>
  <c r="R586" i="1"/>
  <c r="R587" i="1"/>
  <c r="R600" i="1"/>
  <c r="R601" i="1"/>
  <c r="R602" i="1"/>
  <c r="R603" i="1"/>
  <c r="R604" i="1"/>
  <c r="R605" i="1"/>
  <c r="R606" i="1"/>
  <c r="R608" i="1"/>
  <c r="R609" i="1"/>
  <c r="R610" i="1"/>
  <c r="R1263" i="1"/>
  <c r="R611" i="1"/>
  <c r="R856" i="1"/>
  <c r="R612" i="1"/>
  <c r="R8" i="1"/>
  <c r="R2003" i="1"/>
  <c r="R1943" i="1"/>
  <c r="R7" i="1"/>
  <c r="R613" i="1"/>
  <c r="R420" i="1"/>
  <c r="R614" i="1"/>
  <c r="R615" i="1"/>
  <c r="R616" i="1"/>
  <c r="R1726" i="1"/>
  <c r="R617" i="1"/>
  <c r="R618" i="1"/>
  <c r="R1809" i="1"/>
  <c r="R1804" i="1"/>
  <c r="R1487" i="1"/>
  <c r="R619" i="1"/>
  <c r="R620" i="1"/>
  <c r="R1254" i="1"/>
  <c r="R595" i="1"/>
  <c r="R1576" i="1"/>
  <c r="R596" i="1"/>
  <c r="R597" i="1"/>
  <c r="R598" i="1"/>
  <c r="R607" i="1"/>
  <c r="R1260" i="1"/>
  <c r="R621" i="1"/>
  <c r="R1386" i="1"/>
  <c r="R1531" i="1"/>
  <c r="R1396" i="1"/>
  <c r="R1421" i="1"/>
  <c r="R2127" i="1"/>
  <c r="R1432" i="1"/>
  <c r="R1444" i="1"/>
  <c r="R1453" i="1"/>
  <c r="R1460" i="1"/>
  <c r="R1477" i="1"/>
  <c r="R1485" i="1"/>
  <c r="R1493" i="1"/>
  <c r="R1500" i="1"/>
  <c r="R1511" i="1"/>
  <c r="R1516" i="1"/>
  <c r="R1530" i="1"/>
  <c r="R1538" i="1"/>
  <c r="R1543" i="1"/>
  <c r="R1560" i="1"/>
  <c r="R1569" i="1"/>
  <c r="R1579" i="1"/>
  <c r="R1586" i="1"/>
  <c r="R1594" i="1"/>
  <c r="R1604" i="1"/>
  <c r="R1615" i="1"/>
  <c r="R1627" i="1"/>
  <c r="R2104" i="1"/>
  <c r="R1635" i="1"/>
  <c r="R1644" i="1"/>
  <c r="R1655" i="1"/>
  <c r="R1985" i="1"/>
  <c r="R1669" i="1"/>
  <c r="R1676" i="1"/>
  <c r="R1681" i="1"/>
  <c r="R1689" i="1"/>
  <c r="R582" i="1"/>
  <c r="R583" i="1"/>
  <c r="R584" i="1"/>
  <c r="R1702" i="1"/>
  <c r="R1711" i="1"/>
  <c r="R1720" i="1"/>
  <c r="R1725" i="1"/>
  <c r="R1734" i="1"/>
  <c r="R1898" i="1"/>
  <c r="R1749" i="1"/>
  <c r="R1754" i="1"/>
  <c r="R1761" i="1"/>
  <c r="R1767" i="1"/>
  <c r="R1774" i="1"/>
  <c r="R1782" i="1"/>
  <c r="R1793" i="1"/>
  <c r="R1800" i="1"/>
  <c r="R1811" i="1"/>
  <c r="R1816" i="1"/>
  <c r="R1820" i="1"/>
  <c r="R1825" i="1"/>
  <c r="R1836" i="1"/>
  <c r="R1842" i="1"/>
  <c r="R1850" i="1"/>
  <c r="R1859" i="1"/>
  <c r="R1867" i="1"/>
  <c r="R1877" i="1"/>
  <c r="R1888" i="1"/>
  <c r="R1895" i="1"/>
  <c r="R1904" i="1"/>
  <c r="R1914" i="1"/>
  <c r="R1932" i="1"/>
  <c r="R1937" i="1"/>
  <c r="R1944" i="1"/>
  <c r="R1953" i="1"/>
  <c r="R1964" i="1"/>
  <c r="R1978" i="1"/>
  <c r="R1988" i="1"/>
  <c r="R2016" i="1"/>
  <c r="R2023" i="1"/>
  <c r="R2047" i="1"/>
  <c r="R2060" i="1"/>
  <c r="R2088" i="1"/>
  <c r="R2120" i="1"/>
  <c r="R2155" i="1"/>
  <c r="R2167" i="1"/>
  <c r="R2180" i="1"/>
  <c r="R2235" i="1"/>
  <c r="R2254" i="1"/>
  <c r="R1986" i="1"/>
  <c r="R1995" i="1"/>
  <c r="R2008" i="1"/>
  <c r="R1784" i="1"/>
  <c r="R1363" i="1"/>
  <c r="R2041" i="1"/>
  <c r="R2015" i="1"/>
  <c r="R2097" i="1"/>
  <c r="R2113" i="1"/>
  <c r="R556" i="1"/>
  <c r="R2141" i="1"/>
  <c r="R2165" i="1"/>
  <c r="R588" i="1"/>
  <c r="R2231" i="1"/>
  <c r="R2250" i="1"/>
  <c r="R2145" i="1"/>
  <c r="R92" i="1"/>
  <c r="R95" i="1"/>
  <c r="R100" i="1"/>
  <c r="R103" i="1"/>
  <c r="R126" i="1"/>
  <c r="R133" i="1"/>
  <c r="R138" i="1"/>
  <c r="R141" i="1"/>
  <c r="R147" i="1"/>
  <c r="R152" i="1"/>
  <c r="R156" i="1"/>
  <c r="R160" i="1"/>
  <c r="R165" i="1"/>
  <c r="R167" i="1"/>
  <c r="R171" i="1"/>
  <c r="R175" i="1"/>
  <c r="R182" i="1"/>
  <c r="R185" i="1"/>
  <c r="R189" i="1"/>
  <c r="R194" i="1"/>
  <c r="R197" i="1"/>
  <c r="R202" i="1"/>
  <c r="R204" i="1"/>
  <c r="R207" i="1"/>
  <c r="R210" i="1"/>
  <c r="R212" i="1"/>
  <c r="R215" i="1"/>
  <c r="R218" i="1"/>
  <c r="R221" i="1"/>
  <c r="R223" i="1"/>
  <c r="R226" i="1"/>
  <c r="R228" i="1"/>
  <c r="R231" i="1"/>
  <c r="R235" i="1"/>
  <c r="R237" i="1"/>
  <c r="R241" i="1"/>
  <c r="R245" i="1"/>
  <c r="R248" i="1"/>
  <c r="R254" i="1"/>
  <c r="R259" i="1"/>
  <c r="R265" i="1"/>
  <c r="R267" i="1"/>
  <c r="R268" i="1"/>
  <c r="R271" i="1"/>
  <c r="R277" i="1"/>
  <c r="R281" i="1"/>
  <c r="R288" i="1"/>
  <c r="R294" i="1"/>
  <c r="R298" i="1"/>
  <c r="R302" i="1"/>
  <c r="R305" i="1"/>
  <c r="R307" i="1"/>
  <c r="R309" i="1"/>
  <c r="R311" i="1"/>
  <c r="R315" i="1"/>
  <c r="R324" i="1"/>
  <c r="R338" i="1"/>
  <c r="R344" i="1"/>
  <c r="R348" i="1"/>
  <c r="R354" i="1"/>
  <c r="R358" i="1"/>
  <c r="R361" i="1"/>
  <c r="R364" i="1"/>
  <c r="R366" i="1"/>
  <c r="R372" i="1"/>
  <c r="R375" i="1"/>
  <c r="R384" i="1"/>
  <c r="R393" i="1"/>
  <c r="R423" i="1"/>
  <c r="R987" i="1"/>
  <c r="R989" i="1"/>
  <c r="R992" i="1"/>
  <c r="R996" i="1"/>
  <c r="R998" i="1"/>
  <c r="R1002" i="1"/>
  <c r="R1004" i="1"/>
  <c r="R1006" i="1"/>
  <c r="R1009" i="1"/>
  <c r="R1013" i="1"/>
  <c r="R1015" i="1"/>
  <c r="R1017" i="1"/>
  <c r="R1020" i="1"/>
  <c r="R1023" i="1"/>
  <c r="R1025" i="1"/>
  <c r="R1027" i="1"/>
  <c r="R1031" i="1"/>
  <c r="R1033" i="1"/>
  <c r="R1035" i="1"/>
  <c r="R1037" i="1"/>
  <c r="R1040" i="1"/>
  <c r="R1042" i="1"/>
  <c r="R1044" i="1"/>
  <c r="R1047" i="1"/>
  <c r="R1048" i="1"/>
  <c r="R1052" i="1"/>
  <c r="R1056" i="1"/>
  <c r="R1060" i="1"/>
  <c r="R1063" i="1"/>
  <c r="R1066" i="1"/>
  <c r="R1069" i="1"/>
  <c r="R1073" i="1"/>
  <c r="R1076" i="1"/>
  <c r="R1081" i="1"/>
  <c r="R1086" i="1"/>
  <c r="R1089" i="1"/>
  <c r="R1092" i="1"/>
  <c r="R1094" i="1"/>
  <c r="R1100" i="1"/>
  <c r="R1104" i="1"/>
  <c r="R1108" i="1"/>
  <c r="R1112" i="1"/>
  <c r="R1115" i="1"/>
  <c r="R1117" i="1"/>
  <c r="R1119" i="1"/>
  <c r="R1122" i="1"/>
  <c r="R1124" i="1"/>
  <c r="R1129" i="1"/>
  <c r="R1131" i="1"/>
  <c r="R1134" i="1"/>
  <c r="R1137" i="1"/>
  <c r="R1140" i="1"/>
  <c r="R1143" i="1"/>
  <c r="R1145" i="1"/>
  <c r="R1148" i="1"/>
  <c r="R1151" i="1"/>
  <c r="R1155" i="1"/>
  <c r="R1160" i="1"/>
  <c r="R1164" i="1"/>
  <c r="R1169" i="1"/>
  <c r="R1174" i="1"/>
  <c r="R1182" i="1"/>
  <c r="R1188" i="1"/>
  <c r="R1191" i="1"/>
  <c r="R1194" i="1"/>
  <c r="R1198" i="1"/>
  <c r="R1202" i="1"/>
  <c r="R1208" i="1"/>
  <c r="R1213" i="1"/>
  <c r="R1215" i="1"/>
  <c r="R1385" i="1"/>
  <c r="R1179" i="1"/>
  <c r="R1390" i="1"/>
  <c r="R1395" i="1"/>
  <c r="R1403" i="1"/>
  <c r="R1409" i="1"/>
  <c r="R1420" i="1"/>
  <c r="R1425" i="1"/>
  <c r="R1431" i="1"/>
  <c r="R1438" i="1"/>
  <c r="R1443" i="1"/>
  <c r="R1450" i="1"/>
  <c r="R1459" i="1"/>
  <c r="R1464" i="1"/>
  <c r="R1470" i="1"/>
  <c r="R1476" i="1"/>
  <c r="R1484" i="1"/>
  <c r="R1499" i="1"/>
  <c r="R1507" i="1"/>
  <c r="R1510" i="1"/>
  <c r="R1515" i="1"/>
  <c r="R1523" i="1"/>
  <c r="R1529" i="1"/>
  <c r="R1536" i="1"/>
  <c r="R1542" i="1"/>
  <c r="R1550" i="1"/>
  <c r="R1559" i="1"/>
  <c r="R1567" i="1"/>
  <c r="R1578" i="1"/>
  <c r="R1585" i="1"/>
  <c r="R1589" i="1"/>
  <c r="R1894" i="1"/>
  <c r="R1913" i="1"/>
  <c r="R1626" i="1"/>
  <c r="R1631" i="1"/>
  <c r="R1642" i="1"/>
  <c r="R1654" i="1"/>
  <c r="R1659" i="1"/>
  <c r="R1663" i="1"/>
  <c r="R1668" i="1"/>
  <c r="R1674" i="1"/>
  <c r="R1680" i="1"/>
  <c r="R1688" i="1"/>
  <c r="R1710" i="1"/>
  <c r="R1719" i="1"/>
  <c r="R1732" i="1"/>
  <c r="R1760" i="1"/>
  <c r="R1773" i="1"/>
  <c r="R1810" i="1"/>
  <c r="R1858" i="1"/>
  <c r="R2045" i="1"/>
  <c r="R1416" i="1"/>
  <c r="R1695" i="1"/>
  <c r="R1492" i="1"/>
  <c r="R1603" i="1"/>
  <c r="R1634" i="1"/>
  <c r="R1781" i="1"/>
  <c r="R1614" i="1"/>
  <c r="R1622" i="1"/>
  <c r="R1724" i="1"/>
  <c r="R1220" i="1"/>
  <c r="R1225" i="1"/>
  <c r="R1230" i="1"/>
  <c r="R1235" i="1"/>
  <c r="R1239" i="1"/>
  <c r="R1245" i="1"/>
  <c r="R1250" i="1"/>
  <c r="R1255" i="1"/>
  <c r="R1261" i="1"/>
  <c r="R1266" i="1"/>
  <c r="R1276" i="1"/>
  <c r="R1285" i="1"/>
  <c r="R1290" i="1"/>
  <c r="R1295" i="1"/>
  <c r="R1300" i="1"/>
  <c r="R1305" i="1"/>
  <c r="R1311" i="1"/>
  <c r="R1317" i="1"/>
  <c r="R1321" i="1"/>
  <c r="R1326" i="1"/>
  <c r="R1329" i="1"/>
  <c r="R1336" i="1"/>
  <c r="R1343" i="1"/>
  <c r="R1347" i="1"/>
  <c r="R1353" i="1"/>
  <c r="R1357" i="1"/>
  <c r="R1365" i="1"/>
  <c r="R1372" i="1"/>
  <c r="R1378" i="1"/>
  <c r="R2080" i="1"/>
  <c r="R1650" i="1"/>
  <c r="R1701" i="1"/>
  <c r="R1743" i="1"/>
  <c r="R1753" i="1"/>
  <c r="R1766" i="1"/>
  <c r="R1792" i="1"/>
  <c r="R1799" i="1"/>
  <c r="R1815" i="1"/>
  <c r="R2048" i="1"/>
  <c r="R1824" i="1"/>
  <c r="R1829" i="1"/>
  <c r="R1835" i="1"/>
  <c r="R1841" i="1"/>
  <c r="R1849" i="1"/>
  <c r="R2126" i="1"/>
  <c r="R1876" i="1"/>
  <c r="R1887" i="1"/>
  <c r="R1903" i="1"/>
  <c r="R1922" i="1"/>
  <c r="R1942" i="1"/>
  <c r="R1977" i="1"/>
  <c r="R1952" i="1"/>
  <c r="R1963" i="1"/>
  <c r="R1987" i="1"/>
  <c r="R1998" i="1"/>
  <c r="R2014" i="1"/>
  <c r="R1915" i="1"/>
  <c r="R2031" i="1"/>
  <c r="R2059" i="1"/>
  <c r="R2035" i="1"/>
  <c r="R2087" i="1"/>
  <c r="R2101" i="1"/>
  <c r="R2116" i="1"/>
  <c r="R2135" i="1"/>
  <c r="R2154" i="1"/>
  <c r="R2166" i="1"/>
  <c r="R2179" i="1"/>
  <c r="R2192" i="1"/>
  <c r="R2204" i="1"/>
  <c r="R1667" i="1"/>
  <c r="R2234" i="1"/>
  <c r="R2253" i="1"/>
  <c r="R246" i="1"/>
  <c r="R251" i="1"/>
  <c r="R257" i="1"/>
  <c r="R340" i="1"/>
  <c r="R346" i="1"/>
  <c r="R350" i="1"/>
  <c r="R353" i="1"/>
  <c r="R385" i="1"/>
  <c r="R180" i="1"/>
  <c r="R480" i="1"/>
  <c r="R503" i="1"/>
  <c r="R539" i="1"/>
  <c r="R83" i="1"/>
  <c r="R136" i="1"/>
  <c r="R336" i="1"/>
  <c r="R381" i="1"/>
  <c r="R543" i="1"/>
  <c r="R282" i="1"/>
  <c r="R289" i="1"/>
  <c r="R296" i="1"/>
  <c r="R303" i="1"/>
  <c r="R326" i="1"/>
  <c r="R339" i="1"/>
  <c r="R345" i="1"/>
  <c r="R349" i="1"/>
  <c r="R355" i="1"/>
  <c r="R362" i="1"/>
  <c r="R365" i="1"/>
  <c r="R367" i="1"/>
  <c r="R373" i="1"/>
  <c r="R376" i="1"/>
  <c r="R394" i="1"/>
  <c r="R442" i="1"/>
  <c r="R468" i="1"/>
  <c r="R502" i="1"/>
  <c r="R521" i="1"/>
  <c r="R538" i="1"/>
  <c r="R544" i="1"/>
  <c r="R545" i="1"/>
  <c r="R546" i="1"/>
  <c r="R547" i="1"/>
  <c r="R549" i="1"/>
  <c r="R550" i="1"/>
  <c r="R551" i="1"/>
  <c r="R552" i="1"/>
  <c r="R1662" i="1"/>
  <c r="R1666" i="1"/>
  <c r="R1678" i="1"/>
  <c r="R1685" i="1"/>
  <c r="R1699" i="1"/>
  <c r="R1706" i="1"/>
  <c r="R1716" i="1"/>
  <c r="R1722" i="1"/>
  <c r="R1730" i="1"/>
  <c r="R1740" i="1"/>
  <c r="R1747" i="1"/>
  <c r="R1771" i="1"/>
  <c r="R1779" i="1"/>
  <c r="R1789" i="1"/>
  <c r="R1797" i="1"/>
  <c r="R1806" i="1"/>
  <c r="R1828" i="1"/>
  <c r="R1848" i="1"/>
  <c r="R1857" i="1"/>
  <c r="R1930" i="1"/>
  <c r="R1951" i="1"/>
  <c r="R1961" i="1"/>
  <c r="R1975" i="1"/>
  <c r="R1996" i="1"/>
  <c r="R2012" i="1"/>
  <c r="R2030" i="1"/>
  <c r="R2042" i="1"/>
  <c r="R2057" i="1"/>
  <c r="R2085" i="1"/>
  <c r="R2114" i="1"/>
  <c r="R2133" i="1"/>
  <c r="R2153" i="1"/>
  <c r="R2190" i="1"/>
  <c r="R2217" i="1"/>
  <c r="R2232" i="1"/>
  <c r="R2251" i="1"/>
  <c r="R876" i="1"/>
  <c r="R880" i="1"/>
  <c r="R885" i="1"/>
  <c r="R888" i="1"/>
  <c r="R905" i="1"/>
  <c r="R907" i="1"/>
  <c r="R911" i="1"/>
  <c r="R915" i="1"/>
  <c r="R929" i="1"/>
  <c r="R934" i="1"/>
  <c r="R936" i="1"/>
  <c r="R951" i="1"/>
  <c r="R1085" i="1"/>
  <c r="R1168" i="1"/>
  <c r="R1173" i="1"/>
  <c r="R909" i="1"/>
  <c r="R919" i="1"/>
  <c r="R925" i="1"/>
  <c r="R952" i="1"/>
  <c r="R1029" i="1"/>
  <c r="R1051" i="1"/>
  <c r="R1068" i="1"/>
  <c r="R932" i="1"/>
  <c r="R938" i="1"/>
  <c r="R943" i="1"/>
  <c r="R946" i="1"/>
  <c r="R953" i="1"/>
  <c r="R960" i="1"/>
  <c r="R973" i="1"/>
  <c r="R975" i="1"/>
  <c r="R1065" i="1"/>
  <c r="R1072" i="1"/>
  <c r="R1093" i="1"/>
  <c r="R1107" i="1"/>
  <c r="R958" i="1"/>
  <c r="R964" i="1"/>
  <c r="R966" i="1"/>
  <c r="R970" i="1"/>
  <c r="R977" i="1"/>
  <c r="R1001" i="1"/>
  <c r="R1012" i="1"/>
  <c r="R1022" i="1"/>
  <c r="R1046" i="1"/>
  <c r="R1059" i="1"/>
  <c r="R1099" i="1"/>
  <c r="R1111" i="1"/>
  <c r="R1136" i="1"/>
  <c r="R1212" i="1"/>
  <c r="R1249" i="1"/>
  <c r="R1289" i="1"/>
  <c r="R1303" i="1"/>
  <c r="R1568" i="1"/>
  <c r="R2073" i="1"/>
  <c r="R1238" i="1"/>
  <c r="R1244" i="1"/>
  <c r="R1265" i="1"/>
  <c r="R1272" i="1"/>
  <c r="R1280" i="1"/>
  <c r="R1284" i="1"/>
  <c r="R1294" i="1"/>
  <c r="R1299" i="1"/>
  <c r="R1310" i="1"/>
  <c r="R1316" i="1"/>
  <c r="R1352" i="1"/>
  <c r="R1320" i="1"/>
  <c r="R1328" i="1"/>
  <c r="R1342" i="1"/>
  <c r="R1346" i="1"/>
  <c r="R1356" i="1"/>
  <c r="R1364" i="1"/>
  <c r="R1371" i="1"/>
  <c r="R1389" i="1"/>
  <c r="R1394" i="1"/>
  <c r="R1401" i="1"/>
  <c r="R1415" i="1"/>
  <c r="R1424" i="1"/>
  <c r="R1442" i="1"/>
  <c r="R1449" i="1"/>
  <c r="R1463" i="1"/>
  <c r="R1469" i="1"/>
  <c r="R1548" i="1"/>
  <c r="R1419" i="1"/>
  <c r="R1458" i="1"/>
  <c r="R1475" i="1"/>
  <c r="R1483" i="1"/>
  <c r="R1490" i="1"/>
  <c r="R1498" i="1"/>
  <c r="R1506" i="1"/>
  <c r="R1522" i="1"/>
  <c r="R1528" i="1"/>
  <c r="R1535" i="1"/>
  <c r="R1558" i="1"/>
  <c r="R1566" i="1"/>
  <c r="R1575" i="1"/>
  <c r="R1584" i="1"/>
  <c r="R1602" i="1"/>
  <c r="R1609" i="1"/>
  <c r="R1613" i="1"/>
  <c r="R1621" i="1"/>
  <c r="R1641" i="1"/>
  <c r="R1653" i="1"/>
  <c r="R1673" i="1"/>
  <c r="R1679" i="1"/>
  <c r="R1687" i="1"/>
  <c r="R1694" i="1"/>
  <c r="R1700" i="1"/>
  <c r="R1708" i="1"/>
  <c r="R1717" i="1"/>
  <c r="R1723" i="1"/>
  <c r="R1731" i="1"/>
  <c r="R1741" i="1"/>
  <c r="R1748" i="1"/>
  <c r="R1752" i="1"/>
  <c r="R1759" i="1"/>
  <c r="R1765" i="1"/>
  <c r="R1772" i="1"/>
  <c r="R1780" i="1"/>
  <c r="R1791" i="1"/>
  <c r="R1798" i="1"/>
  <c r="R1807" i="1"/>
  <c r="R1814" i="1"/>
  <c r="R1823" i="1"/>
  <c r="R1921" i="1"/>
  <c r="R1840" i="1"/>
  <c r="R1875" i="1"/>
  <c r="R1886" i="1"/>
  <c r="R1912" i="1"/>
  <c r="R1931" i="1"/>
  <c r="R1936" i="1"/>
  <c r="R1941" i="1"/>
  <c r="R1962" i="1"/>
  <c r="R1976" i="1"/>
  <c r="R1997" i="1"/>
  <c r="R2013" i="1"/>
  <c r="R2043" i="1"/>
  <c r="R2058" i="1"/>
  <c r="R2134" i="1"/>
  <c r="R2203" i="1"/>
  <c r="R2071" i="1"/>
  <c r="R2086" i="1"/>
  <c r="R2100" i="1"/>
  <c r="R2115" i="1"/>
  <c r="R2178" i="1"/>
  <c r="R2191" i="1"/>
  <c r="R2152" i="1"/>
  <c r="R2233" i="1"/>
  <c r="R2252" i="1"/>
  <c r="R449" i="1"/>
  <c r="R408" i="1"/>
  <c r="R1334" i="1"/>
  <c r="R1404" i="1"/>
  <c r="R134" i="1"/>
  <c r="R177" i="1"/>
  <c r="R328" i="1"/>
  <c r="J377" i="1"/>
  <c r="M377" i="1" s="1"/>
  <c r="R377" i="1" s="1"/>
  <c r="J540" i="1"/>
  <c r="M540" i="1" s="1"/>
  <c r="R540" i="1" s="1"/>
  <c r="M2241" i="1" l="1"/>
  <c r="R2241" i="1" s="1"/>
  <c r="J2183" i="1"/>
  <c r="M2183" i="1" s="1"/>
  <c r="R2183" i="1" s="1"/>
  <c r="J2225" i="1"/>
  <c r="R278" i="1"/>
  <c r="R272" i="1"/>
  <c r="D30" i="2"/>
  <c r="D31" i="2"/>
  <c r="D32" i="2"/>
  <c r="D33" i="2"/>
  <c r="D34" i="2"/>
  <c r="D35" i="2"/>
  <c r="D36" i="2"/>
  <c r="D37" i="2"/>
  <c r="D38" i="2"/>
  <c r="D39" i="2"/>
  <c r="M2225" i="1" l="1"/>
  <c r="R2225" i="1" s="1"/>
  <c r="D27" i="2"/>
  <c r="D11" i="2" l="1"/>
  <c r="D12" i="2" l="1"/>
  <c r="D4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Jose Alarcon Bahamondes</author>
  </authors>
  <commentList>
    <comment ref="O2213" authorId="0" shapeId="0" xr:uid="{5531249D-1808-463E-B2B2-097FDDF6B207}">
      <text>
        <r>
          <rPr>
            <b/>
            <sz val="9"/>
            <color indexed="81"/>
            <rFont val="Tahoma"/>
            <family val="2"/>
          </rPr>
          <t>Maria Jose Alarcon Bahamondes:</t>
        </r>
        <r>
          <rPr>
            <sz val="9"/>
            <color indexed="81"/>
            <rFont val="Tahoma"/>
            <family val="2"/>
          </rPr>
          <t xml:space="preserve">
C4 N° 4339, con fecha 10-10-2018 se rectifica antecedentes (monto aprobado)</t>
        </r>
      </text>
    </comment>
  </commentList>
</comments>
</file>

<file path=xl/sharedStrings.xml><?xml version="1.0" encoding="utf-8"?>
<sst xmlns="http://schemas.openxmlformats.org/spreadsheetml/2006/main" count="16717" uniqueCount="3174">
  <si>
    <t>DEPARTAMENTO DE MONITOREO DE OBRAS</t>
  </si>
  <si>
    <t>Informe Técnico Consolidado de Notas de Cambio</t>
  </si>
  <si>
    <t>Clasificación</t>
  </si>
  <si>
    <t>Errores de Diseño</t>
  </si>
  <si>
    <t>Funcionalidad</t>
  </si>
  <si>
    <t>OGUC, SERVIU</t>
  </si>
  <si>
    <t>AS/NTB</t>
  </si>
  <si>
    <t>Total</t>
  </si>
  <si>
    <t>Partidas</t>
  </si>
  <si>
    <t>Obras Previas</t>
  </si>
  <si>
    <t>Obra Gruesa</t>
  </si>
  <si>
    <t>Terminaciones</t>
  </si>
  <si>
    <t>Instalaciones/Eléctricas</t>
  </si>
  <si>
    <t>Instalaciones/Sanitaria</t>
  </si>
  <si>
    <t>Instalaciones/Gases Clínicos</t>
  </si>
  <si>
    <t>Instalaciones/Climatización</t>
  </si>
  <si>
    <t>Instalaciones/Gas</t>
  </si>
  <si>
    <t>Instalaciones/Control Centralizado</t>
  </si>
  <si>
    <t>Instalaciones/Seguridad</t>
  </si>
  <si>
    <t>Instalaciones/Ascensores</t>
  </si>
  <si>
    <t>Instalaciones/Corrientes Débiles</t>
  </si>
  <si>
    <t>Obras Exteriores</t>
  </si>
  <si>
    <t>SERVICIO DE SALUD</t>
  </si>
  <si>
    <t>NOMBRE DEL PROYECTO</t>
  </si>
  <si>
    <t>N° NC</t>
  </si>
  <si>
    <t>DESCRIPCIÓN</t>
  </si>
  <si>
    <t>Partida</t>
  </si>
  <si>
    <t>AUMENTO                                                                                                                                                                                                                                                                                                                                                                           CON IVA</t>
  </si>
  <si>
    <t>DISMINUCIÓN                                                                                                                                                                                                                                                                                                                                                                           CON IVA</t>
  </si>
  <si>
    <t>OBRA EXTRAORDINARIA                                                                                                                                                                                                                                                                                                                                                                     CON IVA</t>
  </si>
  <si>
    <t>SUBTOTAL</t>
  </si>
  <si>
    <t>AUMENTO DE PLAZO</t>
  </si>
  <si>
    <t>INDEMNIZACIÓN POR PLAZO                                                                                                                                                                                                                                                                                                                                          CON IVA</t>
  </si>
  <si>
    <t>TOTAL</t>
  </si>
  <si>
    <t>ORD 
DE INGRESO NC 
SS A MINSAL</t>
  </si>
  <si>
    <t>C4 MINSAL
 RESPUESTA  A SS</t>
  </si>
  <si>
    <t>FECHA INGRESO DE NC DEL  SS A MINSAL</t>
  </si>
  <si>
    <t>VALOR UF (ORD ingreso)</t>
  </si>
  <si>
    <t>Total UF</t>
  </si>
  <si>
    <t>23 Araucanía Norte</t>
  </si>
  <si>
    <t>Normalizacion Hospital Lonquimay (MOP)</t>
  </si>
  <si>
    <t>PROYECTO MODIFICADO CLIMATIZACIÓN</t>
  </si>
  <si>
    <t>Se instalan bombas de recirculación de agua caliente y fría para las instalaciones proyectadas. Bombas centrífugas en base o en línea. Se proyectan coelctores solares térmicos para apoyar el calentamiento del agua sanitaria de modo de disminuir el consumo de gas y/o pellets.</t>
  </si>
  <si>
    <t>ord. 813 del 06-06-22</t>
  </si>
  <si>
    <t>PRESUPUESTO MODIFICADO ELÉCTRICO</t>
  </si>
  <si>
    <t>Misma descripción que mosidifación anterior, pero con observaciones que modifica montos de esta.</t>
  </si>
  <si>
    <t>Subestación eléctrica del edificio de 1000KA estará compuesta por un transformador Paud Mounted, con las celdas de conexión a M.T. y B. T. EL transformador trifásico 13.2/0.4 KV refrigerado en silicona. Línea generalizada desde tablero gral. Está definido de acuerdo a estudio desarrollado del proyecto modificado.</t>
  </si>
  <si>
    <t>OBRA EXTRAORDINARIO Nº 58</t>
  </si>
  <si>
    <t>ETAPA 3 PROTECCIÓN SOLAR O DE PRIVACIDAD.</t>
  </si>
  <si>
    <t>0rd. 79 del 17-01-23</t>
  </si>
  <si>
    <t>OBRA EXTRAORDINARIO Nº 57</t>
  </si>
  <si>
    <t xml:space="preserve"> ETAPA 3 FICHA N°44 REAS.</t>
  </si>
  <si>
    <t>22 Araucanía Sur</t>
  </si>
  <si>
    <t>NORMALIZACIÓN HOSPITAL  COMUNITARIO Y FAMILIAR DR. EDUARDO GONZALEZ G, CUNCO</t>
  </si>
  <si>
    <t>1.23</t>
  </si>
  <si>
    <t>Instalaciones Domiciliarias afectadas</t>
  </si>
  <si>
    <t>ORD. N° 1823 del 29-05-17</t>
  </si>
  <si>
    <t>C4/ 2192 del 28-06-17</t>
  </si>
  <si>
    <t>1.23.4</t>
  </si>
  <si>
    <t>GLP</t>
  </si>
  <si>
    <t>OBRA EXTRAORDINARIO Nº 56 - FICHA 42</t>
  </si>
  <si>
    <t xml:space="preserve">ETAPA 3 FICHA N°42 DENTAL. </t>
  </si>
  <si>
    <t>OBRA EXTRAORDINARIO Nº 55 - FICHA 40</t>
  </si>
  <si>
    <t xml:space="preserve">ETAPA 5 FICHA N°40 ESTERILIZACION. </t>
  </si>
  <si>
    <t>OBRA EXTRAORDINARIO Nº 54 - FICHA 39</t>
  </si>
  <si>
    <t>ETAPA 5 FICHA N°39 ENTREGA CADAVERES.</t>
  </si>
  <si>
    <t xml:space="preserve">OBRA EXTRAORDINARIO Nº 53 </t>
  </si>
  <si>
    <t xml:space="preserve">ETAPA 5 FICHA N°38 GINECO-OBTETRICO. </t>
  </si>
  <si>
    <t>OBRA EXTRAORDINARIO Nº 35</t>
  </si>
  <si>
    <t>MODIFICACION REVESTIMIENTO DEL ACCESO DE AMBULANCIAS</t>
  </si>
  <si>
    <t>OBRA EXTRAORDINARIO Nº 27</t>
  </si>
  <si>
    <t>MODIFICACION PARA ABASTECIMIENTO AGUA CALIENTE.</t>
  </si>
  <si>
    <t xml:space="preserve">OBRA EXTRAORDINARIA TECNICA N°1 </t>
  </si>
  <si>
    <t xml:space="preserve">MURO DE CONTENCIÓN </t>
  </si>
  <si>
    <t>Ord. 1297 del 12-09-22</t>
  </si>
  <si>
    <t>OBRA EXTRAORDINARIA Nº 8</t>
  </si>
  <si>
    <t>Ficha N°13; Desplazamiento pasa muro en recinto C/1/33, Reubicar Instalación de lavado profundo, Reubicar enchufe computación doble y conexión telefoína y datos recinto C/1/33, Incluir puerta PM90, Redimensionamiento de tabique T1 y T2, Reubicar lavamanos 5, Se requiere redimensionar mueble MTCPC-300-800 para instalar autoclave proyectado e incorporar punto de datos en mesón de registro y entrega.</t>
  </si>
  <si>
    <t>Ord. 1589 del 08-10-21</t>
  </si>
  <si>
    <t>OBRA EXTRAORDINARIA Nº 7</t>
  </si>
  <si>
    <t>Ficha N°12; Incorporación de mica entre trabajo sucio y limpio, Incorporación de lavado profundo acero inox. De una cubeta, e instalaciones respectivas a estos artefactos.</t>
  </si>
  <si>
    <t>OBRA EXTRAORDINARIA Nº 68</t>
  </si>
  <si>
    <t xml:space="preserve">ETAPA 3 FICHA N°43 EXTRACTORES. </t>
  </si>
  <si>
    <t>OBRA EXTRAORDINARIA Nº 67</t>
  </si>
  <si>
    <t xml:space="preserve">ETAPA 3 FICHA N°45 LABORATORIO BODEGA DE REACTIVOS C-128 </t>
  </si>
  <si>
    <t xml:space="preserve">OBRA EXTRAORDINARIA Nº 66 </t>
  </si>
  <si>
    <t xml:space="preserve">ETAPA 5 FICHA N°17 DOSIS UNITARIA/BODEGA ACTIVA. </t>
  </si>
  <si>
    <t xml:space="preserve">OBRA EXTRAORDINARIA Nº 65 </t>
  </si>
  <si>
    <t>ETAPA 3 FICHA N°41 RAYOS.</t>
  </si>
  <si>
    <t xml:space="preserve">OBRA EXTRAORDINARIA Nº 64 </t>
  </si>
  <si>
    <t xml:space="preserve">ETAPA 5 FICHA N°37 URGENCIAS. </t>
  </si>
  <si>
    <t xml:space="preserve">OBRA EXTRAORDINARIA Nº 62 </t>
  </si>
  <si>
    <t>ETAPA 3 FICHA N°18 PUERTA CENTRAL DE ALIMENTACION.</t>
  </si>
  <si>
    <t xml:space="preserve">OBRA EXTRAORDINARIA Nº 61 </t>
  </si>
  <si>
    <t>ETAPA 5 FICHA N°14 SEDILE.</t>
  </si>
  <si>
    <t>OBRA EXTRAORDINARIA Nº 6</t>
  </si>
  <si>
    <t>Ficha N°10 se requieren las siguientes modificaciones, en Recinto Rx se incluye señalética de advertencia RC universal</t>
  </si>
  <si>
    <t>OBRA EXTRAORDINARIA Nº 56 - FICHA 8</t>
  </si>
  <si>
    <t>ETAPA 3 FICHA N°8 LAVANDERIA.</t>
  </si>
  <si>
    <t>OBRA EXTRAORDINARIA Nº 55  - FICHA 7</t>
  </si>
  <si>
    <t xml:space="preserve">ETAPA 3 FICHA N°7 ESTERILIZACION. </t>
  </si>
  <si>
    <t>OBRA EXTRAORDINARIA Nº 54 - FICHA 3</t>
  </si>
  <si>
    <t xml:space="preserve">ETAPA 3 FICHA N°3 ENCHUFES PARA CATRES CLINICOS. </t>
  </si>
  <si>
    <t>OBRA EXTRAORDINARIA Nº 5</t>
  </si>
  <si>
    <t>Ficha N°9; Eliminación artefactos de trabajo sucio N°18 logrando área para camilla. Reemplazo de WC infantil con estanque por WC universal con descarga a piso con flujómetro oculto y reubicar, reemplazar lavamanos mural para nicños por lavamanos universal y reubicación, reubicación de puerta y mudador, desplazar tabique T1 para permitir accesibilidad universal en baño, reemplazar tabiques por cortinas clínicas, reubicar lavamanos de uso clínico con semipedestal en el interior de área disiatría.</t>
  </si>
  <si>
    <t xml:space="preserve">OBRA EXTRAORDINARIA Nº 45 </t>
  </si>
  <si>
    <t>ETAPA 3, PUNTOS DE DATOS.</t>
  </si>
  <si>
    <t>OBRA EXTRAORDINARIA Nº 4</t>
  </si>
  <si>
    <t>Ficha N°7; Modifica recintos de atención como abrrera sanitaria entre trbajo sucio y limpio, desplazamiento de enchufe computación doble hacia mueble de registro. Se requiere incorporar preinstalaciones de enchufe refuerzo de soporte , etc, para negatoscopio. Incorporación de enchufse de alumbrado doble, enchufe de computación y desplazar el módulo de punto de registro hacia el eje B. Se requiere desplazar enchufe de computación doble, enchufe de alumbrado doble y punto de datos hacia muro eje B.</t>
  </si>
  <si>
    <t>OBRA EXTRAORDINARIA Nº 3</t>
  </si>
  <si>
    <t>Ficha N°6; Incorporación de lavadero mural mural botaguas de aseo, en recinto lavachatas, modificar la ubicación de gabinete colgante con puertas opacas, incluir 2 repisas mural por chata, incluir mica separadora como barrera sanitaria entre trabajo sucio y limpio.</t>
  </si>
  <si>
    <t>OBRA EXTRAORDINARIA Nº 2</t>
  </si>
  <si>
    <t>Ficha N°4; Configuración de un baño, incorporación de un lavadero mural para botaguas de aseo, incluir repisas murales para chata e incorporar mudador vertical.</t>
  </si>
  <si>
    <t>OBRA EXTRAORDINARIA Nº 1</t>
  </si>
  <si>
    <t>Ficha N°3; Instalación de mallas mosquiteras en comedor, instalación de enchufe para nuevo refrigerador, reubicación de otro enchufe y aumento de cabida eléctrica de protección eléctrica.</t>
  </si>
  <si>
    <t>OBRA EXTRAORDINARIA N°52</t>
  </si>
  <si>
    <t>PRVACIDAD Y  PROTECCION SOLAR VENTANAS</t>
  </si>
  <si>
    <t>OBRA EXTRAORDINARIA N°51</t>
  </si>
  <si>
    <t>FICHA N°51 SALA CUNA</t>
  </si>
  <si>
    <t xml:space="preserve">OBRA EXTRAORDINARIA N°50 </t>
  </si>
  <si>
    <t xml:space="preserve">FICHA N°36 CIRUGIA MENOR </t>
  </si>
  <si>
    <t xml:space="preserve">OBRA EXTRAORDINARIA N°49 </t>
  </si>
  <si>
    <t>FICHA N°35 REAS</t>
  </si>
  <si>
    <t xml:space="preserve">OBRA EXTRAORDINARIA N°48 </t>
  </si>
  <si>
    <t xml:space="preserve"> FICHA N°34 SEDILE </t>
  </si>
  <si>
    <t xml:space="preserve">OBRA EXTRAORDINARIA N°47 </t>
  </si>
  <si>
    <t xml:space="preserve">FICHA N°33 ALIMENTACION </t>
  </si>
  <si>
    <t xml:space="preserve">OBRA EXTRAORDINARIA N°46 </t>
  </si>
  <si>
    <t xml:space="preserve">FICHA N°32 ESTERILIZACION </t>
  </si>
  <si>
    <t xml:space="preserve">OBRA EXTRAORDINARIA N°45 </t>
  </si>
  <si>
    <t xml:space="preserve">FICHA 31 ALIMANTACION </t>
  </si>
  <si>
    <t xml:space="preserve">OBRA EXTRAORDINARIA N°44 </t>
  </si>
  <si>
    <t>FICHA N°17 FARMACIA</t>
  </si>
  <si>
    <t xml:space="preserve">OBRA EXTRAORDINARIA N°43 </t>
  </si>
  <si>
    <t>FICHA N°30 BODEGA PNAC Y FARM.</t>
  </si>
  <si>
    <t>OBRA EXTRAORDINARIA N°42</t>
  </si>
  <si>
    <t>FICHA N°29  MALLAS MOSQUITERAS</t>
  </si>
  <si>
    <t xml:space="preserve">OBRA EXTRAORDINARIA N°41 </t>
  </si>
  <si>
    <t>FICHA N°27 MUEBLES ACC 6</t>
  </si>
  <si>
    <t xml:space="preserve">OBRA EXTRAORDINARIA N°40 </t>
  </si>
  <si>
    <t>FICHA N°26 MUEBLES ACC 5</t>
  </si>
  <si>
    <t>OBRA EXTRAORDINARIA N°39</t>
  </si>
  <si>
    <t>FICHA N°25 MUEBLES ACC 4</t>
  </si>
  <si>
    <t>OBRA EXTRAORDINARIA N°38</t>
  </si>
  <si>
    <t>FICHA N°24 MUEBLES ACC 3</t>
  </si>
  <si>
    <t xml:space="preserve">OBRA EXTRAORDINARIA N°37 </t>
  </si>
  <si>
    <t>FICHA N°23 MUEBLES ACC 2</t>
  </si>
  <si>
    <t xml:space="preserve">OBRA EXTRAORDINARIA N°36 </t>
  </si>
  <si>
    <t>FICHA N°22 MUEBLES ACC1</t>
  </si>
  <si>
    <t xml:space="preserve">OBRA EXTRAORDINARIA N°35 </t>
  </si>
  <si>
    <t>FICHA N°11B EQUIPOS MEDICOS EDIFICIO C</t>
  </si>
  <si>
    <t>OBRA EXTRAORDINARIA N°34</t>
  </si>
  <si>
    <t>FICHA N°15 CENTRAL ALIMENTACION</t>
  </si>
  <si>
    <t xml:space="preserve">OBRA EXTRAORDINARIA N°33 </t>
  </si>
  <si>
    <t>FICHA N°14 ENCHUFES EQUIPOS EDIFICIO D</t>
  </si>
  <si>
    <t xml:space="preserve">OBRA EXTRAORDINARIA N°30 </t>
  </si>
  <si>
    <t>FICHA N°11 ENCHUFES EQUIPOS MEDICOS</t>
  </si>
  <si>
    <t xml:space="preserve">OBRA EXTRAORDINARIA N°29 </t>
  </si>
  <si>
    <t>FICHA N°10 ENCHUFES EQUIPOS BOX</t>
  </si>
  <si>
    <t xml:space="preserve">OBRA EXTRAORDINARIA N°28 </t>
  </si>
  <si>
    <t>FICHA N°9 ENCHUFES TV</t>
  </si>
  <si>
    <t xml:space="preserve">OBRA EXTRAORDINARIA N°25 </t>
  </si>
  <si>
    <t>FICHA N°6 MODIFICACIONES LABORATORIO</t>
  </si>
  <si>
    <t>OBRA EXTRAORDINARIA N°24</t>
  </si>
  <si>
    <t xml:space="preserve">FICHA N°5 LABORATORIO </t>
  </si>
  <si>
    <t>OBRA EXTRAORDINARIA N°23</t>
  </si>
  <si>
    <t xml:space="preserve"> FICHA N°4 TOMA DE MUESTRAS</t>
  </si>
  <si>
    <t>12 Metropolitano Occidente</t>
  </si>
  <si>
    <t>Reposición con Relocalización Hospital de Melipilla</t>
  </si>
  <si>
    <t>2.22</t>
  </si>
  <si>
    <t>Modificación de refuerzos de tabiqueria para alojar puertas, tabiques vidriados y ventanas de fachada</t>
  </si>
  <si>
    <t> </t>
  </si>
  <si>
    <t>ORD. 0713</t>
  </si>
  <si>
    <t>Ord C4/2669 del 01-09-2021</t>
  </si>
  <si>
    <t>OBRA EXTRAORDINARIA N°21</t>
  </si>
  <si>
    <t>FICHA N°2 ENCHUFES EDIFICIO B</t>
  </si>
  <si>
    <t xml:space="preserve">OBRA EXTRAORDINARIA N°20 </t>
  </si>
  <si>
    <t>FICHA N°1 EQUIPOS MEDICOS</t>
  </si>
  <si>
    <t>OBRA EXTRAORDINARIA N°19</t>
  </si>
  <si>
    <t>Ficha N°18; Incorporar rejilla de desagüe en xona de acceso.</t>
  </si>
  <si>
    <t>Ord. 109 del  02-02-22</t>
  </si>
  <si>
    <t>OBRA EXTRAORDINARIA N°18</t>
  </si>
  <si>
    <t>Ficha N°19; Habilitar baño acc. Universal, incluir; casilleros y lavamanos, Reemplazar WC infatil con estanque por WC con descarga a piso con fluxómetro expuesto. Mallas mosquiteras.</t>
  </si>
  <si>
    <t xml:space="preserve">OBRA EXTRAORDINARIA  Nº 44 </t>
  </si>
  <si>
    <t xml:space="preserve">PREINSTALACIONES ELECTRICAS ANTENA. </t>
  </si>
  <si>
    <t>04 Atacama</t>
  </si>
  <si>
    <t>Hospital Comunitario Diego de Almagro</t>
  </si>
  <si>
    <t>Rack de Comunicaciones</t>
  </si>
  <si>
    <t>ORD.2543</t>
  </si>
  <si>
    <t>ORD.533</t>
  </si>
  <si>
    <t xml:space="preserve">08 Valparaíso San Antonio </t>
  </si>
  <si>
    <t>Normalización Hospital Claudio Vicuña, San Antonio</t>
  </si>
  <si>
    <t>Nota de Cambio N°99</t>
  </si>
  <si>
    <t>Nuevo antepecho en Recinto Área Entrega de Bandejas</t>
  </si>
  <si>
    <t>Ord.N°1412 del 13.08.21</t>
  </si>
  <si>
    <t>ORD. 2728</t>
  </si>
  <si>
    <t>Normalizacion Hospital Villarrica</t>
  </si>
  <si>
    <t>Nota de Cambio N°98</t>
  </si>
  <si>
    <t>Modificación puertas en vías de evacuación</t>
  </si>
  <si>
    <t>Normativa (OGUC, Serviu, etc.)</t>
  </si>
  <si>
    <t xml:space="preserve">Terminaciones </t>
  </si>
  <si>
    <t>Ord. 0016  del 06-01-2023  SSAS</t>
  </si>
  <si>
    <t>ORD. 1062</t>
  </si>
  <si>
    <t>Nota de Cambio N°97 rev2</t>
  </si>
  <si>
    <t>Nuevos requerimientos UPS</t>
  </si>
  <si>
    <t>Ord.N°935 del 19.05.21</t>
  </si>
  <si>
    <t>ORD. 1666</t>
  </si>
  <si>
    <t>Nota de Cambio N°97</t>
  </si>
  <si>
    <t>Modificación puertas vestidores Imagenología y cirugía menor</t>
  </si>
  <si>
    <t>Nota de Cambio N°96 rev2</t>
  </si>
  <si>
    <t>aumento estructura metálica escalera para instalación de fachada</t>
  </si>
  <si>
    <t>Nota de Cambio N°96</t>
  </si>
  <si>
    <t>Zócalo contenedor de derrame en grupos generadores</t>
  </si>
  <si>
    <t>Nota de Cambio N°94 rev2</t>
  </si>
  <si>
    <t>modificación columna de gases clinicos</t>
  </si>
  <si>
    <t>Nota de Cambio N°93 rev2</t>
  </si>
  <si>
    <t>nuevo refuerzo sala generadores</t>
  </si>
  <si>
    <t>Nota de Cambio N°92</t>
  </si>
  <si>
    <t>Modificación ventanas cafeteria piso 3</t>
  </si>
  <si>
    <t>Ord.N°1915 del 04.11.21</t>
  </si>
  <si>
    <t>ORD. 3830</t>
  </si>
  <si>
    <t>Modificación puertas laboratorio</t>
  </si>
  <si>
    <t>Nota de Cambio N°91 rev3</t>
  </si>
  <si>
    <t>Modificación estructura metálica perimetral helipuerto</t>
  </si>
  <si>
    <t>Ord.N°0432 del 10.03.21</t>
  </si>
  <si>
    <t>ORD. 1324</t>
  </si>
  <si>
    <t>Normalización Hospital San Jose, Casablanca</t>
  </si>
  <si>
    <t>Nota de Cambio N°91</t>
  </si>
  <si>
    <t>Definición de estructura metálica accesos exteriores rdi 173</t>
  </si>
  <si>
    <t>ORD. 518 del 25.03.21</t>
  </si>
  <si>
    <t>ORD.1123</t>
  </si>
  <si>
    <t>Nota de Cambio N°90 Rev.2</t>
  </si>
  <si>
    <t>Aumento capacidad de generador, transformador y banco de condensadores</t>
  </si>
  <si>
    <t>ORD. 0360 del 23.02.2021</t>
  </si>
  <si>
    <t>ORD. 675</t>
  </si>
  <si>
    <t>Nota de Cambio N°90</t>
  </si>
  <si>
    <t>Muretes de contención sector eje 17</t>
  </si>
  <si>
    <t>17 Ñuble</t>
  </si>
  <si>
    <t>Construcción Nuevo Complejo Hospitalario Provincia de Ñuble</t>
  </si>
  <si>
    <t>Nota de Cambio N°9</t>
  </si>
  <si>
    <t>Modificación Cerco C3</t>
  </si>
  <si>
    <t>ORD 370 SSÑ del 08.04.21</t>
  </si>
  <si>
    <t>ORD. 1328</t>
  </si>
  <si>
    <t>Calculo estructura EJE 28a RDI n°68</t>
  </si>
  <si>
    <t>ORD. 935 del 11.06.20</t>
  </si>
  <si>
    <t>C4 N° 2223 del 15-07-20</t>
  </si>
  <si>
    <t>Nota de Cambio N°89 Rev. 1</t>
  </si>
  <si>
    <t>Nota de Cambio Modificación central de alimentación</t>
  </si>
  <si>
    <t>ORD. 0390 del 02.03.21</t>
  </si>
  <si>
    <t>ORD. 945</t>
  </si>
  <si>
    <t>Nota de Cambio N°89</t>
  </si>
  <si>
    <t>Obras de  accesibilidad universal sector jardín infantil</t>
  </si>
  <si>
    <t>Nota de Cambio N°88</t>
  </si>
  <si>
    <t>nueva estructura metálica data center</t>
  </si>
  <si>
    <t>Incorporación señales de seguridad</t>
  </si>
  <si>
    <t>Nota de Cambio N°87</t>
  </si>
  <si>
    <t>Incorporación válvula ventosa en red extensión  agua potable</t>
  </si>
  <si>
    <t>Nota de Cambio N°86</t>
  </si>
  <si>
    <t>Confección terraplén y talud junto a paradero</t>
  </si>
  <si>
    <t>Nota de Cambio N°85 rev3</t>
  </si>
  <si>
    <t>modificación estructura metálica bastidor TP9 revisión 2</t>
  </si>
  <si>
    <t>Nota de Cambio N°85 Rev. 3</t>
  </si>
  <si>
    <t>Modificación puerta FOI N°267 Y N°194</t>
  </si>
  <si>
    <t>Construcción Complejo Asistencial Padre Las Casas</t>
  </si>
  <si>
    <t>Nota de Cambio N°85</t>
  </si>
  <si>
    <t>Obras solicitadas por Bomberos para recepción de las obras</t>
  </si>
  <si>
    <t>ORD. 0121 SSAR, 16-01-2020.</t>
  </si>
  <si>
    <t>ORD C4/0555 del 09-03-2020</t>
  </si>
  <si>
    <t>3.02</t>
  </si>
  <si>
    <t>Redución de superficie de aplicación de EIFS en las vigas de subterráneo</t>
  </si>
  <si>
    <t>Ord C4/492 del 09-02-2022</t>
  </si>
  <si>
    <t>Plataforma metálica  para muestreo isocinetico</t>
  </si>
  <si>
    <t>Nota de Cambio N°84</t>
  </si>
  <si>
    <t>Automatización cilindros agua caliente sanitaria para control legionela y control con sistema de colectores solares</t>
  </si>
  <si>
    <t>Acero Estructural Escalera Acceso Patio Ambulancias</t>
  </si>
  <si>
    <t>Modificacion tabiques ascensores (1A Y 1B)</t>
  </si>
  <si>
    <t>Nota de Cambio N°83 rev2</t>
  </si>
  <si>
    <t>Ejecución de nuevas pilas sector gases clinicos</t>
  </si>
  <si>
    <t>Nota de Cambio N°83 Rev. 0</t>
  </si>
  <si>
    <t>Arquitectura muro cortina ventanas V32 / V33 /V34 / V35 RDI 252</t>
  </si>
  <si>
    <t>Nota de Cambio N°83</t>
  </si>
  <si>
    <t>Modificación eléctrica por equipos médicos</t>
  </si>
  <si>
    <t>Reparación red agua potable exterior</t>
  </si>
  <si>
    <t>Nota de Cambio N°82 Rev. 3</t>
  </si>
  <si>
    <t>Helipuerto RDI 36 FOI 238</t>
  </si>
  <si>
    <t>Nota de Cambio N°82</t>
  </si>
  <si>
    <t>Instalación de arranques de climatización, gases clínicos y agua potable para incorporación nuevas tecnologías</t>
  </si>
  <si>
    <t>Ingenieria pasarela estero iribarren</t>
  </si>
  <si>
    <t>Nota de Cambio N°81.18</t>
  </si>
  <si>
    <t>Incremento baranda escalera 1</t>
  </si>
  <si>
    <t>Ord. 1918 del 22.07.22 SSAS</t>
  </si>
  <si>
    <t>ORD. 2858</t>
  </si>
  <si>
    <t>Nota de Cambio N°81.17</t>
  </si>
  <si>
    <t>Modificaciones jardín Infantil</t>
  </si>
  <si>
    <t>19 Talcahuano</t>
  </si>
  <si>
    <t>Normalización 3°Etapa y Final Hospital Las Higueras, Talcahuano</t>
  </si>
  <si>
    <t>Disminución no montaje ascensor N°8, edificio técnico</t>
  </si>
  <si>
    <t>TERMINACIONES</t>
  </si>
  <si>
    <t>en revisión</t>
  </si>
  <si>
    <t>ORD. 1449</t>
  </si>
  <si>
    <t>Ord C4/3050 del 31-08-2022</t>
  </si>
  <si>
    <t>Nota de Cambio N°81.16</t>
  </si>
  <si>
    <t>Ventilación cámaras desgrasadoras</t>
  </si>
  <si>
    <t>Disminución partidas planta transitoria de hemodialisis</t>
  </si>
  <si>
    <t>Nota de Cambio N°81.15</t>
  </si>
  <si>
    <t>Cambio ventanas plomadas</t>
  </si>
  <si>
    <t>Nota de Cambio N°81.14</t>
  </si>
  <si>
    <t>Sala tratamiento de agua</t>
  </si>
  <si>
    <t>Nota de Cambio N°81.13</t>
  </si>
  <si>
    <t>Pintura residuos sucios</t>
  </si>
  <si>
    <t>Nota de Cambio N°81.12</t>
  </si>
  <si>
    <t>Modificación en sala terapia ocupacional</t>
  </si>
  <si>
    <t>Nota de Cambio N°81.11</t>
  </si>
  <si>
    <t>Modificación Reas</t>
  </si>
  <si>
    <t>Nota de Cambio N°81.10</t>
  </si>
  <si>
    <t>Box Traumatología</t>
  </si>
  <si>
    <t>Nota de Cambio N°81.09</t>
  </si>
  <si>
    <t>Laboratorio Dental</t>
  </si>
  <si>
    <t>Nota de Cambio N°81.08</t>
  </si>
  <si>
    <t>Medicina Física</t>
  </si>
  <si>
    <t>Nota de Cambio N°81.07</t>
  </si>
  <si>
    <t>Modificación Esterilización</t>
  </si>
  <si>
    <t>07 Viña del Mar Quillota</t>
  </si>
  <si>
    <t>Construcción Hospital Provincial Marga-Marga</t>
  </si>
  <si>
    <t>Disminución de instrumentación monitoreo sísmico</t>
  </si>
  <si>
    <t>Ord N°1672</t>
  </si>
  <si>
    <t>Ord C4/4123 del 23-12-2021</t>
  </si>
  <si>
    <t>Nota de Cambio N°81.06</t>
  </si>
  <si>
    <t>Trasdosado de volcanita en diálisis</t>
  </si>
  <si>
    <t>Nota de Cambio N°81.05</t>
  </si>
  <si>
    <t>Nueva sala de rack</t>
  </si>
  <si>
    <t>Nota de Cambio N°81.04</t>
  </si>
  <si>
    <t>Sedile</t>
  </si>
  <si>
    <t>Nota de Cambio N°81.03</t>
  </si>
  <si>
    <t>Diálisis</t>
  </si>
  <si>
    <t>Nota de Cambio N°81.02</t>
  </si>
  <si>
    <t>Modificación UCA</t>
  </si>
  <si>
    <t>Nota de Cambio N°81.01</t>
  </si>
  <si>
    <t xml:space="preserve">CECOSAM </t>
  </si>
  <si>
    <t>Nota de Cambio N°81</t>
  </si>
  <si>
    <t>Traslado UPS a pisos mecánicos</t>
  </si>
  <si>
    <t>Nota de Cambio N°80e</t>
  </si>
  <si>
    <t>Modificación tableros por piso (otros no considerados)</t>
  </si>
  <si>
    <t>Nota de Cambio N°80d</t>
  </si>
  <si>
    <t>Modificación tableros por piso (imagenología)</t>
  </si>
  <si>
    <t>Nota de Cambio N°80c</t>
  </si>
  <si>
    <t>Modificación tableros por piso (laboratorio)</t>
  </si>
  <si>
    <t>Nota de Cambio N°80b</t>
  </si>
  <si>
    <t>Modificación tableros por piso (arquitectura)</t>
  </si>
  <si>
    <t>Nota de Cambio N°80a</t>
  </si>
  <si>
    <t>Modificación tableros por piso (data center)</t>
  </si>
  <si>
    <t>Nota de Cambio N°80 rev. 1</t>
  </si>
  <si>
    <t>RDI 146 A</t>
  </si>
  <si>
    <t>ORD. 0329 del 17.02.21</t>
  </si>
  <si>
    <t>ORD. 944</t>
  </si>
  <si>
    <t>Nota de Cambio N°80</t>
  </si>
  <si>
    <t>Mejora sala tratamiento de aguas edificio A zócalo</t>
  </si>
  <si>
    <t>05 Coquimbo</t>
  </si>
  <si>
    <t>Conservacion Post Terremoto Hospital de Coquimbo (EPCA)</t>
  </si>
  <si>
    <t>Nota de Cambio N°8</t>
  </si>
  <si>
    <t>Rediseño por cruce con fundaciones existentes según RDI N°1, del 1° de diciembre de 2017.</t>
  </si>
  <si>
    <t>ORD. 1A/0128 SSC del 18-01-19</t>
  </si>
  <si>
    <t>ORD. C4/ 1218, 20 Marzo 2019.</t>
  </si>
  <si>
    <t>Disminución Emplantillado</t>
  </si>
  <si>
    <t>Definición de elevaciones A01-A02 s/RDI 69</t>
  </si>
  <si>
    <t>Nota de Cambio N°79 rev 1</t>
  </si>
  <si>
    <t>Estructura obra gruesa RDI 188</t>
  </si>
  <si>
    <t>ORD. 1906 del 09.12.20</t>
  </si>
  <si>
    <t>ORD. 436</t>
  </si>
  <si>
    <t>Nota de Cambio N°79</t>
  </si>
  <si>
    <t>Solución drenaje sala térmica</t>
  </si>
  <si>
    <t>Estudio justificación semaforización</t>
  </si>
  <si>
    <t>Nota de Cambio N°78 rev4</t>
  </si>
  <si>
    <t>modificación estructura metálica soportante de fachada ventilada</t>
  </si>
  <si>
    <t>Nota de Cambio N°78</t>
  </si>
  <si>
    <t>Cambio de protecciones y alimentadores proyecto de clima</t>
  </si>
  <si>
    <t>Modificación ficha 152 hall patio central</t>
  </si>
  <si>
    <t>Iluminación tronco vial exterior</t>
  </si>
  <si>
    <t>Modificación de marco especial a marco intermedio</t>
  </si>
  <si>
    <t>Nota de Cambio N°77 rev3</t>
  </si>
  <si>
    <t>modificación diametro red hidraulica de climatización</t>
  </si>
  <si>
    <t>Nota de Cambio N°77 rev. 2</t>
  </si>
  <si>
    <t>RDI 175 llave cromada sala REAS</t>
  </si>
  <si>
    <t>Nota de Cambio N°77</t>
  </si>
  <si>
    <t>instalaciones para futuro equipo disipador de calor (Dry cooler)</t>
  </si>
  <si>
    <t xml:space="preserve">Aguas lluvias exteriores </t>
  </si>
  <si>
    <t>Ord. 01570 del 15.06.22 SSAS</t>
  </si>
  <si>
    <t>ORD. 2135</t>
  </si>
  <si>
    <t xml:space="preserve">Nota de Cambio N°76b </t>
  </si>
  <si>
    <t xml:space="preserve">Última aprobación de UMAS </t>
  </si>
  <si>
    <t>Ord.N°614  del 07.04.22</t>
  </si>
  <si>
    <t>ORD.2036</t>
  </si>
  <si>
    <t>06 Aconcagua</t>
  </si>
  <si>
    <t>Mejoramiento Hospital Dr. Philippe Pinel Putaendo</t>
  </si>
  <si>
    <t>Disminución de partidas asociadas a Edificio Suroriente y pasillo de conexión</t>
  </si>
  <si>
    <t>ORD.417</t>
  </si>
  <si>
    <t>ORD.1329</t>
  </si>
  <si>
    <t>Nota de Cambio N°76a</t>
  </si>
  <si>
    <t xml:space="preserve">Última aprobación de UMAS (5 unidades) </t>
  </si>
  <si>
    <t>Nota de Cambio N°76</t>
  </si>
  <si>
    <t>Disminución ductos acero galvanizado</t>
  </si>
  <si>
    <t>ADHESIVO TROQUELADO EN ACCESO NIVEL AISLADORES EDIFICIO E</t>
  </si>
  <si>
    <t>EN ESTUDIO</t>
  </si>
  <si>
    <t>ORD. 1629</t>
  </si>
  <si>
    <t>Ord C4/4034 del 07-11-2022</t>
  </si>
  <si>
    <t>FOI 137 Modificación aire comprimido esterilización</t>
  </si>
  <si>
    <t>Equipo de bombeo para ascensor</t>
  </si>
  <si>
    <t>Nota de Cambio N°75</t>
  </si>
  <si>
    <t>Equipamiento mueble laboratorio dental</t>
  </si>
  <si>
    <t>Modificación Muro de Contención Eje A</t>
  </si>
  <si>
    <t>Estructura obra gruesa RDI 246 A</t>
  </si>
  <si>
    <t>Equipo de bombeo para riego</t>
  </si>
  <si>
    <t>Nota de Cambio N°74</t>
  </si>
  <si>
    <t>Disminución estanque de gas combustible</t>
  </si>
  <si>
    <t>Modificación rampa peatonal norte</t>
  </si>
  <si>
    <t>Aumento mueble de acero inoxidable RDI 223.</t>
  </si>
  <si>
    <t>ORD.1122</t>
  </si>
  <si>
    <t>Adecuaciones proyecto instalaciones sanitarias</t>
  </si>
  <si>
    <t>Nota de Cambio N°73 Rev. 1</t>
  </si>
  <si>
    <t>Urbanización muros RDI 196</t>
  </si>
  <si>
    <t>Nota de Cambio N°73</t>
  </si>
  <si>
    <t>Pasillo técnico paneles fotovoltaicos  y gateras acceso a cubierta</t>
  </si>
  <si>
    <t>Adecuaciones proyecto climatización</t>
  </si>
  <si>
    <t>Nota de Cambio N°72</t>
  </si>
  <si>
    <t>Incorporación bomba sentina cámara desagüe</t>
  </si>
  <si>
    <t>Modificación muebles de laboratorio</t>
  </si>
  <si>
    <t>Nota de Cambio N°71B</t>
  </si>
  <si>
    <t>Respuesta nota de cambio RDI N°226, cambio de cielo y luminaria (parte eléctrica)</t>
  </si>
  <si>
    <t>Nota de Cambio N°71A rev 2</t>
  </si>
  <si>
    <t>Cambio techo rdi 226 (parte civil)</t>
  </si>
  <si>
    <t>Nota de Cambio N°71</t>
  </si>
  <si>
    <t>Incorporación ventana de guillotina y pasamuro</t>
  </si>
  <si>
    <t>Modificación Dispositivo Deslizante escaleras</t>
  </si>
  <si>
    <t>Diagonal de asepsia closet de hospitalización</t>
  </si>
  <si>
    <t>Nota de Cambio N°70 rev4</t>
  </si>
  <si>
    <t>cambio de vigas por fan coil (ductos y otros)</t>
  </si>
  <si>
    <t>Nota de Cambio N°70</t>
  </si>
  <si>
    <t>Suministro jumper</t>
  </si>
  <si>
    <t>Modificación mueble mudador</t>
  </si>
  <si>
    <t>Nota de Cambio N°7</t>
  </si>
  <si>
    <t>Alargue cañería de alimentación de oxígeno.</t>
  </si>
  <si>
    <t>Labores de Rescate Arqueológico - Recl 3</t>
  </si>
  <si>
    <t>SELLO COMPRIBAND CANAL MARQUESINA EDIFICIO C</t>
  </si>
  <si>
    <t>Calculo incremento cimentación edificio D rdi 39</t>
  </si>
  <si>
    <t>ORD. 1032 del 02.07.20</t>
  </si>
  <si>
    <t>C4 N° 2538 del 17-08-20</t>
  </si>
  <si>
    <t>Nota de Cambio N°69 rev. 1</t>
  </si>
  <si>
    <t>RDI 239, eliminación LED fachada 12W</t>
  </si>
  <si>
    <t>Nota de Cambio N°69</t>
  </si>
  <si>
    <t>Canalización para montaje antena de telecomunicaciones, edificio G</t>
  </si>
  <si>
    <t>Cambio de viga frias por fan coil</t>
  </si>
  <si>
    <t>Aguas tratadas</t>
  </si>
  <si>
    <t>Nota de Cambio N°68</t>
  </si>
  <si>
    <t>Proyecto mejoramiento solución aguas lluvias</t>
  </si>
  <si>
    <t>Actualización de planta de tabiqueria  RDI 223</t>
  </si>
  <si>
    <t>Nota de Cambio N°67 Rev. 0</t>
  </si>
  <si>
    <t>Estructura de confinamiento-dintel ventana v38, eje 18/P-Q RDI 215-A</t>
  </si>
  <si>
    <t>ORD. 1420 del 23.09.20</t>
  </si>
  <si>
    <t>ORD. 3785</t>
  </si>
  <si>
    <t>Modificaciones tablero eléctrico alumbrado Edificio EH5 4° y 5° piso</t>
  </si>
  <si>
    <t>ORD. 443; 1212; 1776</t>
  </si>
  <si>
    <t>Ord C4/4187 del 27-12-2021</t>
  </si>
  <si>
    <t>05-04-2021; 20-09-2021; 30-11-2021</t>
  </si>
  <si>
    <t>Nota de Cambio N°67</t>
  </si>
  <si>
    <t>Modificación sala de residuos sólidos</t>
  </si>
  <si>
    <t>Nuevos Fan Coil (Ductos y Otros)</t>
  </si>
  <si>
    <t>Gases clínicos 2</t>
  </si>
  <si>
    <t>Reemplazo líneas aéreas acceso etapa 2</t>
  </si>
  <si>
    <t>ORD.418</t>
  </si>
  <si>
    <t>Nota de Cambio N°66 Rev, 2</t>
  </si>
  <si>
    <t>Definicion de estructura metalica accesos RDI N°73 y 199</t>
  </si>
  <si>
    <t>Nota de Cambio N°66</t>
  </si>
  <si>
    <t>Modificación sector laboratorio</t>
  </si>
  <si>
    <t>Control Centralizado</t>
  </si>
  <si>
    <t>Nota de Cambio N°65 Rev. 1</t>
  </si>
  <si>
    <t>Estructura obra gruesa cubierta sector urgencia rdi 73-A</t>
  </si>
  <si>
    <t>Nota de Cambio N°65</t>
  </si>
  <si>
    <t>Aumento dimensiones y refuerzo portones</t>
  </si>
  <si>
    <t>UPS Pabellón</t>
  </si>
  <si>
    <t>Nota de Cambio N°64 rev2</t>
  </si>
  <si>
    <t xml:space="preserve">Modificación acero refuerzo estanque de agua potable </t>
  </si>
  <si>
    <t>Nuevas ventanas correderas en edificio norte</t>
  </si>
  <si>
    <t>ORD.1436</t>
  </si>
  <si>
    <t>ORD.3789</t>
  </si>
  <si>
    <t>Nota de Cambio N°64 Rev. 4</t>
  </si>
  <si>
    <t xml:space="preserve">Modificación tableros central de alimentación </t>
  </si>
  <si>
    <t>Nota de Cambio N°64</t>
  </si>
  <si>
    <t>Descarga de vahos lavadora descontaminadora</t>
  </si>
  <si>
    <t>Tableros de clima</t>
  </si>
  <si>
    <t>Nota de Cambio N°63</t>
  </si>
  <si>
    <t>Aumento muro mse lado oriente y norte</t>
  </si>
  <si>
    <t>Cambio Control de acceso exterior</t>
  </si>
  <si>
    <t>Nota de Cambio N°62 rev 1</t>
  </si>
  <si>
    <t>Cierre perimetral estructura metalica modulo D RDI 93</t>
  </si>
  <si>
    <t>Nota de Cambio N°62</t>
  </si>
  <si>
    <t>Incorporación de mecheros sector laboratorio</t>
  </si>
  <si>
    <t>Modificación Cielos Salas Hospitalización</t>
  </si>
  <si>
    <t>Nota de Cambio N°61 rev2</t>
  </si>
  <si>
    <t>complemento proyecto puentes de acceso</t>
  </si>
  <si>
    <t>Nota de Cambio N°61</t>
  </si>
  <si>
    <t>Incorporación de registro tipo gatera</t>
  </si>
  <si>
    <t>Rampa peatonal en acera nor-oriente</t>
  </si>
  <si>
    <t>Nota de Cambio N°60</t>
  </si>
  <si>
    <t>Refuerzo para TV y data show</t>
  </si>
  <si>
    <t>Mobiliario</t>
  </si>
  <si>
    <t>Ord. 2602 del 27.10.21 SSAS</t>
  </si>
  <si>
    <t>ORD. 4185</t>
  </si>
  <si>
    <t>Nota de Cambio N°6</t>
  </si>
  <si>
    <t>Labores de Prospecciones y Rescate Arqueológico - Recl 1</t>
  </si>
  <si>
    <t>Nota de Cambio N°59</t>
  </si>
  <si>
    <t>Baranda acceso peatonal oriente</t>
  </si>
  <si>
    <t>Columnas</t>
  </si>
  <si>
    <t>Nota de Cambio N°58 rev2</t>
  </si>
  <si>
    <t>modificación EEMM soportante lamas TP10</t>
  </si>
  <si>
    <t>Nota de Cambio N°58</t>
  </si>
  <si>
    <t>Incorporación cámara de derrames sala cloro</t>
  </si>
  <si>
    <t>Cambio NPT patios interiores</t>
  </si>
  <si>
    <t>Nota de Cambio N°57 Rev, 1</t>
  </si>
  <si>
    <t>Estructura de confinamiento cielo dintel RDI 171,182 Y 202</t>
  </si>
  <si>
    <t>Nota de Cambio N°57</t>
  </si>
  <si>
    <t>Cambio dimensiones letras acero inoxidable</t>
  </si>
  <si>
    <t>Nota de Cambio N°56 Rev. 2</t>
  </si>
  <si>
    <t>Detalle portería cierros y accesos RDI 21A,167,168 Y 186</t>
  </si>
  <si>
    <t>Nota de Cambio N°56</t>
  </si>
  <si>
    <t>Disminución corrientes débiles</t>
  </si>
  <si>
    <t>Alimentación eléctrica bomba de aguas lluvia</t>
  </si>
  <si>
    <t>Modificación Barandillas y Pasamanos</t>
  </si>
  <si>
    <t>Nota de Cambio N°55</t>
  </si>
  <si>
    <t>Disminución repisa contenedor residuos sólidos</t>
  </si>
  <si>
    <t>Nota de Cambio N°54 rev2</t>
  </si>
  <si>
    <t>Modificación Tabique T7 Pabellón y parto</t>
  </si>
  <si>
    <t>Nota de Cambio N°54</t>
  </si>
  <si>
    <t>Instalación detector de humo en ductos de pisos mecánicos</t>
  </si>
  <si>
    <t>Incorporación de ventanas en salas UTI</t>
  </si>
  <si>
    <t>Modificación tablero climatización edificio EH5 3°, 4°, 5°, 6° y 7</t>
  </si>
  <si>
    <t>Nota de Cambio N°53</t>
  </si>
  <si>
    <t>Modificación climatización residuos sólidos y DAN</t>
  </si>
  <si>
    <t>suministro y montaje de rejillas fan coil</t>
  </si>
  <si>
    <t>Nota de cambio por ficha C1-074</t>
  </si>
  <si>
    <t>ORD. 1246 del 24.08.20</t>
  </si>
  <si>
    <t>ORD. 3248</t>
  </si>
  <si>
    <t>Cambio de ventana a puerta acceso N 3</t>
  </si>
  <si>
    <t>Nota de Cambio N°52</t>
  </si>
  <si>
    <t>Modificación climatización sector dental 2°piso F</t>
  </si>
  <si>
    <t>Nota de Cambio N°51 REV2</t>
  </si>
  <si>
    <t>NdC Solicitud FOI N°008</t>
  </si>
  <si>
    <t>Nota de Cambio N°51</t>
  </si>
  <si>
    <t>Modificaciones climatización central de alimentación</t>
  </si>
  <si>
    <t>Nota de Cambio N°50 Rev. 2</t>
  </si>
  <si>
    <t>Ficha n°95 modificacion de recintos</t>
  </si>
  <si>
    <t>BARANDA SHAFT CLIMA PISO MECÁNICO EDIFICIO B</t>
  </si>
  <si>
    <t>Estructura de cubierta sobre ascensor 06 y 07 Edificio cuerpo C</t>
  </si>
  <si>
    <t>Nota de Cambio N°50</t>
  </si>
  <si>
    <t xml:space="preserve"> Cambio capacidad vex D02 (sala reutilización diálisis)</t>
  </si>
  <si>
    <t>Modificación marquesina entrada</t>
  </si>
  <si>
    <t>Puertas PP6-PCA</t>
  </si>
  <si>
    <t>NORMALIZACIÓN HOSPITAL PITRUFQUEN (Fase 2)</t>
  </si>
  <si>
    <t>Nota de Cambio N°5</t>
  </si>
  <si>
    <t>Cierre exterior Sala Cuna</t>
  </si>
  <si>
    <t>ORD 0779 SSAS del  01.04.20</t>
  </si>
  <si>
    <t>ORD.1327</t>
  </si>
  <si>
    <t>Nota de Cambio N°49</t>
  </si>
  <si>
    <t>Refuerzo Hormigón proyecto aguas lluvias</t>
  </si>
  <si>
    <t>Estructura complemento a RDI 127</t>
  </si>
  <si>
    <t>Cambio puertas metálicas a PVC</t>
  </si>
  <si>
    <t>Nota de Cambio N°48</t>
  </si>
  <si>
    <t>Cambio ubicación tablero incendio</t>
  </si>
  <si>
    <t>Pintura negra en aislante tras revestimiento piedra pizarra y HPL fachada</t>
  </si>
  <si>
    <t>Tapa dintel en closet pasillos y salas de espera EH5</t>
  </si>
  <si>
    <t>Estructura vestibulo acceso entrada eje 18-19/ R-C07, RDI 212</t>
  </si>
  <si>
    <t>cambio a Guillotinas</t>
  </si>
  <si>
    <t>Nota de Cambio N°47 rev3</t>
  </si>
  <si>
    <t>Nuevo equipo fancoil</t>
  </si>
  <si>
    <t>Nota de Cambio N°47</t>
  </si>
  <si>
    <t>Nueva cámara alcantarillado paralelismo</t>
  </si>
  <si>
    <t>Equipamiento Sala de Bombas</t>
  </si>
  <si>
    <t>MODIFICACIÓN SEÑALÉTICA TIPO E Y F</t>
  </si>
  <si>
    <t>Aumento muro cortina RDI 166</t>
  </si>
  <si>
    <t>Nota de Cambio N°46 rev3</t>
  </si>
  <si>
    <t>Modificación espesor pletinas de baranda tipo BP1</t>
  </si>
  <si>
    <t>Nota de Cambio N°46</t>
  </si>
  <si>
    <t>Modificación sector some</t>
  </si>
  <si>
    <t>Estructura obra gruesa ascensores rdi 88</t>
  </si>
  <si>
    <t>Modificaiones tablero climatización CL-TDF-EI-P2-001</t>
  </si>
  <si>
    <t>Nota de Cambio N°45 rev2</t>
  </si>
  <si>
    <t>Modificación en red de agua potable según RDI n° 381 por cambios de diametro</t>
  </si>
  <si>
    <t>Nota de Cambio N°45 Rev. 1</t>
  </si>
  <si>
    <t>Estructura obra gruesa rdi 142 viga v.117 y v.127</t>
  </si>
  <si>
    <t>Modificaciones tablero electrico alumbrado el 1°, 2° y 3° piso</t>
  </si>
  <si>
    <t>Nota de Cambio N°45</t>
  </si>
  <si>
    <t>Cambio ubicación pozo profundo</t>
  </si>
  <si>
    <t>Modificaciones chifloneras en acceso principal</t>
  </si>
  <si>
    <t>Nota de Cambio N°44</t>
  </si>
  <si>
    <t>2do Cuello acceso comunidad mapuche maquehue</t>
  </si>
  <si>
    <t>Nota de Cambio N°43</t>
  </si>
  <si>
    <t>Cuello acceso comunidad maquehue</t>
  </si>
  <si>
    <t>Disminución de obra n° 6 muebles area administrativa y bodega</t>
  </si>
  <si>
    <t>Modificación de fachadas</t>
  </si>
  <si>
    <t>Nota de Cambio N°42</t>
  </si>
  <si>
    <t>Incorporación de viga y mayor altura pilares cierre perimetral</t>
  </si>
  <si>
    <t xml:space="preserve">Modificación sistema limpieza de fachada </t>
  </si>
  <si>
    <t>ORD. N° 960, 17.06.20</t>
  </si>
  <si>
    <t>0RD. C4/2134,  13-07-20</t>
  </si>
  <si>
    <t>Nota de cambio anotación LO 10 folio 41</t>
  </si>
  <si>
    <t>Modificación fachada patio 5 (vanos de puertas y ventana)</t>
  </si>
  <si>
    <t>INCORPORACIÓN DE PERFIL DE ALUMINIO SOBRE PERFIL HORIZONTAL DE MURO CORTINA EN PUENTE CENTRO</t>
  </si>
  <si>
    <t>Nota de Cambio N°41 Rev. 4</t>
  </si>
  <si>
    <t>Fichas electricas 104 y 106</t>
  </si>
  <si>
    <t>Nota de Cambio N°41</t>
  </si>
  <si>
    <t>Incorporación puertas celosía para closet eléctricos</t>
  </si>
  <si>
    <t>Modificación griferia de lavamanos acero inox. 36x36 y vanitorios bajo cubierta 36x14</t>
  </si>
  <si>
    <t>Escotillas, escaleras y varios en estanques de agua</t>
  </si>
  <si>
    <t>Nota de Cambio N°40 rev 1</t>
  </si>
  <si>
    <t>Nota de cambio RDI 103</t>
  </si>
  <si>
    <t>Nota de Cambio N°40</t>
  </si>
  <si>
    <t xml:space="preserve">Modificación recinto DAN </t>
  </si>
  <si>
    <t>ORD. 2047 SSAS, 25-07-2019.</t>
  </si>
  <si>
    <t>ORD C4/4890 del 13-11-2019</t>
  </si>
  <si>
    <t>Demoliciones sectores subterráneo 2 por modificaciones de normativa técnica básica</t>
  </si>
  <si>
    <t>Nota de Cambio N°4</t>
  </si>
  <si>
    <t>Incorporaciónde unidad de hemodinamia en arquitectura</t>
  </si>
  <si>
    <t>ORD 210 SSÑ del 12.01.22</t>
  </si>
  <si>
    <t>ORD. 583</t>
  </si>
  <si>
    <t>Normalización Hospital Comunario y Familiar Makewe - Padre Las Casas</t>
  </si>
  <si>
    <t xml:space="preserve">Disminución grifería </t>
  </si>
  <si>
    <t>ORD 3175 del 05.12.22</t>
  </si>
  <si>
    <t>46578 del 28-12-22</t>
  </si>
  <si>
    <t>Requerimientos autoridad Sanitaria para funcionamiento Hospitalización Corta Estadía</t>
  </si>
  <si>
    <t>25 Reloncaví</t>
  </si>
  <si>
    <t xml:space="preserve">Construcción Macro Centro Regulador SAMU  </t>
  </si>
  <si>
    <t>Registros para equipos de clima en cielos y tuberías condensación</t>
  </si>
  <si>
    <t>52 días</t>
  </si>
  <si>
    <t>ORD. 4930</t>
  </si>
  <si>
    <t>ORD. 888</t>
  </si>
  <si>
    <t>PERFIL TEE EN BALCONES EDIFICIO E</t>
  </si>
  <si>
    <t>Nota de Cambio N°39</t>
  </si>
  <si>
    <t xml:space="preserve">Construcción muro mecánicamente estabilizado </t>
  </si>
  <si>
    <t>Barrera cortafuego en dilatación tabiques tipo T4 subterráneo 3</t>
  </si>
  <si>
    <t>Nota de cambio RDI 119</t>
  </si>
  <si>
    <t>Modificaciones tablero alumbrado el 1° piso, ET zocalo y EH5 6° piso</t>
  </si>
  <si>
    <t>Salidas de Shaff climatización en cubierta</t>
  </si>
  <si>
    <t>2.24</t>
  </si>
  <si>
    <t>Retapado de pasadas ejecutadas por cambios de arquitectura</t>
  </si>
  <si>
    <t>Ord C4/3095 del 08-10-2021</t>
  </si>
  <si>
    <t>Nota de Cambio N°38</t>
  </si>
  <si>
    <t>Disminución autoclave formulas lacteas</t>
  </si>
  <si>
    <t>MODIFICACIONES TABLERO CLIMATIZACIÓN T.D.F CLIMA "CL-TDF-EH5-PM7-002"</t>
  </si>
  <si>
    <t>Modificación materialidad de red humeda extinción de incendios a acero galvánizado</t>
  </si>
  <si>
    <t>Conformación canales agua lluvia casetones nivel 3</t>
  </si>
  <si>
    <t>Nota de Cambio N°37</t>
  </si>
  <si>
    <t>Aumento altura frontón edificio H</t>
  </si>
  <si>
    <t>Cambio Canalizaciones eléctricas EMT a tubería flexible LH</t>
  </si>
  <si>
    <t>Impermeabilización canalón piso 5 Carbolineo</t>
  </si>
  <si>
    <t>Nota de Cambio N°36 Rev. 2</t>
  </si>
  <si>
    <t>Nota de Cambio RDI 141</t>
  </si>
  <si>
    <t>Nota de Cambio N°36</t>
  </si>
  <si>
    <t xml:space="preserve">Incorporación Colector aguas lluvias (EISTU) </t>
  </si>
  <si>
    <t>Disminución de obra filtros de profundidad</t>
  </si>
  <si>
    <t>Cubierta de chiller e iluminación interior</t>
  </si>
  <si>
    <t>Nota de Cambio N°35</t>
  </si>
  <si>
    <t>Aumento diametro HDPE Agua Potable</t>
  </si>
  <si>
    <t>Modificación rampa exterior eje A-A' y relleno hormigon pobre</t>
  </si>
  <si>
    <t>Nota de Cambio N°34</t>
  </si>
  <si>
    <t>Incorporación grifo proyecto paralelismo</t>
  </si>
  <si>
    <t>Acceso a cubierta, líneas de vida y varios</t>
  </si>
  <si>
    <t>Nota de Cambio N°33</t>
  </si>
  <si>
    <t>Modificación proyecto estanques de petróleo</t>
  </si>
  <si>
    <t>Sellos cortafuego</t>
  </si>
  <si>
    <t>Nota de Cambio N°32</t>
  </si>
  <si>
    <t>Incorporación equipos aire acondicionado sala autoclave</t>
  </si>
  <si>
    <t xml:space="preserve">Modificaciones tablero alumbrado edificio EH5 Zocalo, 1°,  2° y 3° piso </t>
  </si>
  <si>
    <t>Modificación estanque aguas lluvias RDI n° 18 ITO</t>
  </si>
  <si>
    <t>Cabina en zona de baños</t>
  </si>
  <si>
    <t>Nota de Cambio N°31</t>
  </si>
  <si>
    <t>Modificación sala de comunicaciones y datos</t>
  </si>
  <si>
    <t>Modificación camara de rejas y estanque aguas servidas</t>
  </si>
  <si>
    <t>Modificacion materialidad salida ventilación Alcantarillado</t>
  </si>
  <si>
    <t>Obras civiles acceso nivel 5</t>
  </si>
  <si>
    <t>DEMOLICION MURETE DE CONTENCIÓN EN AREA DE JUEGOS INFANTILES</t>
  </si>
  <si>
    <t>OBRA GRUESA</t>
  </si>
  <si>
    <t>2.14</t>
  </si>
  <si>
    <t>Modificación estructura metálica ascensores</t>
  </si>
  <si>
    <t>Nota de Cambio N°30B</t>
  </si>
  <si>
    <t>Actualización proyecto climatización obras civiles</t>
  </si>
  <si>
    <t>Puertas Manifold edificio Norte, Sur y Norponiente</t>
  </si>
  <si>
    <t>ORD.416</t>
  </si>
  <si>
    <t>MODIF. TABLEROS CLIMATIZACIÓN T.D.F NAS CL-TDF-EH5-ET-001-EH5</t>
  </si>
  <si>
    <t>Nota de Cambio N°30</t>
  </si>
  <si>
    <t>Refuerzo pilar hormigón/losa colaborante</t>
  </si>
  <si>
    <t>26 Osorno</t>
  </si>
  <si>
    <t>Captacion de agua Mision San Juan de la Costa, Nuevo llamado</t>
  </si>
  <si>
    <t xml:space="preserve"> Cargas Filtrantes </t>
  </si>
  <si>
    <t>ORD. 2783</t>
  </si>
  <si>
    <t>ORD. 4419</t>
  </si>
  <si>
    <t>Modificación losa en voladizo eje 1' - 1 cielo zócalo, cielo 1° y 2° piso</t>
  </si>
  <si>
    <t>Shaft ignifugo</t>
  </si>
  <si>
    <t>Nota de Cambio N°3</t>
  </si>
  <si>
    <t>Rediseño de fundaciones por cruce con fundaciones existentes.</t>
  </si>
  <si>
    <t>ORD. 1922 SSC del 31-10-18</t>
  </si>
  <si>
    <t>ORD. C4/ 1237, 21-03-2019.</t>
  </si>
  <si>
    <t>1.03</t>
  </si>
  <si>
    <t>Exigencias de la RCA no incluídas en el contrato</t>
  </si>
  <si>
    <t>Solución soporte retenedores magnéticos edificio EI y EH5</t>
  </si>
  <si>
    <t>Complemento de estructura metálica, RRFF Edificio CAAAC</t>
  </si>
  <si>
    <t>Retiro de Estanque de Acero Enterrado</t>
  </si>
  <si>
    <t>Modificaciones exteriores</t>
  </si>
  <si>
    <t>Juntas flexibles unidades manejadores de Aire NAS</t>
  </si>
  <si>
    <t>Requerimientos autoridad Sanitaria para funcionamiento CECOSAM</t>
  </si>
  <si>
    <t>Elevación eje P´, RDI 42</t>
  </si>
  <si>
    <t xml:space="preserve">Ajuste técnico estructura de hormigón armado </t>
  </si>
  <si>
    <t>Nota de Cambio N°29</t>
  </si>
  <si>
    <t>Bastidor refuerzo equipos chiller</t>
  </si>
  <si>
    <t>Modificación armadura vigas RDI n° 134</t>
  </si>
  <si>
    <t>Detalle enfierradura</t>
  </si>
  <si>
    <t>Tabiques divisorios vidriados sector toma de muestras</t>
  </si>
  <si>
    <t>Fabricación y montaje de tablero de bomba</t>
  </si>
  <si>
    <t>ORD. 1641</t>
  </si>
  <si>
    <t>ORD. 3742</t>
  </si>
  <si>
    <t>Nuevos requerimientos pavimentos auditórium</t>
  </si>
  <si>
    <t>Nota de Cambio N°28</t>
  </si>
  <si>
    <t>Disminución delantal y biombo plomado</t>
  </si>
  <si>
    <t>Modificación de pavimento subterráneo 2</t>
  </si>
  <si>
    <t>Detalle escalera eje C14</t>
  </si>
  <si>
    <t>Estructuras adicionales varias</t>
  </si>
  <si>
    <t>Nota de Cambio N°27</t>
  </si>
  <si>
    <t>Modificación proyecto de cálculo rev2</t>
  </si>
  <si>
    <t>Modificación de cielos subterráneo 1 y 2</t>
  </si>
  <si>
    <t>Refuerzos en muro hormigon armado s/fichas 57-58</t>
  </si>
  <si>
    <t>Nota de Cambio N°26C</t>
  </si>
  <si>
    <t>RDI 131 respuesta complementaria planta ARQ-PLA-003 (Especialidades)</t>
  </si>
  <si>
    <t>Nota de Cambio N°26B</t>
  </si>
  <si>
    <t>Modificación RDI 131</t>
  </si>
  <si>
    <t>Nota de Cambio N°26A</t>
  </si>
  <si>
    <t>Cambio tuberias diametro PVC 180 a 200_ RDI 104</t>
  </si>
  <si>
    <t>Nota de Cambio N°26</t>
  </si>
  <si>
    <t>Modificación pavimentos exteriores</t>
  </si>
  <si>
    <t>Telemedicina, kit video collaboration basic</t>
  </si>
  <si>
    <t>Mejoramiento Hospital Puerto Octay</t>
  </si>
  <si>
    <t>16</t>
  </si>
  <si>
    <t>Plan de manejo y retiro de asbesto</t>
  </si>
  <si>
    <t>ORD. 991</t>
  </si>
  <si>
    <t>ORD. 1281</t>
  </si>
  <si>
    <t>Estabilización de taludes</t>
  </si>
  <si>
    <t>Nota de Cambio N°25</t>
  </si>
  <si>
    <t>Modificación proyecto pararrayos</t>
  </si>
  <si>
    <t>Reparaciones eje 16 por derrame de aguas lluvias</t>
  </si>
  <si>
    <t>Relleno hormigón eje E</t>
  </si>
  <si>
    <t>Nota de Cambio N°24</t>
  </si>
  <si>
    <t>Modificación muro de contención lado oriente</t>
  </si>
  <si>
    <t>“Modificación fundación monta camas”</t>
  </si>
  <si>
    <t>ORD. N° 461, 28-02-2019</t>
  </si>
  <si>
    <t>ORD. C4/3871,  10-09-2019.</t>
  </si>
  <si>
    <t>Definición estructural sentina y cámara enfriadora</t>
  </si>
  <si>
    <t>Nota de Cambio N°23</t>
  </si>
  <si>
    <t>Incorporación de rociadores y sensores de Humo</t>
  </si>
  <si>
    <t>“Impermeabilización fundaciones fosos ascensor, estanques y cámaras”</t>
  </si>
  <si>
    <t>Nota de Cambio N°22</t>
  </si>
  <si>
    <t>Modificacion edificio G, sector Parto 1° piso</t>
  </si>
  <si>
    <t>ORD. 2909 del 01-08-2018</t>
  </si>
  <si>
    <t>ORD C4/3000 del 27-10-2019</t>
  </si>
  <si>
    <t>“Complemento Proyecto entibación”.</t>
  </si>
  <si>
    <t>Definición constructiva encuentro ducto losa en cubierta RDI 101</t>
  </si>
  <si>
    <t>NUEVO TABLERO DE ALUMBRADO TDAF Y C RRFF CAAAC</t>
  </si>
  <si>
    <t>Nota de Cambio N°21 REV2</t>
  </si>
  <si>
    <t>Pavimentación acera y ciclovia Edificio C RDI 86 y 96</t>
  </si>
  <si>
    <t>Refuerzos de pasadas por cruce de ductos de clima</t>
  </si>
  <si>
    <t>ORD.1516</t>
  </si>
  <si>
    <t>ORD.3805</t>
  </si>
  <si>
    <t>Nota de Cambio N°21</t>
  </si>
  <si>
    <t>Conexión de transformador Rayos X a sistema de grupo electrógeno. No considerado en el proyecto</t>
  </si>
  <si>
    <t>ORD. C4 /4334 del  10-10-2018</t>
  </si>
  <si>
    <t>“Refuerzo Sectores con roca”.</t>
  </si>
  <si>
    <t>ORD. N° 2255,  05-11-2018.</t>
  </si>
  <si>
    <t>ORD. C4/1967,  29-04-2019.</t>
  </si>
  <si>
    <t>Nota de Cambio N°202</t>
  </si>
  <si>
    <t>Incorporación luz helipuerto</t>
  </si>
  <si>
    <t>Nota de Cambio N°20</t>
  </si>
  <si>
    <t>Modificación sector diálisis, por ajustes normativos</t>
  </si>
  <si>
    <t>“Cambio espesor muro perimetral”.</t>
  </si>
  <si>
    <t>Nota de Cambio N°2</t>
  </si>
  <si>
    <t>Rediseño de proyecto en segundo piso (27 Camas)</t>
  </si>
  <si>
    <t>ORD. C4/ 4916, 20-11-2018.</t>
  </si>
  <si>
    <t>Modificación Oficinas Instalación de Faenas Piso 1</t>
  </si>
  <si>
    <t>Cumplimiento normativo Seremi de Salud</t>
  </si>
  <si>
    <t>Requerimientos autoridad Sanitaria para funcionamiento Hospital de Día</t>
  </si>
  <si>
    <t>Elevaciones: eje 22a, eje 25a y eje 27a.</t>
  </si>
  <si>
    <t>Nota de Cambio N°199</t>
  </si>
  <si>
    <t>Modificación de proyecto de radiocomunicaciones</t>
  </si>
  <si>
    <t>Nota de Cambio N°190</t>
  </si>
  <si>
    <t>Tablero maniobra VEX</t>
  </si>
  <si>
    <t>Nota de Cambio N°19</t>
  </si>
  <si>
    <t>Aumento de enfierradura no indicada en proyecto de cálculo.</t>
  </si>
  <si>
    <t>Reubicación de Gateras y aumento de pasarelas</t>
  </si>
  <si>
    <t>Nota de Cambio N°188</t>
  </si>
  <si>
    <t>refuerzo fibra de carbono pasadas de clima subterráneo 2</t>
  </si>
  <si>
    <t>Ord.N°429  del 10.03.22</t>
  </si>
  <si>
    <t>ORD. 4233</t>
  </si>
  <si>
    <t>Nota de Cambio N°187</t>
  </si>
  <si>
    <t>Modificación corrientes débiles - imagenología sub. 2</t>
  </si>
  <si>
    <t>Continuidad Centro Dialisis Hospital de Purranque</t>
  </si>
  <si>
    <t xml:space="preserve"> Pago compañía por obras de nuevo empalme Diálisis </t>
  </si>
  <si>
    <t>ORD. 1930</t>
  </si>
  <si>
    <t>ORD. 3724</t>
  </si>
  <si>
    <t>Nota de Cambio N°186</t>
  </si>
  <si>
    <t>junta de dilatación gabinete subterráneo 3</t>
  </si>
  <si>
    <t>Nota de Cambio N°184</t>
  </si>
  <si>
    <t>nueva baranda hall urgencia</t>
  </si>
  <si>
    <t>Nota de Cambio N°183</t>
  </si>
  <si>
    <t>Nuevas mamparas para receptáculos de duchas</t>
  </si>
  <si>
    <t>1.01</t>
  </si>
  <si>
    <t>Captura y relocalización de microfauna</t>
  </si>
  <si>
    <t>Nota de Cambio N°18</t>
  </si>
  <si>
    <t>Aumento y disminuciones de enfierradura en muros no considerados en el proyecto.</t>
  </si>
  <si>
    <t>“Armadura de fundación tipo F7 y F8 (RDI N°35)”.</t>
  </si>
  <si>
    <t xml:space="preserve"> Estuco arena cemento </t>
  </si>
  <si>
    <t xml:space="preserve"> Terminaciones </t>
  </si>
  <si>
    <t>ORD. 3174</t>
  </si>
  <si>
    <t>ORD. 151</t>
  </si>
  <si>
    <t>Nota de Cambio N°179</t>
  </si>
  <si>
    <t>cambio de artefactos y accesorios S.H.F. Tipo 38</t>
  </si>
  <si>
    <t xml:space="preserve">Nota de Cambio N°178 </t>
  </si>
  <si>
    <t>modificación corrientes débiles laboratorio</t>
  </si>
  <si>
    <t>MODIFICACIÓN REJILLAS GALVANIZADAS DE CANALETAS DE EDIFICIO C Y EH5</t>
  </si>
  <si>
    <t>Nota de Cambio N°178</t>
  </si>
  <si>
    <t>Modificación luminarias en hall acceso principal</t>
  </si>
  <si>
    <t>Nota de Cambio N°177</t>
  </si>
  <si>
    <t>Disminuciones</t>
  </si>
  <si>
    <t>Nota de Cambio N°176</t>
  </si>
  <si>
    <t>Modificación obras exteriores</t>
  </si>
  <si>
    <t>Obras exteriores</t>
  </si>
  <si>
    <t>Nota de Cambio N°175</t>
  </si>
  <si>
    <t>Puertas baños vestidores UCA.</t>
  </si>
  <si>
    <t>Nota de Cambio N°174</t>
  </si>
  <si>
    <t>Shaft extintor en baño sala toma de muestras 1° piso</t>
  </si>
  <si>
    <t>Nota de Cambio N°173</t>
  </si>
  <si>
    <t>Topes de puerta magnéticos</t>
  </si>
  <si>
    <t>Extintores en sala de calderas</t>
  </si>
  <si>
    <t>Pozo profundo aguas riego</t>
  </si>
  <si>
    <t>Nota de Cambio N°172</t>
  </si>
  <si>
    <t>Modificación endoscopia piso 2 Memo 24</t>
  </si>
  <si>
    <t>Nota de Cambio N°12</t>
  </si>
  <si>
    <t>Disminuciones y aumentos de partidas</t>
  </si>
  <si>
    <t>ORD. 1A/0082 SSC del 14-01-20</t>
  </si>
  <si>
    <t>ORD. C4/ 1267, 29 Abril 2020.</t>
  </si>
  <si>
    <t>Modificación pavimento sala de servidores</t>
  </si>
  <si>
    <t>Nariz de grada en los peldaños de las escaleras de todos los edificios</t>
  </si>
  <si>
    <t>Nota de Cambio N°171</t>
  </si>
  <si>
    <t>Shaft Ignifugo sala eléctrica y casetones</t>
  </si>
  <si>
    <t>Nota de Cambio N°170</t>
  </si>
  <si>
    <t>Modificacion Instalaciones eléctricas Lavandería, Aislados e Imagenología</t>
  </si>
  <si>
    <t>Nota de Cambio N°17.10</t>
  </si>
  <si>
    <t>Extintores</t>
  </si>
  <si>
    <t>Nota de Cambio N°17.08</t>
  </si>
  <si>
    <t xml:space="preserve">Válvulas de alarma </t>
  </si>
  <si>
    <t>Nota de Cambio N°17.07</t>
  </si>
  <si>
    <t>Válvulas de corte supervisadas</t>
  </si>
  <si>
    <t>Reparación de estanque de agua potable existentes</t>
  </si>
  <si>
    <t>Nota de Cambio N°17.06</t>
  </si>
  <si>
    <t>Suministro work station PCI</t>
  </si>
  <si>
    <t>Nota de Cambio N°17.05</t>
  </si>
  <si>
    <t>Gabinetes de incendio</t>
  </si>
  <si>
    <t>Nota de Cambio N°17.04</t>
  </si>
  <si>
    <t>Red seca</t>
  </si>
  <si>
    <t>1.21</t>
  </si>
  <si>
    <t>Muebles</t>
  </si>
  <si>
    <t>Nota de Cambio N°17.03</t>
  </si>
  <si>
    <t>Rociadores, detectores de humo y cañería hidráulica</t>
  </si>
  <si>
    <t>Nota de Cambio N°17.01</t>
  </si>
  <si>
    <t>Ajuste técnico PCI</t>
  </si>
  <si>
    <t>Nota de Cambio N°17</t>
  </si>
  <si>
    <t>Disminución de Central Telefónica y Anexos.</t>
  </si>
  <si>
    <t>Sistema contra incendio Fire detec y módulos de relé adicionales</t>
  </si>
  <si>
    <t>Nota de Cambio N°169</t>
  </si>
  <si>
    <t>refuerzo fibra de carbono pasadas 60x60 piso 3</t>
  </si>
  <si>
    <t xml:space="preserve">Modificación campanas acero inoxidable. </t>
  </si>
  <si>
    <t>27 Chiloé</t>
  </si>
  <si>
    <t>Normalización Hospital Ancud</t>
  </si>
  <si>
    <t>Modificación salas eléctricas salas eléctricas Edificios I3 - G2</t>
  </si>
  <si>
    <t>ORD. 2372</t>
  </si>
  <si>
    <t>ORD. 685</t>
  </si>
  <si>
    <t>MODIFICACIÓN BARANDAS EXTERIORES</t>
  </si>
  <si>
    <t>Nota de Cambio N°168</t>
  </si>
  <si>
    <t>Modificación arquitectura box de procedimientos piso 2 - edificio C</t>
  </si>
  <si>
    <t>Modificación pavimento exterior zócalo (costado acceso principal)</t>
  </si>
  <si>
    <t xml:space="preserve">Nota de Cambio N°166 </t>
  </si>
  <si>
    <t>sistema de extinción y detección de incendio imagenologia subterráneo 2</t>
  </si>
  <si>
    <t>MODIFICACIÓN TAPAS PARA PEAS Y CAMARA ENFRIADORA</t>
  </si>
  <si>
    <t>Nota de Cambio N°165</t>
  </si>
  <si>
    <t>Pavimento de porcelanato en terrazas</t>
  </si>
  <si>
    <t>Nota de Cambio N°164</t>
  </si>
  <si>
    <t>Incorporación de rociador en chiflonera.</t>
  </si>
  <si>
    <t xml:space="preserve">Nota de Cambio N°163 </t>
  </si>
  <si>
    <t>nueva escalera emergencia helipuerto</t>
  </si>
  <si>
    <t>Nota de Cambio N°162</t>
  </si>
  <si>
    <t>Modificación arquitectura hospitalización pediátrica piso 2</t>
  </si>
  <si>
    <t>Válvula de alarma en shaft.</t>
  </si>
  <si>
    <t>2.26</t>
  </si>
  <si>
    <t>Modificación tabiques salud mental</t>
  </si>
  <si>
    <t>Nota de Cambio N°161</t>
  </si>
  <si>
    <t>Instalaciones sanitarias caseta guardia</t>
  </si>
  <si>
    <t>Malla acmafor adicional</t>
  </si>
  <si>
    <t xml:space="preserve">Nota de Cambio N°160 </t>
  </si>
  <si>
    <t>Varios especialidad incendio</t>
  </si>
  <si>
    <t>Ord.N°2154  del 14.12.21</t>
  </si>
  <si>
    <t>ORD. 1557</t>
  </si>
  <si>
    <t>Nota de Cambio N°16</t>
  </si>
  <si>
    <t>“Armaduras de vigas de acuerdo RDI 20”.</t>
  </si>
  <si>
    <t>Nota de Cambio N°159</t>
  </si>
  <si>
    <t>Baranda de protección</t>
  </si>
  <si>
    <t>Nota de Cambio N°158</t>
  </si>
  <si>
    <t>Modificación ubicación bajada de aguas lluvias sector sur y oriente</t>
  </si>
  <si>
    <t>Sello hermético en acometida  tableros eléctricos</t>
  </si>
  <si>
    <t>Nota de Cambio N°157</t>
  </si>
  <si>
    <t>Evacuación aguas lluvias pasillo acceso servicios-Reas</t>
  </si>
  <si>
    <t>Nota de Cambio N°156</t>
  </si>
  <si>
    <t>Esquineros de protección</t>
  </si>
  <si>
    <t>Purificador de ascensores</t>
  </si>
  <si>
    <t>Nota de Cambio N° 13</t>
  </si>
  <si>
    <t>Provisión, instalación y puesta en marcha equipo generador 500KVA</t>
  </si>
  <si>
    <t>Nota de Cambio N°155</t>
  </si>
  <si>
    <t>Espejos murales</t>
  </si>
  <si>
    <t>Nota de Cambio N°154</t>
  </si>
  <si>
    <t>Modificación arquitectura cielo modular zócalo B, RDI N°706</t>
  </si>
  <si>
    <t>Nota de Cambio N°153</t>
  </si>
  <si>
    <t xml:space="preserve">Modificación toma de muestra </t>
  </si>
  <si>
    <t>Nota de Cambio N°152</t>
  </si>
  <si>
    <t xml:space="preserve">Modificación arquitectura unidad hospitalización adulta piso 1 </t>
  </si>
  <si>
    <t xml:space="preserve">Cableado UPS. </t>
  </si>
  <si>
    <t>Nota de Cambio N°150</t>
  </si>
  <si>
    <t>Modificación sector ropería</t>
  </si>
  <si>
    <t>Nota de Cambio N°149</t>
  </si>
  <si>
    <t xml:space="preserve">Modificación urgencias zócalo </t>
  </si>
  <si>
    <t>MODIFICACIÓN TABLERO CLIMATIZACIÓN T.D.F "CLZ"</t>
  </si>
  <si>
    <t>Nota de Cambio N°148</t>
  </si>
  <si>
    <t>Aislación chifloneras</t>
  </si>
  <si>
    <t>Nota de Cambio N°145</t>
  </si>
  <si>
    <t>Modificación pabellones - memo n°141</t>
  </si>
  <si>
    <t>Modificación puertas de madera</t>
  </si>
  <si>
    <t xml:space="preserve">Nota de Cambio N°144 </t>
  </si>
  <si>
    <t>modificación sala autopsia</t>
  </si>
  <si>
    <t xml:space="preserve">Nota de Cambio N°142 </t>
  </si>
  <si>
    <t>modificación  box dental piso 2 (NTB)</t>
  </si>
  <si>
    <t>Nota de Cambio N°142</t>
  </si>
  <si>
    <t>Artefactos antivandalicos cecosam</t>
  </si>
  <si>
    <t>Cambio especificación de puertas cortafuego RF-20 a RF-30 y RF-60 en puertas PC-1,PC-2 y PC-3</t>
  </si>
  <si>
    <t xml:space="preserve">Nota de Cambio N°141 </t>
  </si>
  <si>
    <t xml:space="preserve">Modificación vestidores sala estar SAMU - subterráneo </t>
  </si>
  <si>
    <t xml:space="preserve">Nota de Cambio N°140 </t>
  </si>
  <si>
    <t>modificación arquitectura casino piso 3 (NTB)</t>
  </si>
  <si>
    <t>Nota de Cambio N°14 rev 2</t>
  </si>
  <si>
    <t xml:space="preserve">Cambio  plano de Pavimentación </t>
  </si>
  <si>
    <t>Nota de Cambio N°14</t>
  </si>
  <si>
    <t>“Traslado  Cámaras A.P en USO”.</t>
  </si>
  <si>
    <t xml:space="preserve">Nota de Cambio N°138 </t>
  </si>
  <si>
    <t>valvulas reductoras de presión agua potable</t>
  </si>
  <si>
    <t xml:space="preserve">Nota de Cambio N°137 </t>
  </si>
  <si>
    <t>adecuación sala electrica pabellones</t>
  </si>
  <si>
    <t xml:space="preserve">Nota de Cambio N°136 </t>
  </si>
  <si>
    <t>Modificación tablero cocina</t>
  </si>
  <si>
    <t xml:space="preserve">Nota de Cambio N°135 </t>
  </si>
  <si>
    <t>Modificación circuito hidráulico primario de climatización</t>
  </si>
  <si>
    <t>Nota de Cambio N°134</t>
  </si>
  <si>
    <t>Modificación esterilización subterráneo 1 - arquitectura (NTB)</t>
  </si>
  <si>
    <t>Nota de Cambio N°133</t>
  </si>
  <si>
    <t>Modificación paisajismo en cubierta</t>
  </si>
  <si>
    <t>Incorporación tapa canal perimetral</t>
  </si>
  <si>
    <t>Nota de Cambio N°132</t>
  </si>
  <si>
    <t>Modificación ropería subterráneo 1 - arquitectura (NTB)</t>
  </si>
  <si>
    <t>Incorporación de enfierradura en zócalos de hormigón</t>
  </si>
  <si>
    <t xml:space="preserve">Nota de Cambio N°131 </t>
  </si>
  <si>
    <t>modificación arquitectura abastecimiento subterráneo 1 (NTB)</t>
  </si>
  <si>
    <t>Nota de Cambio N°130</t>
  </si>
  <si>
    <t>Nuevas puertas cortafuego salas eléctricas</t>
  </si>
  <si>
    <t>Nota de Cambio N°13</t>
  </si>
  <si>
    <t>Falta detalle armadura de pilar eje 5 / E</t>
  </si>
  <si>
    <t>Corrientes débiles</t>
  </si>
  <si>
    <t xml:space="preserve">Nota de Cambio N°129 </t>
  </si>
  <si>
    <t>Incorporación de refrigeración en sala de preparación y bodegas-áreas de alimento</t>
  </si>
  <si>
    <t>2.28</t>
  </si>
  <si>
    <t>Modificación de tabiques de fachada</t>
  </si>
  <si>
    <t>2.27</t>
  </si>
  <si>
    <t>Modificación tabiques cortafuego</t>
  </si>
  <si>
    <t>Nota de Cambio N°127</t>
  </si>
  <si>
    <t>Cambio de lavachatas por macerdoras (arquitectura)</t>
  </si>
  <si>
    <t>Incremento revestimiento piedra volcánica</t>
  </si>
  <si>
    <t>Cambio bandeja ranurada portaconductores a canastillo portaconductores</t>
  </si>
  <si>
    <t xml:space="preserve">Nota de Cambio N°126 </t>
  </si>
  <si>
    <t>Nueva sala tableros de pabellones (arquitectura)</t>
  </si>
  <si>
    <t>2.07</t>
  </si>
  <si>
    <t>Cambio de hormigón edificio A</t>
  </si>
  <si>
    <t>3.01</t>
  </si>
  <si>
    <t>Cambio de materialidad de cubierta con nucleo aislante PIR/PUR</t>
  </si>
  <si>
    <t>Cambio de porcelanato  a baldosas exteriores</t>
  </si>
  <si>
    <t>Nota de Cambio N°125</t>
  </si>
  <si>
    <t>Nuevo Sistema de Incendios Helipuerto</t>
  </si>
  <si>
    <t xml:space="preserve">Nota de Cambio N°124 </t>
  </si>
  <si>
    <t>Tapas de Registro para Columnas Gases Clínicos</t>
  </si>
  <si>
    <t>Nota de Cambio N°122</t>
  </si>
  <si>
    <t>Incorporaciones nuevas CPI</t>
  </si>
  <si>
    <t>Modificaciones señalética colgante interior</t>
  </si>
  <si>
    <t>Nota de Cambio N°121</t>
  </si>
  <si>
    <t>Modificación data center arquitectura</t>
  </si>
  <si>
    <t>Modificación soporte metálico para  letras de fachada</t>
  </si>
  <si>
    <t>Nota de Cambio N°120</t>
  </si>
  <si>
    <t>Nueva Canal para Evacuación de Aguas Lluvias en Cubierta</t>
  </si>
  <si>
    <t>Tabique bajo escalera  en nivel zócalo</t>
  </si>
  <si>
    <t>Labores de rescate arqueológico</t>
  </si>
  <si>
    <t>Nota de Cambio N°12 A</t>
  </si>
  <si>
    <t>Aumento generadores</t>
  </si>
  <si>
    <t>“Limpieza Fosa Existente”</t>
  </si>
  <si>
    <t xml:space="preserve">Calculo estructural eje viga de fundación </t>
  </si>
  <si>
    <t>Nota de Cambio N°119</t>
  </si>
  <si>
    <t>Modificación Tablero REAS</t>
  </si>
  <si>
    <t>Talud paisajismo en rampa 2</t>
  </si>
  <si>
    <t>Nota de Cambio N°118</t>
  </si>
  <si>
    <t>Desarme y reposición de cielo en sector cocina caliente</t>
  </si>
  <si>
    <t>ESQUEMA RAMPA EH5-E, PISO MECANICO</t>
  </si>
  <si>
    <t>Nota de Cambio N°117</t>
  </si>
  <si>
    <t>Demolición cámara sector estanques de petróleo soterrados</t>
  </si>
  <si>
    <t>Nota de Cambio N°116</t>
  </si>
  <si>
    <t>Modificación placa de anclaje escaleras 2 y 3</t>
  </si>
  <si>
    <t>Nota de Cambio N°115</t>
  </si>
  <si>
    <t>Modificación Cubrejunta y nuevo Tabique en Bodega CS2015</t>
  </si>
  <si>
    <t>Nota de Cambio N°114</t>
  </si>
  <si>
    <t>Nuevo Portón Acceso Vehicular Lucia Subercaseaux</t>
  </si>
  <si>
    <t>Refuerzo en cerco perimetral</t>
  </si>
  <si>
    <t>Eliminación 4 pilares no estructurales en entrada de edificio</t>
  </si>
  <si>
    <t>Nota de Cambio N°113</t>
  </si>
  <si>
    <t>Viga reticulada en sala grupos generadores</t>
  </si>
  <si>
    <t>Nota de Cambio N°112</t>
  </si>
  <si>
    <t>Cambio de Juntas de Dilatación tipo CPRP AS por tipo CPRP M</t>
  </si>
  <si>
    <t>Nota de Cambio N°111</t>
  </si>
  <si>
    <t>Modificación de Cierres Exteriores</t>
  </si>
  <si>
    <t>Incorporación de registros en cielos, sector cecosam</t>
  </si>
  <si>
    <t>Nota de Cambio N°110B</t>
  </si>
  <si>
    <t>incorporación intercambiador de placa</t>
  </si>
  <si>
    <t xml:space="preserve">Nota de Cambio N°110A </t>
  </si>
  <si>
    <t>Incorporación intercambiador de placa</t>
  </si>
  <si>
    <t>Nota de Cambio N°110</t>
  </si>
  <si>
    <t>Revestimiento metálico en estanques</t>
  </si>
  <si>
    <t>Nota de Cambio N°11</t>
  </si>
  <si>
    <t>“Perforación para anclajes hacia SML eje A’.</t>
  </si>
  <si>
    <t>Estructura ascensor RDI 72</t>
  </si>
  <si>
    <t>Nota de Cambio N°109</t>
  </si>
  <si>
    <t>Modificaciones de anclajes de Pilas, que interfieren con Estanque de Agua Potable</t>
  </si>
  <si>
    <t>Sello en radier  cámaras eléctricas</t>
  </si>
  <si>
    <t>Nota de Cambio N°108</t>
  </si>
  <si>
    <t>Nuevas cubrejuntas y tabiques de subterráneo 3</t>
  </si>
  <si>
    <t>Nota de Cambio N°107</t>
  </si>
  <si>
    <t>Incorporacion porcelanato tras lavamanos quirúrgicos</t>
  </si>
  <si>
    <t xml:space="preserve">Nota de Cambio N°106 </t>
  </si>
  <si>
    <t>Modificaciones patio técnico y sala reas</t>
  </si>
  <si>
    <t>Nota de Cambio N°105</t>
  </si>
  <si>
    <t>Cambio Banco de Condensadores</t>
  </si>
  <si>
    <t>Losa de fundación y radier en sector estanques de gas</t>
  </si>
  <si>
    <t>Nota de Cambio N°104 rev2</t>
  </si>
  <si>
    <t>incorporación de 6 bombas en climatización</t>
  </si>
  <si>
    <t>Cierro tapa losa cielo 3 er piso y caja escala edificio C</t>
  </si>
  <si>
    <t>Nota de Cambio N°103</t>
  </si>
  <si>
    <t>Incorporación Sistema KNX Iluminación</t>
  </si>
  <si>
    <t>Tabique corta fuego sector Imagenología</t>
  </si>
  <si>
    <t>Nota de Cambio N°102</t>
  </si>
  <si>
    <t>Incorporación de bolardos</t>
  </si>
  <si>
    <t>Nota de Cambio N°101</t>
  </si>
  <si>
    <t>Incorporación de baranda vidriada en rampa 2</t>
  </si>
  <si>
    <t>Nota de Cambio N°100</t>
  </si>
  <si>
    <t>disminución de obra N°9 de provisión e instalación lana de vidrio e=60 mm en rollo en cielos tipo C3 y C4</t>
  </si>
  <si>
    <t>Incorporación de celosía en puertas</t>
  </si>
  <si>
    <t>Nota de Cambio N°10</t>
  </si>
  <si>
    <t>“Construcción de 2 pilas nuevas en eje N/1´y N´/3.</t>
  </si>
  <si>
    <t>Definición elevaciones sin ficha</t>
  </si>
  <si>
    <t>Nota de Cambio N°1</t>
  </si>
  <si>
    <t>Traslado dependencias labotarorio anatomia patológica</t>
  </si>
  <si>
    <t>ORD. C4/ 1237, 21-03-19</t>
  </si>
  <si>
    <t>SOLUCIÓN ENCUENTRO TABIQUE T1 A MURO CORTINA EDIFICIO F</t>
  </si>
  <si>
    <t>Deterioros y daños ppr humedad previo a entrega de terreno</t>
  </si>
  <si>
    <t>Elevación  del eje L, rdi 47</t>
  </si>
  <si>
    <t>Nota de Cambio N°09</t>
  </si>
  <si>
    <t>“Moldaje y relleno pilas sobre cota terreno natural eje N”.</t>
  </si>
  <si>
    <t>Nota de Cambio N°08</t>
  </si>
  <si>
    <t>“Demolición Fundaciones de hormigón existente eje 16”.</t>
  </si>
  <si>
    <t>Nota de Cambio N°06</t>
  </si>
  <si>
    <t>Camara elevadora de Aguas Servidas</t>
  </si>
  <si>
    <t>ORD. N° 598 ,  23-03-2018.</t>
  </si>
  <si>
    <t>ORD. C4/321,  23-01-2019.</t>
  </si>
  <si>
    <t>Nota de Cambio N°05</t>
  </si>
  <si>
    <t>Demolición fundaciones de hormigón</t>
  </si>
  <si>
    <t>Impermeabilización</t>
  </si>
  <si>
    <t>Nota de Cambio N°04</t>
  </si>
  <si>
    <t>Movimiento de cotenedor y motacarga</t>
  </si>
  <si>
    <t>Nota de Cambio N°03</t>
  </si>
  <si>
    <t>Rampa acceso archivos</t>
  </si>
  <si>
    <t>Nota de Cambio N°02</t>
  </si>
  <si>
    <t>Desplazamiento matriz de agua potable Hospital</t>
  </si>
  <si>
    <t>Nota de Cambio N°01</t>
  </si>
  <si>
    <t>Letreros de Obra</t>
  </si>
  <si>
    <t>Nota de Cambio N° 29</t>
  </si>
  <si>
    <t>Modificaión mecánica de suelos</t>
  </si>
  <si>
    <t>ORD. 517 SSÑ del 20.05.22</t>
  </si>
  <si>
    <t>ORD. 2049</t>
  </si>
  <si>
    <t xml:space="preserve">MODIFICATORIO Nº 6 </t>
  </si>
  <si>
    <t xml:space="preserve">SERVIU. </t>
  </si>
  <si>
    <t>ACTUALIZACIÓN DE LAS OFERTAS</t>
  </si>
  <si>
    <t xml:space="preserve">PRESUPUESTOS PRESENTADOS </t>
  </si>
  <si>
    <t>9A</t>
  </si>
  <si>
    <t>Clima (electromecánico)</t>
  </si>
  <si>
    <t>Ord N°192 22.01.2019</t>
  </si>
  <si>
    <t>Ord C4/N° 786 del 19-02-2019</t>
  </si>
  <si>
    <t>90-D</t>
  </si>
  <si>
    <t>Aumento de capacidad generador, transformador, banco de condensadores. (Disminución Grupo Electrógeno 650 KVA)</t>
  </si>
  <si>
    <t>ORD. 2093 del 02.12.21</t>
  </si>
  <si>
    <t>ORD.2428</t>
  </si>
  <si>
    <t>90-B</t>
  </si>
  <si>
    <t>Aumento de capacidad generador, transformador, banco de condensadores.</t>
  </si>
  <si>
    <t>7.9.1</t>
  </si>
  <si>
    <t>Modificación de la capacidad estánques de petróleo</t>
  </si>
  <si>
    <t>Ord C4/3293 del 14-09-2022</t>
  </si>
  <si>
    <t>7.8.4</t>
  </si>
  <si>
    <t>Cambio de diametro trazado de gases clínicos, shaft A7 piso 3.</t>
  </si>
  <si>
    <t>7.8.1</t>
  </si>
  <si>
    <t>Incorporación de nueva alarma maestra según NCh. 2196:2014 para gases clínicos</t>
  </si>
  <si>
    <t>7.6.7</t>
  </si>
  <si>
    <t>Cambio de detectores de aspiración por fotoeléctricos en pabellones.</t>
  </si>
  <si>
    <t>7.6.2</t>
  </si>
  <si>
    <t>Cambios detectores de presencia en zonas húmedas</t>
  </si>
  <si>
    <t>Baños provisorios</t>
  </si>
  <si>
    <t>Sala de espera provisoria en entrada de emergencias</t>
  </si>
  <si>
    <t>MODIFICACIÓN TABLERO CLIMATIZACIÓN CL-TDF-EI-PM-001</t>
  </si>
  <si>
    <t>MODIFICACIÓN TABLERO CLIMATIZACIÓN CL-TDF-EI-P3-001</t>
  </si>
  <si>
    <t>MODIFICACIÓN TABLERO CLIMATIZACIÓN CL-TDF-EI-P1-001</t>
  </si>
  <si>
    <t>7.6.1</t>
  </si>
  <si>
    <t>Cambios detectores de llama por temperatura</t>
  </si>
  <si>
    <t>7.3.5</t>
  </si>
  <si>
    <t>Control de iluminación subterráneo edificio A</t>
  </si>
  <si>
    <t>7.3.3</t>
  </si>
  <si>
    <t>Modificaciones en Ductobarra de la Sala Eléctrica y Grupos Generadores.</t>
  </si>
  <si>
    <t>ORD. 0192</t>
  </si>
  <si>
    <t>Ord C4/842 del 15-03-2023</t>
  </si>
  <si>
    <t>7.3.2</t>
  </si>
  <si>
    <t>Cambio de potencia en los grupos electrógenos</t>
  </si>
  <si>
    <t>7.3.11</t>
  </si>
  <si>
    <t>Nuevos requerimientos electricos en baño de acuerdo a RDI 510</t>
  </si>
  <si>
    <t>7.3.10</t>
  </si>
  <si>
    <t>Arranques iluminación exterior faltante</t>
  </si>
  <si>
    <t>7.2.9</t>
  </si>
  <si>
    <t>Optimización de Manejadoras con Criterios de Vigas Frías Solicitado por Mandante.</t>
  </si>
  <si>
    <t>7.2.13</t>
  </si>
  <si>
    <t>Aumento de Tamaño de Rejillas para Troneras.</t>
  </si>
  <si>
    <t>7.11.4</t>
  </si>
  <si>
    <t>Modificación botoneras de ascensores A-2, B-4, B-5, B-6 para incorporar restricción de llamada S/RDI 926.</t>
  </si>
  <si>
    <t>INSTALACIONES/ASCENSORES</t>
  </si>
  <si>
    <t>7.11.1</t>
  </si>
  <si>
    <t>Modificación cabinas de ascensores para adaptarlas a DS.50</t>
  </si>
  <si>
    <t>7.1.9</t>
  </si>
  <si>
    <t>Sistema de Desagues para el Edificio J en Pisos Mecánicos.</t>
  </si>
  <si>
    <t>7.1.17</t>
  </si>
  <si>
    <t>Disminución Pistola de agua.</t>
  </si>
  <si>
    <t>7.1.15</t>
  </si>
  <si>
    <t>Modificaciones al proyecto de medidor de agua potable pasando de 50 mm a 80 mm.</t>
  </si>
  <si>
    <t>57c</t>
  </si>
  <si>
    <t>MD52, Hospitalización modulo K primer piso</t>
  </si>
  <si>
    <t>nº 2380 15/11/2016</t>
  </si>
  <si>
    <t>C4 n° 404  del 01.02.17</t>
  </si>
  <si>
    <t>57b</t>
  </si>
  <si>
    <t>MD52, Modulo I primer piso hospitalización</t>
  </si>
  <si>
    <t>57a</t>
  </si>
  <si>
    <t>MD52, modulo H primer piso</t>
  </si>
  <si>
    <t>30C</t>
  </si>
  <si>
    <t xml:space="preserve">Modificaciones eléctricas por proyecto de climatización </t>
  </si>
  <si>
    <t>ORD. 769 del 02.05.22</t>
  </si>
  <si>
    <t>ORD.1916</t>
  </si>
  <si>
    <t>Normalizacion Hospital Comunitario y Familiar Dr. Eduardo Gonzalez G, Cunco.</t>
  </si>
  <si>
    <t>3.4</t>
  </si>
  <si>
    <t>Red Seca</t>
  </si>
  <si>
    <t>3.2</t>
  </si>
  <si>
    <t>Correo Neumatico</t>
  </si>
  <si>
    <t>2A</t>
  </si>
  <si>
    <t>Tirantes ciprés y muro</t>
  </si>
  <si>
    <t>22/84</t>
  </si>
  <si>
    <t>Cambio de tabiques en sala de procedimiento peritoneo diálisis Edificio A1 y en box de reanimación procedimiento Edificio L3</t>
  </si>
  <si>
    <t>ORD. 1638</t>
  </si>
  <si>
    <t>ORD. 1310</t>
  </si>
  <si>
    <t>21/83</t>
  </si>
  <si>
    <t>Cambio de tabique TV-1 a TA-1 y TC-1 en sala de espera UNACESSEN  D.1.2.7 Edificio J Nivel 2</t>
  </si>
  <si>
    <t>20</t>
  </si>
  <si>
    <t>Sala grupo electrógeno y TDF</t>
  </si>
  <si>
    <t>19</t>
  </si>
  <si>
    <t>Instalaciones sanitarias en recinto de habilitación</t>
  </si>
  <si>
    <t>18</t>
  </si>
  <si>
    <t>Sala de gases clínicos</t>
  </si>
  <si>
    <t>17</t>
  </si>
  <si>
    <t>Senda peatonal y salida de ambulancia</t>
  </si>
  <si>
    <t>1.8</t>
  </si>
  <si>
    <t>Plantas Libres Some y Administración</t>
  </si>
  <si>
    <t>1.6</t>
  </si>
  <si>
    <t>Box Dental</t>
  </si>
  <si>
    <t>1.5</t>
  </si>
  <si>
    <t>Laboratorio</t>
  </si>
  <si>
    <t>1.4</t>
  </si>
  <si>
    <t>Sala de Vida Diaria y Ejercicios</t>
  </si>
  <si>
    <t>PINTURA DUCTOS DE VENTILACIÓN PISO MECANICO EDIFICIO EI Y EH5</t>
  </si>
  <si>
    <t>1.36</t>
  </si>
  <si>
    <t>Quincho</t>
  </si>
  <si>
    <t>1.35</t>
  </si>
  <si>
    <t>Sala de Osmosis</t>
  </si>
  <si>
    <t>1.34</t>
  </si>
  <si>
    <t>Sala de Vigilancia</t>
  </si>
  <si>
    <t>1.33</t>
  </si>
  <si>
    <t>Climatización</t>
  </si>
  <si>
    <t>1.32</t>
  </si>
  <si>
    <t>Puertas Policlinicos</t>
  </si>
  <si>
    <t>1.31</t>
  </si>
  <si>
    <t>Sala Ecumenica</t>
  </si>
  <si>
    <t>1.30</t>
  </si>
  <si>
    <t>Sala de Residuos Solidos</t>
  </si>
  <si>
    <t>1.3</t>
  </si>
  <si>
    <t>Remarcadores</t>
  </si>
  <si>
    <t>1.29</t>
  </si>
  <si>
    <t>Bodegas de Insumos Generales</t>
  </si>
  <si>
    <t>1.28</t>
  </si>
  <si>
    <t>Baño personal Móidulo C</t>
  </si>
  <si>
    <t>1.27</t>
  </si>
  <si>
    <t>Casino</t>
  </si>
  <si>
    <t>1.25</t>
  </si>
  <si>
    <t>Sala IRA y ERA</t>
  </si>
  <si>
    <t>1.23.5</t>
  </si>
  <si>
    <t>Control Centralizado (Incluye solo CCTV y OOCC sala)</t>
  </si>
  <si>
    <t>1.22</t>
  </si>
  <si>
    <t>Pabellón</t>
  </si>
  <si>
    <t>1.20</t>
  </si>
  <si>
    <t>Policlinico</t>
  </si>
  <si>
    <t>1.19</t>
  </si>
  <si>
    <t>Conexión Interior Sala de Lavado de Cadaveres</t>
  </si>
  <si>
    <t>1.18</t>
  </si>
  <si>
    <t>Box Ecografía</t>
  </si>
  <si>
    <t>1.16</t>
  </si>
  <si>
    <t>Esterilización</t>
  </si>
  <si>
    <t>1.15</t>
  </si>
  <si>
    <t>Gases Clínicos</t>
  </si>
  <si>
    <t>1.11</t>
  </si>
  <si>
    <t>Bodega PNAC</t>
  </si>
  <si>
    <t>1.10</t>
  </si>
  <si>
    <t>Sala Toma de Muestras</t>
  </si>
  <si>
    <t>1.1</t>
  </si>
  <si>
    <t>Sala de Atención a Víctimas</t>
  </si>
  <si>
    <t>Disminución placa de madera aglomerada con revestimiento de chapa de mañío</t>
  </si>
  <si>
    <t>ORD. 1177</t>
  </si>
  <si>
    <t>Ord C4/4418 del 13-12-2022</t>
  </si>
  <si>
    <t>Llenado automático centrales térmicas.</t>
  </si>
  <si>
    <t>ORD. 324</t>
  </si>
  <si>
    <t>Ord C4/1822 del 31-05-2023</t>
  </si>
  <si>
    <t>Retiro estanques de combustibles</t>
  </si>
  <si>
    <t>OBRAS PREVIAS</t>
  </si>
  <si>
    <t>ORD. 1901</t>
  </si>
  <si>
    <t>Ord C4/567 del 16-02-2023</t>
  </si>
  <si>
    <t>Incorporación señales estanque de petróleo a control centralizado</t>
  </si>
  <si>
    <t>ORD. 1220</t>
  </si>
  <si>
    <t>Ord C4/105 del 18-01-2023</t>
  </si>
  <si>
    <t>Incorporación señales sentina 5 a control centralizado</t>
  </si>
  <si>
    <t>Incorporación señales sentina 4 a control centralizado</t>
  </si>
  <si>
    <t>VENTANA EN MUEBLES DE OIRS 1ER PISO EH5</t>
  </si>
  <si>
    <t>Reemplazo sensores de nivel estanque de agua potable</t>
  </si>
  <si>
    <t>Incorporación señales 3 sentina a control centralizado</t>
  </si>
  <si>
    <t>Incorporación señales CL-UMA-EH5-005 a control centralizado</t>
  </si>
  <si>
    <t>Incorporación señales PEAS 3 a control centralizado</t>
  </si>
  <si>
    <t>Incorporación señales PEAS 4 a control centralizado</t>
  </si>
  <si>
    <t>Puerta abatir closet para tablero eléctrico, lavandería transitoria</t>
  </si>
  <si>
    <t>ORD. 1109</t>
  </si>
  <si>
    <t>Ord C4/4417 del 13-12-2022</t>
  </si>
  <si>
    <t>Modificación Agua potable fría y agua potable caliente lavandería transitoria</t>
  </si>
  <si>
    <t>Conexiones eléctricas de equipos de clima en recintos con UPS Edificio B</t>
  </si>
  <si>
    <t>Iluminación sector tanques criogénicos</t>
  </si>
  <si>
    <t xml:space="preserve">Canalización control centralizado edificio institucional transición </t>
  </si>
  <si>
    <t>Tablero TDF y A sala de bombas</t>
  </si>
  <si>
    <t>Actualización corriente débiles primer y segundo piso edificio ET.</t>
  </si>
  <si>
    <t>Iluminación piso mecánico edificio C</t>
  </si>
  <si>
    <t>Enchufes puertas automáticas primer edificio EH5</t>
  </si>
  <si>
    <t>Enchufes puertas automáticas primer piso Edificio Institucional</t>
  </si>
  <si>
    <t>Túnel instalaciones estanque criogénico</t>
  </si>
  <si>
    <t>Iluminación piso mecánico edificio E</t>
  </si>
  <si>
    <t>Desconexión motorizada CT</t>
  </si>
  <si>
    <t>Actualización detección y audio evacuación zócalo, 2°,3°,4°, 5° y 6° piso EH5</t>
  </si>
  <si>
    <t>Incorporación sistema de voceo sala de espera AF-Z-41</t>
  </si>
  <si>
    <t>Refuerzo metálico para vano de instalaciones de clima eje 17 C, edificio EH5, cuerpo E, piso mecánico</t>
  </si>
  <si>
    <t>Alimentación eléctrica para Gimnasio</t>
  </si>
  <si>
    <t>Enchufes adicionales piso mecánico edificio C, Ficha 787-1</t>
  </si>
  <si>
    <t>Disminución tarjeteros control de acceso vehicular</t>
  </si>
  <si>
    <t>Modificación rociadores pilotos piso aisladores edificio EI</t>
  </si>
  <si>
    <t>Disminución de letrero de obra y profesionales</t>
  </si>
  <si>
    <t>OBRAS EXTERIORES</t>
  </si>
  <si>
    <t>Arranque RX dental</t>
  </si>
  <si>
    <t>ORD.979</t>
  </si>
  <si>
    <t>ORD.1665</t>
  </si>
  <si>
    <t>Junta sísmica sanitaria sala de espera edificio C primer nivel</t>
  </si>
  <si>
    <t>Ejecución de vigón falso para soportación de cubrejunta exterior entre puente centro y edificio existente CAAAC</t>
  </si>
  <si>
    <t>Tablero TDF y a lavandería</t>
  </si>
  <si>
    <t>Losas lavandería</t>
  </si>
  <si>
    <t>Refuerzos cierros perimetrales primera etapa constructiva</t>
  </si>
  <si>
    <t>MODIFICACIÓN ELECTRICA NUEVOS ALIMENTADORES TABLERO ESTANQUES CRIOGENICOS</t>
  </si>
  <si>
    <t>Canalizaciones eléctricas totalizadores en estanque criogénico.</t>
  </si>
  <si>
    <t>Tapado de vano con muros de hormigón Nororiente</t>
  </si>
  <si>
    <t>Circuitos adicionales para control centralizado</t>
  </si>
  <si>
    <t>Tablero salud mental.</t>
  </si>
  <si>
    <t>MODIFICACION PUERTA SALA GENERADORES EDIFICIO TECNICO</t>
  </si>
  <si>
    <t>Arcos de refuerzo en bodega de adecuaciones funcionales</t>
  </si>
  <si>
    <t>Canalizaciones Adicionales para futura control de acceso NP</t>
  </si>
  <si>
    <t>Disminución de riego según comunicación m°2841</t>
  </si>
  <si>
    <t>Subalimentador Autoclave</t>
  </si>
  <si>
    <t>Incorporación de segunda valvula de aire en sector dental</t>
  </si>
  <si>
    <t>ORD. 1107</t>
  </si>
  <si>
    <t>Ord C4/4035 del 07-11-2022</t>
  </si>
  <si>
    <t>Ventilación y rebalses estanque de incendio</t>
  </si>
  <si>
    <t>Actualización de aguas lluvias de muro contención sector estacionamiento comodato, anulación NC 50</t>
  </si>
  <si>
    <t>Incorporación franja para estacionamiento accesibilidad universal</t>
  </si>
  <si>
    <t>Desmontaje y modificación con material existente y corte de red incendio</t>
  </si>
  <si>
    <t>Nuevos tableros TAD IEX alumbrado exterior</t>
  </si>
  <si>
    <t>Disminución de caseta de planta de agua tratada dialisis transitoria</t>
  </si>
  <si>
    <t>Sello canterias tabiques premo adicionales a nota de cambio 524</t>
  </si>
  <si>
    <t>Encuentro pasillo comunicación tramo 3 con edificio existente</t>
  </si>
  <si>
    <t xml:space="preserve">Solución junta de dilatación edificio C </t>
  </si>
  <si>
    <t>Solución aguas lluvias, juntas de dilatación edificio EH5, nivel 1</t>
  </si>
  <si>
    <t>Solución aguas lluvias, juntas de dilatación EH5, piso zocalo</t>
  </si>
  <si>
    <t>Propuesta de muro berlines calle los Sauces</t>
  </si>
  <si>
    <t>Modificación descargas Vex aislados y Umas edificios C</t>
  </si>
  <si>
    <t>Impermeabilización baños con rejilla, edificio EI y EH5</t>
  </si>
  <si>
    <t>Modificación traslado de puntos de TV y enchufes en sala hospitalizados 3°, 4° y 5° piso EH5</t>
  </si>
  <si>
    <t>ORD. 771</t>
  </si>
  <si>
    <t>Ord C4/3723 del 13-10-2022</t>
  </si>
  <si>
    <t>Asta de bandera</t>
  </si>
  <si>
    <t>Nuevos alimentadores y BPC centrales térmicas 1,2 y 3</t>
  </si>
  <si>
    <t>Corte de losa cielo 2º piso frente a puente norte.</t>
  </si>
  <si>
    <t>Modificación de fundaciones de cerco perimetral norte</t>
  </si>
  <si>
    <t>Estructura metálica para soportación de losa colaborante, conexión pasillo B-G</t>
  </si>
  <si>
    <t>Nuevos puntos control iluminación e incorporación elementos</t>
  </si>
  <si>
    <t>Recercado varios</t>
  </si>
  <si>
    <t>Canalizaciones Adicionales para futura Citofonía Edificio NP</t>
  </si>
  <si>
    <t>Estructura encuentro EI-Puente EI-CAAAC</t>
  </si>
  <si>
    <t>ORD. 1341</t>
  </si>
  <si>
    <t xml:space="preserve"> ORD. 2282</t>
  </si>
  <si>
    <t>Corte tabique nivel aisladores Edificio C</t>
  </si>
  <si>
    <t>Detector de humo ducto vin aislados</t>
  </si>
  <si>
    <t>Climatización recursos físicos</t>
  </si>
  <si>
    <t>Corrección Obras Extraordinarias "Desarmes muros Cortina edificio existente - Unión puente centro piso 2 y 3".-</t>
  </si>
  <si>
    <t>Desarmes muros cortinas Edificio existente- unión puente centro piso 2 y 3</t>
  </si>
  <si>
    <t>Modificación PEAS 02 y 03</t>
  </si>
  <si>
    <t>Proyecto CD neurología piso zócalo, Edif. EH5</t>
  </si>
  <si>
    <t>Cubo dren en zanja de infiltración</t>
  </si>
  <si>
    <t>Shaft eléctrico 1°piso Edificio EH5</t>
  </si>
  <si>
    <t>Construcción Sala Cuna Hospital Futaleufú</t>
  </si>
  <si>
    <t>Mobiliario cocina general</t>
  </si>
  <si>
    <t>ORD. 2946</t>
  </si>
  <si>
    <t>ORD. 4037</t>
  </si>
  <si>
    <t>Modificación tabique perimetral piso mecánico EI</t>
  </si>
  <si>
    <t>Estructura auxiliar soporte quiebra vista aeroscreen</t>
  </si>
  <si>
    <t>Modificación tablero climatización TDF CT</t>
  </si>
  <si>
    <t>ORD. 661</t>
  </si>
  <si>
    <t>ORD. 2037</t>
  </si>
  <si>
    <t xml:space="preserve">Definición de anclaje de muro cortina de escalera 01 en edificio institucional, primer piso </t>
  </si>
  <si>
    <t>Incorporación de tapa de rejilla metáica en cámara de rebalse de patio de trabajos de edificiio G, piso zócalo</t>
  </si>
  <si>
    <t>Incorporación de arriostramiento en sala de espera cuerpo C</t>
  </si>
  <si>
    <t>Complemento  de pasillo, parrilla de piso, estanque de agua potable existente</t>
  </si>
  <si>
    <t>Sello canterías tabiques premo Edificio C</t>
  </si>
  <si>
    <t>Actualización de cielo escalera n°2, Edificio C</t>
  </si>
  <si>
    <t>Vanos de acceso continuidad pasillo 5° estanque de agua potable</t>
  </si>
  <si>
    <t>SEÑALÉTICA COLGANTE EDIFICIO B</t>
  </si>
  <si>
    <t>Pasadas salas de corrientes débiles edificios E y F</t>
  </si>
  <si>
    <t>Canaleta recolectora de agua piso mecánico Edificio Técnico</t>
  </si>
  <si>
    <t>Proyecto eléctrico iluminación hall acceso edificio E</t>
  </si>
  <si>
    <t xml:space="preserve">Proyecto eléctrico iluminación y enchufes nuevas oficinas RRFF Edificio CAAAC </t>
  </si>
  <si>
    <t>Reemplazo de muro de  contención MC 04 por cerco perimetral prefabricado</t>
  </si>
  <si>
    <t>Modificación tableros climatización Edificio EH5 zócalo 1° y 2! Piso</t>
  </si>
  <si>
    <t>Muro cortina y cenefa de cierre entre vigas centrales puente EI-CAAAC</t>
  </si>
  <si>
    <t>Cambio de cristal exterior muro cortina patio central edificio C</t>
  </si>
  <si>
    <t>Disminución obras asociadas a pasillo gimnasio -  Lamina N°32</t>
  </si>
  <si>
    <t>Tarjetas de comunicación bombas sanitarias</t>
  </si>
  <si>
    <t>Disminución reja juegos infantiles zócalo - Lámina N° 26</t>
  </si>
  <si>
    <t>Complemento vigas para amortiguadores chillers, edificio técnico</t>
  </si>
  <si>
    <t>Instalación de válvulas en juntas de dilatación climatización</t>
  </si>
  <si>
    <t>ORD. 351; 1209; 1635</t>
  </si>
  <si>
    <t>Ord C4/4021 del 16-12-2021</t>
  </si>
  <si>
    <t>19-03-2021; 20-09-2021; 24-11-2021</t>
  </si>
  <si>
    <t>Layout nueva distribución centrales térmicas cubierta G</t>
  </si>
  <si>
    <t>Red de incendio institucional</t>
  </si>
  <si>
    <t>Climatización sala control centralizado y sal UPS edificio institucional</t>
  </si>
  <si>
    <t>Escotilla de acceso a piso mecánico bajo esc.1 EI, ficha 750-1</t>
  </si>
  <si>
    <t>Consolas Metalica para alargue de losas</t>
  </si>
  <si>
    <t>Estructura de cubierta ejes H-H´/30-38 patio cielo piso 1, Cuerpo G</t>
  </si>
  <si>
    <t>Hojalateria bajo recercado de alero edificio institucional</t>
  </si>
  <si>
    <t>Actualización elevación eje I cuerpo G, FICHA 175-3</t>
  </si>
  <si>
    <t>Tabiques para instalaciones eléctricas y gases clínicos sala EIAF-2-36, FICHA 662-0</t>
  </si>
  <si>
    <t>Forro perimetral piso mecánico, Edificio C - Edificio B</t>
  </si>
  <si>
    <t>Topes de puerta para closet edificio EH5, alternativa 2</t>
  </si>
  <si>
    <t>Rampa de comunicación Edificio E-EH5, piso mecánico, ficha 729-1</t>
  </si>
  <si>
    <t>Construcción Sala Cuna Nuevo Hospital Futaleufú</t>
  </si>
  <si>
    <t>Canalización aguas lluvias acceso principal</t>
  </si>
  <si>
    <t>ORD. 3251</t>
  </si>
  <si>
    <t>ORD. 1661</t>
  </si>
  <si>
    <t>Accesorios de puertas modificaciones de arquitectura</t>
  </si>
  <si>
    <t>Modificación arquitectura piso mecánico edificio EI, Ficha 455-4</t>
  </si>
  <si>
    <t>Deteccion de incendio planta de Of. RRFF 3°Edif. CAAAC, ficha 704-A</t>
  </si>
  <si>
    <t>Quincallería para puertas de aluminio, Edificio EH5 y EI</t>
  </si>
  <si>
    <t>Corrientes débiles planta de Of. RRFF 3° Piso Edif. CAAAC, ficha 703-A</t>
  </si>
  <si>
    <t>Anclajes de ventanas cintas verticales, edificios F y caja escalera edificio C</t>
  </si>
  <si>
    <t>Conexión oxigeno etapa 1 y 2 Edificio Existente ficha 630-1</t>
  </si>
  <si>
    <t>Cambio de tipo de cielo escalera N°6 Edificio E, ficha 659-1 y 660-1</t>
  </si>
  <si>
    <t>Revestimiento Durock para shaft perimetrales galería técnica, piso mecánico Edificio EH5, comunicación N°1268</t>
  </si>
  <si>
    <t>Modificación pasillo de conexión entre CAAAC y Edificio EI</t>
  </si>
  <si>
    <t>Asientos abatibles de ducha en sala hospitalizados, sala aislados y vestuario pacientes primera etapa</t>
  </si>
  <si>
    <t>Incorporación ventilación localizada baños Edificio F 2° a 4° piso RDI N°1030</t>
  </si>
  <si>
    <t>Ajuste cielos pasillo dental, Edificio EH5 piso zócalo, comunicación n°730</t>
  </si>
  <si>
    <t>Solución constructiva para encuentro entre tabique y fachada</t>
  </si>
  <si>
    <t>Cambio tipo de cielo, oficina control centralizado, Edificio E, 1° piso, comunicación N°1013</t>
  </si>
  <si>
    <t>ORD. 1643; 285; 691</t>
  </si>
  <si>
    <t>Ord C4/2296 del 04-08-2021</t>
  </si>
  <si>
    <t>10-11-2020; 03-03-2021; 27-05-2021</t>
  </si>
  <si>
    <t>Reforzamiento de marquesina acceso edificio norte</t>
  </si>
  <si>
    <t>Suportación CPI colgante unidad Diálisis Transitoria</t>
  </si>
  <si>
    <t>Incorporación tabique sexto piso y psio mecánico edificio E</t>
  </si>
  <si>
    <t>Disminución portarrollos para papel higiénicos</t>
  </si>
  <si>
    <t>Disminución dispensador jabón líquido</t>
  </si>
  <si>
    <t>Disminución dispensador de toallas de papel</t>
  </si>
  <si>
    <t>Instalaciones eléctricas reloj de control</t>
  </si>
  <si>
    <t>Disminución unión puente centro / Túnel de instalaciones con edificio CAAC</t>
  </si>
  <si>
    <t>Emplazamiento muros de contención para estanque de petróleo</t>
  </si>
  <si>
    <t>Cambio de dimensión vigas cielo zócalo Edificio B</t>
  </si>
  <si>
    <t>Disminución perfil de coronación piso técnico</t>
  </si>
  <si>
    <t>Disminución secamanos eléctricos</t>
  </si>
  <si>
    <t>Definición recinto bodega edificio oriente</t>
  </si>
  <si>
    <t>Actualización climatización 5° piso EH5”</t>
  </si>
  <si>
    <t>Actualización climatización 4° piso EH5</t>
  </si>
  <si>
    <t>Actualización climatización  3° piso EH5”</t>
  </si>
  <si>
    <t>Disminución placa perforada cerramiento Edificio Técnico entre ejes 40´y 48</t>
  </si>
  <si>
    <t>Modificaciones no contempladas en descanso de escalera Edificio SP y NP</t>
  </si>
  <si>
    <t>Modificaciones climatización 2° piso EH5</t>
  </si>
  <si>
    <t>Disminución estructura metálica sobre cota de parrilla de piso en estanque agua potable</t>
  </si>
  <si>
    <t>Disminución guardamuro para puertas</t>
  </si>
  <si>
    <t>Modificación estructura estanque de agua adicional</t>
  </si>
  <si>
    <t>Modificación mobiliario piso 1 Edificio  EI transición</t>
  </si>
  <si>
    <t>Ventilación sala centrales de gases clínicos</t>
  </si>
  <si>
    <t>Puertas Habitaculos WC</t>
  </si>
  <si>
    <t>Cortinas roller adicionales primera etapa</t>
  </si>
  <si>
    <t>Disminuciones persianas</t>
  </si>
  <si>
    <t>Ventana corredera en estación de enfermería, Edificio B</t>
  </si>
  <si>
    <t>Caja estanca para controlador de cajas de volumen variable, etapa 1</t>
  </si>
  <si>
    <t>Ventana en muebles de secretaria y recepción</t>
  </si>
  <si>
    <t>Extintores adicionales piso mecánico edificio EHS y Edificio EI</t>
  </si>
  <si>
    <t>Cambio de termostato para fancoil edificio EH5-EI</t>
  </si>
  <si>
    <t>Refuerzos Recinto Imagenologia</t>
  </si>
  <si>
    <t>Shaft colector ball perimetral EH5</t>
  </si>
  <si>
    <t>Escalera de acceso a galería técnica, piso técnico sector EH5</t>
  </si>
  <si>
    <t>Modificación NPT patio de trabajo Edificio Técnico</t>
  </si>
  <si>
    <t>Pernos de anclaje conjunto G</t>
  </si>
  <si>
    <t>Detalles constructivos parrilla de piso estanque agua potable existente Edificio G</t>
  </si>
  <si>
    <t>Modificación dimensiones placas bases para anclaje de estructura metálica en losa superior Edificio G</t>
  </si>
  <si>
    <t>Proyecto electricidad (canalización climatización) edififcio EI</t>
  </si>
  <si>
    <t>Incorporación pretil de hormigón sala generadores piso 1 Edificio Técnico</t>
  </si>
  <si>
    <t>Mueble ME-04 para decantador de yeso</t>
  </si>
  <si>
    <t>Tapa de aluminio compuesto para CPI colgante</t>
  </si>
  <si>
    <t>Climatización sal control centralizado piso 1 Edificio EH5</t>
  </si>
  <si>
    <t>Extensión estructuras metálicas sobre estanque de agua potable, conexiones en placa anclaje, Edificio Técnico</t>
  </si>
  <si>
    <t>Planta de fundación, cubierta y detalles, sala de espera cuerpo C”</t>
  </si>
  <si>
    <t>Cubrejuntas de dilatación, apertura 203mm y 1060mm</t>
  </si>
  <si>
    <t>Esquema de solución de bajada de aguas lluvias  Edificio EH5</t>
  </si>
  <si>
    <t>Cambio guardapolvo porcelanato curvo y guardapolvo de aluminio por guardapolvo de aluminio con adhesivo, primera etapa.</t>
  </si>
  <si>
    <t>REVESTIMIENTO PISOS MECANICOS EH5, ET Y EI</t>
  </si>
  <si>
    <t>Modificación muebles de lavamanos médicos y vanitorios de  SH y salas de hospitalizados</t>
  </si>
  <si>
    <t>Actualización acometida corrientes débiles nivel aisladores</t>
  </si>
  <si>
    <t>Incorporación colgadores en estructura cubierta Edificio C</t>
  </si>
  <si>
    <t>Acrílico de protección teléfono de incendio</t>
  </si>
  <si>
    <t>Modificación estructura metálica ascensor 06</t>
  </si>
  <si>
    <t>Puertas adicionales piso zócalo Edificio EH5</t>
  </si>
  <si>
    <t>Estructura Metalcon coronación fachada</t>
  </si>
  <si>
    <t>Cambio color en franjas de cielo EH5 todos los pisos</t>
  </si>
  <si>
    <t>Modificación oficinas ITO</t>
  </si>
  <si>
    <t>Iluminación de evacuación 3° piso Edificio  EI transición</t>
  </si>
  <si>
    <t>Modificación nichos de extintores  Edificio EH5</t>
  </si>
  <si>
    <r>
      <t xml:space="preserve"> </t>
    </r>
    <r>
      <rPr>
        <sz val="11"/>
        <color rgb="FF000000"/>
        <rFont val="Calibri Light"/>
        <family val="2"/>
      </rPr>
      <t>Iluminación de evacuación 1° y 2° piso  Edificio  EI transición</t>
    </r>
  </si>
  <si>
    <t>Iluminación de evacuación 6° piso  Edificio EH5</t>
  </si>
  <si>
    <t>Iluminación de evacuación 4° y 5° piso  Edificio EH5</t>
  </si>
  <si>
    <t>Iluminación de evacuación 3° piso  Edificio EH5</t>
  </si>
  <si>
    <t>Iluminación de evacuación 2° piso Edificio EH5</t>
  </si>
  <si>
    <t>Iluminación de evacuación pisos zócalo y 1° piso  Edificio EH5”</t>
  </si>
  <si>
    <t>2.19</t>
  </si>
  <si>
    <t>Modificación estructura metálica de alero edificio C y accesos edificios</t>
  </si>
  <si>
    <t>Modificación arquitectura piso mecánico cuerpo  C</t>
  </si>
  <si>
    <t>Modificación viga cielo piso mecánico ejes C1 y 17C cuerpo E</t>
  </si>
  <si>
    <r>
      <t xml:space="preserve"> </t>
    </r>
    <r>
      <rPr>
        <sz val="11"/>
        <color rgb="FF000000"/>
        <rFont val="Calibri Light"/>
        <family val="2"/>
      </rPr>
      <t>Refuerzo estructural encuentro muro eje H’ con 30 y 38 cuerpo G”</t>
    </r>
  </si>
  <si>
    <t>Continuidad de losa junto a Edificio  B”</t>
  </si>
  <si>
    <t>Aislación acústica en salas de espera EH5</t>
  </si>
  <si>
    <t>Cierre puerta acceso inicial, eje 40 a sala de bombas</t>
  </si>
  <si>
    <t>Ajuste altura coronación MC7”</t>
  </si>
  <si>
    <t>Refuerzo estructural encuentro de muros ejes C1 y 17 C zócalo cuerpo E</t>
  </si>
  <si>
    <t>Confinamiento bajo recorrido de ascensores</t>
  </si>
  <si>
    <t>Instalación pasamanos en edificio poniente sur</t>
  </si>
  <si>
    <t>Recinto que consideran decantador de yeso 1° etapa</t>
  </si>
  <si>
    <t>Modificaciones por nueva ubicación salas equipos UPS Edificio EI</t>
  </si>
  <si>
    <t>Actualización planta extintores desde nivel zócalo a 6°piso Edificio  EH5, Transición</t>
  </si>
  <si>
    <t>Modificaciones DB Sala eléctrica y de generadores</t>
  </si>
  <si>
    <t>Lamas de piso a losa Edificio  F</t>
  </si>
  <si>
    <t>Bandeja porta conductores piso mecánico Edificio Institucional</t>
  </si>
  <si>
    <t>Modificación agua potable caliente etapa transición 4° piso EH5”</t>
  </si>
  <si>
    <t>Modificación agua potable caliente etapa transición 2° piso EH5”</t>
  </si>
  <si>
    <t>Modificación alcantarillado etapa transición 2° piso EH5</t>
  </si>
  <si>
    <t>Climatización salas  CCDD Edificio EH5 Modulo E</t>
  </si>
  <si>
    <t>Actualización rociadores y red húmeda 6°piso EH5</t>
  </si>
  <si>
    <t>Modificación gases clínicos   6° piso EH5</t>
  </si>
  <si>
    <t>Modificación gases clínicos   5° piso EH5</t>
  </si>
  <si>
    <t>Modificación gases clínicos   4° piso EH5</t>
  </si>
  <si>
    <t>Modificación gases clínicos   3° piso EH5</t>
  </si>
  <si>
    <t>Actualización climatización planta cubierta Edificio EI transición</t>
  </si>
  <si>
    <r>
      <t xml:space="preserve"> </t>
    </r>
    <r>
      <rPr>
        <sz val="11"/>
        <color rgb="FF000000"/>
        <rFont val="Calibri Light"/>
        <family val="2"/>
      </rPr>
      <t>Iluminación luz baja pasillo y puentes de conexión 4°, 5° y 6° piso EH5”</t>
    </r>
  </si>
  <si>
    <r>
      <t xml:space="preserve"> </t>
    </r>
    <r>
      <rPr>
        <sz val="11"/>
        <color rgb="FF000000"/>
        <rFont val="Calibri Light"/>
        <family val="2"/>
      </rPr>
      <t>Iluminación luz baja pasillo y puentes de conexión 2° y 3° piso EH5”</t>
    </r>
  </si>
  <si>
    <t>Incorporación de tabique TB6 para solución alimentación art. Sanitaria Edif. A-B-C</t>
  </si>
  <si>
    <t>ORD. 315</t>
  </si>
  <si>
    <t>ORD. 2322</t>
  </si>
  <si>
    <t>Modificación proyecto agua potable Edificio EI, baño, sala control, ficha 586”</t>
  </si>
  <si>
    <t>1.24</t>
  </si>
  <si>
    <t>Imagenología</t>
  </si>
  <si>
    <t>Armadura de losa piso 3 Edificio acceso vertical cuerpo  C</t>
  </si>
  <si>
    <t>Estructura metálica coronación Edificio F</t>
  </si>
  <si>
    <t>Detalle suportación CPI colgante</t>
  </si>
  <si>
    <t>Modificación escalera 06 tramo piso zócalo a piso aisladores</t>
  </si>
  <si>
    <t>Actualización escantillón EI</t>
  </si>
  <si>
    <t>Soporte para televisores anclados a losa</t>
  </si>
  <si>
    <t>Detalle solución A.LL dilatación Edificio EH5</t>
  </si>
  <si>
    <t>Cierre de fachada eje 26 piso mecánico edificio EH5</t>
  </si>
  <si>
    <t>Modificaciones ubicación tablero y equipo UPS EH5</t>
  </si>
  <si>
    <t>Refuerzos y fijación en tabiquería para muebles tipo "BO" (estantería)</t>
  </si>
  <si>
    <t>Solución mueble aéreo que interfieren con ventanas</t>
  </si>
  <si>
    <t>Enchufes para hublots llamado enfermería 1°, 2°, 3° EI y 2° piso EH5</t>
  </si>
  <si>
    <t>5.01</t>
  </si>
  <si>
    <t>Modificaciones en gabinetes de incendio</t>
  </si>
  <si>
    <t>Ord C4/775 del 02-03-2022</t>
  </si>
  <si>
    <t>Iluminación entrada Edificio 1° piso EH5</t>
  </si>
  <si>
    <t>Modificaciones canalizaciones eléctricas climatización EH5</t>
  </si>
  <si>
    <t>Complemento de soporte losa colaborante puente C-CAAAC</t>
  </si>
  <si>
    <t>Modificación plaza acceso costado EI, Estructura.</t>
  </si>
  <si>
    <t>Actualización detección y audio ev. planta 3° piso EH5</t>
  </si>
  <si>
    <t>ORD. 658</t>
  </si>
  <si>
    <t>ORD. 1554</t>
  </si>
  <si>
    <t>Actualización detección y audio ev. planta 2° piso EH5</t>
  </si>
  <si>
    <t>Normalización Hospital de Ovalle</t>
  </si>
  <si>
    <t>Descuentos de impermeabilizaciones bajo pavimentos de recintos considerados en la nota de cambio número 80.</t>
  </si>
  <si>
    <t>ORD. N° 1A / 0306 SSC del 18-02-18</t>
  </si>
  <si>
    <t>ORD. C4 /814, 19-02-2019</t>
  </si>
  <si>
    <t>Campanas de extracción área laboratorio dental zócalo EH5”</t>
  </si>
  <si>
    <t>Traslado estanque de petróleo adecuaciones funcionales</t>
  </si>
  <si>
    <t>Actualización detección de incendio 2° piso EH5</t>
  </si>
  <si>
    <t>Cambio revestimiento paredes Salas de Lavado y Planta Tratamientos de Agua.</t>
  </si>
  <si>
    <t>Arquitectura patio central sala de espera Edificio C</t>
  </si>
  <si>
    <t>Estudio de protección contra el fuego</t>
  </si>
  <si>
    <t>Modificación de  EEMM para alcanzar resistencia al fuego</t>
  </si>
  <si>
    <t>Serigrafiado casino CAAC</t>
  </si>
  <si>
    <t>Helipuerto, gabinete protección carro espuma</t>
  </si>
  <si>
    <t>Modificación mobiliario laboratorio Edificio H3</t>
  </si>
  <si>
    <t>Estructura patio central sala de espera Edificio C</t>
  </si>
  <si>
    <t>Radiocomunicaciones sistema HF</t>
  </si>
  <si>
    <t>Modificaciones muros eje I,39 y 40  Edificio G</t>
  </si>
  <si>
    <t>Modificaciones alcantarillado unidad de diálisis  transitoria zócalo EH5</t>
  </si>
  <si>
    <t>Actualización detección de incendio 6° piso Edificio EH5</t>
  </si>
  <si>
    <t>Actualización detección de incendio 5° piso Edificio EH5</t>
  </si>
  <si>
    <t>Actualización detección de incendio 4° piso Edificio EH5</t>
  </si>
  <si>
    <t>Cambio de factibilidad agua potable</t>
  </si>
  <si>
    <t>Actualización detección de incendio 1° piso Edificio EH5</t>
  </si>
  <si>
    <t>Actualización seguridad 6° piso Edificio EH5</t>
  </si>
  <si>
    <t>Actualización seguridad 5° piso Edificio EH5</t>
  </si>
  <si>
    <t>Actualización detección de incendio piso mecánico Edificio EI</t>
  </si>
  <si>
    <t>Actualización detección y audio evacuación 2° piso EI</t>
  </si>
  <si>
    <t>ORD. 457</t>
  </si>
  <si>
    <t>ORD. 891</t>
  </si>
  <si>
    <t xml:space="preserve"> Modificación plano cielos piso 6°</t>
  </si>
  <si>
    <t xml:space="preserve"> Modificación plano cielos piso 5° EH5</t>
  </si>
  <si>
    <t>Colector descarga climatización nivel aisladores Edificio EH5</t>
  </si>
  <si>
    <t>Modificaciones arquitectura Edificio técnico</t>
  </si>
  <si>
    <t>Muro contención MJ250 Edificio G</t>
  </si>
  <si>
    <t>Edificio i, sala almacenamiento de materiales</t>
  </si>
  <si>
    <t>Modificaciones de alumbrado eléctrico 6°piso Edificio EH5</t>
  </si>
  <si>
    <t>Suministro de válvula de mariposa de 6" para realizar prueba de bombas de incendio.</t>
  </si>
  <si>
    <t>Modificaciones de alumbrado eléctrico 5°piso Edificio EH5</t>
  </si>
  <si>
    <t>Acceso vehicular a condominio junto a ruta D-43</t>
  </si>
  <si>
    <t>ORD. 2069 SSC del 23-11-18</t>
  </si>
  <si>
    <t>Modificaciones de alumbrado eléctrico 4°piso Edificio EH5</t>
  </si>
  <si>
    <t>Modificación de perfilerías en mobiliario M01, Atención de Público, Edificio D.</t>
  </si>
  <si>
    <t>Modificaciones de alumbrado eléctrico 3°piso Edificio EH5</t>
  </si>
  <si>
    <t>Modificaciones de alumbrado eléctrico 2°piso Edificio EH5</t>
  </si>
  <si>
    <t>Modificaciones de alumbrado eléctrico 1°piso Edificio EH5</t>
  </si>
  <si>
    <t>Detalle de auditorio, planta terminaciones</t>
  </si>
  <si>
    <t>Modificaciones eléctricas 6° piso Edificio EH5</t>
  </si>
  <si>
    <t>Ventilación baños Edificio técnico</t>
  </si>
  <si>
    <t>ventilación salas eléctricas Edificio EH5</t>
  </si>
  <si>
    <t>Baranda peatonal Muro Serviu</t>
  </si>
  <si>
    <t>Actualización agua potable caliente 5° piso EH5 transición</t>
  </si>
  <si>
    <t>Actualización agua potable fría 5° piso EH5 transición</t>
  </si>
  <si>
    <t>Modificación cañerías climatización 2° piso EH5 transición</t>
  </si>
  <si>
    <t xml:space="preserve">Modificaciones climatización 2° piso EI </t>
  </si>
  <si>
    <t>Ajuste de NPT en pasillo exterior</t>
  </si>
  <si>
    <t>Aletas Traseras piso 4-5-6 eje CN edif. C</t>
  </si>
  <si>
    <t>Conexión eléctrica para grifería Edificio EH5 y EI</t>
  </si>
  <si>
    <t>Actualización rociadores red húmeda 1° piso ET</t>
  </si>
  <si>
    <t>Actualización rociadores red húmeda zócalo ET</t>
  </si>
  <si>
    <t>Modificaciones varias urbanización. Base en vereda muro tem</t>
  </si>
  <si>
    <t>Actualización agua potable fría y caliente 1° piso EI transición</t>
  </si>
  <si>
    <t>Modificación  agua potable caliente 3° piso EH5 transición</t>
  </si>
  <si>
    <t>Perfil adicional para instalación de termostato (ERROR INSTRUCCIÓN).</t>
  </si>
  <si>
    <t>ORD. 1801 SSC del 11-10-18</t>
  </si>
  <si>
    <t>Modificación  agua potable fría 3° piso EH5 transición</t>
  </si>
  <si>
    <t>Modificaciones varias urbanizaciones. Ampliación calzada zona descarga combustible</t>
  </si>
  <si>
    <t>Modificación alcantarillado 3° piso EH5</t>
  </si>
  <si>
    <t>Modificaciones varias urbanizaciones. Reajuste solera isleta urgencias</t>
  </si>
  <si>
    <t xml:space="preserve">Modificaciones cañerías climatización 1° piso EH5 </t>
  </si>
  <si>
    <t>Modificaciones varias urbanizaciones.</t>
  </si>
  <si>
    <t>Modificaciones climatización 1° piso EH5</t>
  </si>
  <si>
    <t>Actualización seguridad 4° piso Edificio EH5</t>
  </si>
  <si>
    <t xml:space="preserve">Actualización seguridad piso 3 Edificio EH5 </t>
  </si>
  <si>
    <t>Actualización seguridad 2° piso Edificio EH5</t>
  </si>
  <si>
    <t>Perfil adicional para instalación de termostato.</t>
  </si>
  <si>
    <t>Actualización seguridad 1° piso Edificio EH5</t>
  </si>
  <si>
    <t>Actualización corrientes débiles planta 6° piso Edificio EH5</t>
  </si>
  <si>
    <t>Edificio J incremento estructura metálica</t>
  </si>
  <si>
    <t>Actualización corrientes débiles planta 5° piso Edificio EH5</t>
  </si>
  <si>
    <t>Actualización corrientes débiles planta 4° piso Edificio EH5</t>
  </si>
  <si>
    <t>Actualización corrientes débiles planta 3° piso Edificio EH5</t>
  </si>
  <si>
    <t>Evacuación de aguas lluvias en patio seguridad edificio Sur</t>
  </si>
  <si>
    <t xml:space="preserve">Bajadas aguas lluvia edificio k        </t>
  </si>
  <si>
    <t>Instalación Sanitaria equipo Tinción</t>
  </si>
  <si>
    <t>Pavimento vereda Muro TEM</t>
  </si>
  <si>
    <t xml:space="preserve">Modificación mobiliario Edificio técnico </t>
  </si>
  <si>
    <t>ORD. 456</t>
  </si>
  <si>
    <t>ORD. 892</t>
  </si>
  <si>
    <t>Actualización rociadores red húmeda 1° piso EH5 transición</t>
  </si>
  <si>
    <t>Actualización gases clínicos 2° piso EH5</t>
  </si>
  <si>
    <t>Actualización alcantarillado 1° piso EH5</t>
  </si>
  <si>
    <t xml:space="preserve">Modificaciones cafetería Edificio E. </t>
  </si>
  <si>
    <t>ORD. 1448 SSC del 24-08-18</t>
  </si>
  <si>
    <t xml:space="preserve">Modificaciones eléctricas 5° piso Edificio EH5 </t>
  </si>
  <si>
    <t>Modificación esterilización</t>
  </si>
  <si>
    <t xml:space="preserve"> Modificaciones eléctricas 4° piso Edificio EH5</t>
  </si>
  <si>
    <t>Modificaciones eléctricas 3° piso Edificio EH5</t>
  </si>
  <si>
    <t xml:space="preserve"> Modificaciones eléctricas 2° piso Edificio EH5</t>
  </si>
  <si>
    <t xml:space="preserve">Modificación hemodiálisis. </t>
  </si>
  <si>
    <t>Modificaciones eléctricas 1° piso Edificio EH5</t>
  </si>
  <si>
    <t>Acceso edificio E desde ruta D43.</t>
  </si>
  <si>
    <t>ESTRUCTURA MARQUESINA EDIFICIO E</t>
  </si>
  <si>
    <t>Actualización agua fría 1° piso EH5</t>
  </si>
  <si>
    <t xml:space="preserve">Modificación agua potable caliente zócalo ET </t>
  </si>
  <si>
    <t>Edificio C1 Nueva estación trabajo sucio.</t>
  </si>
  <si>
    <t>Modificación agua potable fría zócalo - 1° piso ET</t>
  </si>
  <si>
    <t>Modificación agua potable caliente 1 piso EH5</t>
  </si>
  <si>
    <t>Modificación agua potable caliente zócalo EH5</t>
  </si>
  <si>
    <t>Modificación cielo oratorio</t>
  </si>
  <si>
    <t>Modificación alcantarillado zócalo 1° y 2° piso ET</t>
  </si>
  <si>
    <t>Edificio L, Losa fundación estanques.</t>
  </si>
  <si>
    <t>Modificación agua potable caliente 3° piso EI</t>
  </si>
  <si>
    <t xml:space="preserve">Actualización seguridad piso mecánico Edificio EI </t>
  </si>
  <si>
    <t>Actualización seguridad planta 3° piso Edificio EI</t>
  </si>
  <si>
    <t>Actualización corrientes débiles planta 2 piso Edificio EH5</t>
  </si>
  <si>
    <t xml:space="preserve">Actualización corrientes débiles planta 1° Edificio EH5 </t>
  </si>
  <si>
    <t>Actualización corrientes débiles planta pm Edificio EI</t>
  </si>
  <si>
    <t xml:space="preserve">Actualización corrientes débiles planta 3° piso Edificio EI </t>
  </si>
  <si>
    <t>Normalizacion Hospital Dr. Mauricio Heyermann Torres, Angol</t>
  </si>
  <si>
    <t>Celosías de cubierta</t>
  </si>
  <si>
    <t>Ord. 2456 del 22-11-2019</t>
  </si>
  <si>
    <t>Ord. 023 de fecha 03-01-2020</t>
  </si>
  <si>
    <t>Actualización corrientes débiles planta 2° piso Edificio EI</t>
  </si>
  <si>
    <t>Modificación altura de duchas</t>
  </si>
  <si>
    <t xml:space="preserve">Modificaciones electricidad piso 3° EI transición </t>
  </si>
  <si>
    <t>Diseño e ingeniería modificación proyecto eléctrico</t>
  </si>
  <si>
    <t xml:space="preserve"> Estructa secundaria canal aguas lluvias eje 10" </t>
  </si>
  <si>
    <t>ORD. 924</t>
  </si>
  <si>
    <t>ORD. 2052</t>
  </si>
  <si>
    <t xml:space="preserve">Modificaciones electricidad piso 2° EI transición </t>
  </si>
  <si>
    <t>Modificaciones alcantarillado exterior</t>
  </si>
  <si>
    <t>Definición en muros perimetrales Edificio Oriente</t>
  </si>
  <si>
    <t>Modificación sobrealtura cantoneras Central de Alimentación.</t>
  </si>
  <si>
    <t>Bloqueadores de giro en tabiques</t>
  </si>
  <si>
    <t>Modificaciones electricidad piso 2° EI transición</t>
  </si>
  <si>
    <t>Modificaciones gases clínicos tomas eléctricas 6° piso EH5</t>
  </si>
  <si>
    <t>Incorporación de shaft para cañerías de unidad VRV, puente centro</t>
  </si>
  <si>
    <t>Edificio C, Viga VC-612.</t>
  </si>
  <si>
    <t>Junta sísmica andén ambulancia</t>
  </si>
  <si>
    <t xml:space="preserve">Modificaciones gases clínicos tomas eléctricas 5° piso EH5 </t>
  </si>
  <si>
    <t>Desplazamiento de UPS y arranque eléctrico lavadora desinfectadora</t>
  </si>
  <si>
    <t xml:space="preserve">Modificaciones gases clínicos tomas eléctricas 4° piso EH5 </t>
  </si>
  <si>
    <t>Disminuciones varias</t>
  </si>
  <si>
    <t>Rampa de acceso a Edificio Institucional</t>
  </si>
  <si>
    <t xml:space="preserve">Modificaciones gases clínicos tomas eléctricas 3° piso EH5 </t>
  </si>
  <si>
    <t>Arranque eléctrico cintras transportadoras central de alimentación y nuevo compresor gases clínicos</t>
  </si>
  <si>
    <t xml:space="preserve">Modificaciones gases clínicos tomas eléctricas 2° piso EH5 </t>
  </si>
  <si>
    <t>Ajuste estación de enfermería piso 3 sp</t>
  </si>
  <si>
    <t>Tabiquería en Lavandería.</t>
  </si>
  <si>
    <t>Señalética adicional</t>
  </si>
  <si>
    <t>Modificaciones gases clínicos tomas eléctricas 3° piso EI</t>
  </si>
  <si>
    <t>Protecciones psiquiatría</t>
  </si>
  <si>
    <t xml:space="preserve">Modificaciones gases  clínicos tomas eléctricas 2 ° piso EI </t>
  </si>
  <si>
    <t>Modificaciones eléctricas 2</t>
  </si>
  <si>
    <t xml:space="preserve"> Refuerzo ingeniería y estudio metalúrgico </t>
  </si>
  <si>
    <t xml:space="preserve"> Obra Gruesa </t>
  </si>
  <si>
    <t>ORD. 1099</t>
  </si>
  <si>
    <t>ORD. 2730</t>
  </si>
  <si>
    <t>Actualización climatización planta 3°  Edificio EI transición</t>
  </si>
  <si>
    <t>Modificaciones climatización</t>
  </si>
  <si>
    <t>Modificación planta arquitectura piso 6 Edificio EH5</t>
  </si>
  <si>
    <t>Carpintería Madera.</t>
  </si>
  <si>
    <t>Repisas E1</t>
  </si>
  <si>
    <t>Modificación agua potable fría 2° piso Edificio EI</t>
  </si>
  <si>
    <t>Modificación mobiliario</t>
  </si>
  <si>
    <t>Modificación alcantarillado Edificio EI 2° piso</t>
  </si>
  <si>
    <t>Modificaciones incendio</t>
  </si>
  <si>
    <t>Modificación proyecto agua potable caliente 2° piso EI</t>
  </si>
  <si>
    <t>Salida de escape a cubierta edificio A</t>
  </si>
  <si>
    <t>Reconstrucción gradas escaleras Edificio Norte</t>
  </si>
  <si>
    <t>Modificaciones diálisis</t>
  </si>
  <si>
    <t>Modificación planta arquitectura piso 5° EH5</t>
  </si>
  <si>
    <t>Disminuciones ítems 1.2.1.3.5; 17.1; 17.3; 17.6</t>
  </si>
  <si>
    <t>Modificación plano cielos 4° EH5</t>
  </si>
  <si>
    <t>Nueva planta aguas lluvias</t>
  </si>
  <si>
    <t>Modificación plano cielos 3° EH5.</t>
  </si>
  <si>
    <t>Preinstalaciones central de mezclas</t>
  </si>
  <si>
    <t>HOJALATERÍA ENCUENTRO PUENTE CAAAC Y EDIFICIO EI</t>
  </si>
  <si>
    <t xml:space="preserve">Modificación planta arquitectura piso 4 Edificio EH5 </t>
  </si>
  <si>
    <t>Incorporación control centralizado al sistema de extracción para recintos aislados</t>
  </si>
  <si>
    <t>Incorporación cámara sentina en túnel EH5 CAAAC</t>
  </si>
  <si>
    <t>Modificaciones arquitecturas varios</t>
  </si>
  <si>
    <t xml:space="preserve"> Modificación agua potable fría 3° piso </t>
  </si>
  <si>
    <t>Modificación sistema tratamiento de agua</t>
  </si>
  <si>
    <t>Modificación alcantarillado Edificio EI 3°piso</t>
  </si>
  <si>
    <t>RDI 702 Modificaciones patio exterior edificio F.</t>
  </si>
  <si>
    <t>Lockers adicionales</t>
  </si>
  <si>
    <t>Barandas necesarias no incluidas en el proyecto</t>
  </si>
  <si>
    <t>Reposición Hospital San Juan de la Costa</t>
  </si>
  <si>
    <t>Llamado de enfermera BOX IRA y ERA, mas modificación de ubicación llamado de enfermera habitaciones</t>
  </si>
  <si>
    <t>ORD. 5658</t>
  </si>
  <si>
    <t>ORD. 507</t>
  </si>
  <si>
    <t>Actualización red húmeda 3° piso EI L</t>
  </si>
  <si>
    <t>1. Revestimiento tapa de cajón s/RDI 755:</t>
  </si>
  <si>
    <t>Extensión escalera metálica Edificio C</t>
  </si>
  <si>
    <t>Barandas y Pasamanos en muros,  rampas y veredas, no contempladas</t>
  </si>
  <si>
    <t xml:space="preserve">Actualización red húmeda 2° piso EI </t>
  </si>
  <si>
    <t>Modificaciones eléctricas</t>
  </si>
  <si>
    <t>Incorporación de valvulas mariposas supervisadas en red de extinción de incendio en conexión a UPC</t>
  </si>
  <si>
    <t xml:space="preserve">Plano CPI piso zócalo EH5 </t>
  </si>
  <si>
    <t>Modificación de tipo de cielo en Hall acceso edif. E.</t>
  </si>
  <si>
    <t>Modificacion cantidad de CPI</t>
  </si>
  <si>
    <t>Ord. 1965 del 12-09-2019</t>
  </si>
  <si>
    <t>Ord. 4697 de fecha 28-10-2019</t>
  </si>
  <si>
    <t>Barandas</t>
  </si>
  <si>
    <t xml:space="preserve">Modificación correo neumático 1° piso EH5 </t>
  </si>
  <si>
    <t xml:space="preserve">Modificacion proyecto Serviu </t>
  </si>
  <si>
    <t>Modificación climatización piso sísmico Edificio EH5</t>
  </si>
  <si>
    <t>Extracción campana de bio seguridad</t>
  </si>
  <si>
    <t xml:space="preserve">Fachadas </t>
  </si>
  <si>
    <t xml:space="preserve">Modificación climatización piso aisladores EH5 cañerías </t>
  </si>
  <si>
    <t>Modificación Clima Sala TIC</t>
  </si>
  <si>
    <t>Bombas agua potable, aguas lluvia, PEAS N°2</t>
  </si>
  <si>
    <t>Modificación trazado y dimensiones  ductos de clima urgencia</t>
  </si>
  <si>
    <t xml:space="preserve"> Modificación red splinklers 3er piso EI </t>
  </si>
  <si>
    <t>Cambio elemento de inyección de aire en edificio E</t>
  </si>
  <si>
    <t>Disminucion dispensador de papel</t>
  </si>
  <si>
    <t xml:space="preserve">Modificación red splinkers segundo piso EI </t>
  </si>
  <si>
    <t>Cambio medida barras cortina primera etapa ficha 490-1 y 491-3</t>
  </si>
  <si>
    <t xml:space="preserve">Traslado cajas de valvulas, valvulas y tomas murales gases clinicos </t>
  </si>
  <si>
    <t>Cambio recorrido matriz de agua</t>
  </si>
  <si>
    <t>Artefactos antivandálicos y modificaciones arquitectura en baños del Edificio SP.</t>
  </si>
  <si>
    <t>Reposición parcial porcelanatos existentes en edificio SP</t>
  </si>
  <si>
    <t>Actualización red seca piso I,II,III,IV.V y VI</t>
  </si>
  <si>
    <t xml:space="preserve">Aire industrial lavadoras </t>
  </si>
  <si>
    <t>Caseta para shaft en cubierta, piso mecánico edificio C</t>
  </si>
  <si>
    <t>Aumento de Rociadores piso mecánico</t>
  </si>
  <si>
    <t xml:space="preserve">Modificación mobiliario EH5  6°piso </t>
  </si>
  <si>
    <t xml:space="preserve">Ventana d1 - baños </t>
  </si>
  <si>
    <t xml:space="preserve">Protección ducto de barra  </t>
  </si>
  <si>
    <t>Cambio Acometida de Agua (Aumento arranque)</t>
  </si>
  <si>
    <t>Modificación mobiliario EH5  5°piso</t>
  </si>
  <si>
    <t xml:space="preserve">Modificaciones Barandas </t>
  </si>
  <si>
    <t xml:space="preserve"> Rectificación nota de cambio 96 Alimentador TDF Cal </t>
  </si>
  <si>
    <t xml:space="preserve">Modificación planta arquitectura piso 3 Edificio EH5 </t>
  </si>
  <si>
    <t xml:space="preserve">Cambio cristal ventanas de guillotina </t>
  </si>
  <si>
    <t>BR3 a TV1-D2, Sector oficinas</t>
  </si>
  <si>
    <t xml:space="preserve">Canaleta de seguridad para salas electricas </t>
  </si>
  <si>
    <t xml:space="preserve">Estructura metálica ascensor 02 Edificio </t>
  </si>
  <si>
    <t>Soportes para juntas flexibles patio central edificio C</t>
  </si>
  <si>
    <t>Acceso piso mecánico aislacion-subterraneo desde exterior Edificio institucional, ficha 723-1</t>
  </si>
  <si>
    <t>Demolición sala existente en edificio oriente</t>
  </si>
  <si>
    <t>Detalle de juntas de dilatación para techumbre.</t>
  </si>
  <si>
    <t>Cambio de recorrido cañerias de incendio por traslado de manifold escaleras 7 y 11</t>
  </si>
  <si>
    <t>ESTRUCTURA PARA CANAL DE AGUAS LLUVIAS MARQUESINA EDIFICIO C</t>
  </si>
  <si>
    <t>OOCC Gas Licuado</t>
  </si>
  <si>
    <t xml:space="preserve">Modificación plano cielos piso 1 y 2 EH5 </t>
  </si>
  <si>
    <t xml:space="preserve">Cielo casa acogida y cantoneras adicionales </t>
  </si>
  <si>
    <t>Eliminación ventanas y tapado vanos en NP pisos 2 y 3</t>
  </si>
  <si>
    <t>Actualización iluminación piso zócalo Edificio EH5</t>
  </si>
  <si>
    <t>Modificaciones urbanización por nuevo patio de actividades edificio G.</t>
  </si>
  <si>
    <t xml:space="preserve">Modificacion central de esterilizacion </t>
  </si>
  <si>
    <t>Cambio Puerta Metálica PM2</t>
  </si>
  <si>
    <t>Arquitectura reemplaza a planta AFU 2° piso sector EH5”</t>
  </si>
  <si>
    <t>Celosías metálicas tras RDI 311 para salida de clima fachada C.</t>
  </si>
  <si>
    <t>Ventilacion ductos Sector E piso zcalo patio 6</t>
  </si>
  <si>
    <t>Incorporación de  Filtros en Captación.(incorporación de filtros ABMA y QMA)</t>
  </si>
  <si>
    <t>ORD. 4207</t>
  </si>
  <si>
    <t>ORD. 4115</t>
  </si>
  <si>
    <t>Modificación mobiliario EH5 4°piso</t>
  </si>
  <si>
    <t>Terminacion nave central</t>
  </si>
  <si>
    <t xml:space="preserve"> Planta arquitectura piso 1° Edificio EH5 </t>
  </si>
  <si>
    <t>Disminucion DLP</t>
  </si>
  <si>
    <t xml:space="preserve">Modificación piso mecánico </t>
  </si>
  <si>
    <t>Bypass agua potable</t>
  </si>
  <si>
    <t>Cortinas (Disminución persianas suspendidas)</t>
  </si>
  <si>
    <t xml:space="preserve"> Modificación mobiliario EH5 3°piso </t>
  </si>
  <si>
    <t xml:space="preserve">Modificaciones Psiquiatria </t>
  </si>
  <si>
    <t>Válvulas de corte juntas de dilatación agua caliente</t>
  </si>
  <si>
    <t xml:space="preserve">Obras exteriores </t>
  </si>
  <si>
    <t>Ejecución recrecida en viga invertida inyectada Edificio HD</t>
  </si>
  <si>
    <t>Modificación Patio Ingles</t>
  </si>
  <si>
    <t>Obras Civiles botiquín y primeros auxilios</t>
  </si>
  <si>
    <t>Ajuste 5 cm altura muro eje D</t>
  </si>
  <si>
    <t>Impermeabilización sistema de control centralizado para UMA 33B</t>
  </si>
  <si>
    <t>Ajuste losa tapa de calzada PEAS 02</t>
  </si>
  <si>
    <t>Modificacion Muebles</t>
  </si>
  <si>
    <t>Tubo Venturi</t>
  </si>
  <si>
    <t>Modificación mobiliario EH5  2° piso</t>
  </si>
  <si>
    <t xml:space="preserve">Modificacion puerta de pabellones </t>
  </si>
  <si>
    <t>Bomba Agua Caliente Sanitaria</t>
  </si>
  <si>
    <t xml:space="preserve">Habilitación de redes eléctricas y datos para sistema de turno mático </t>
  </si>
  <si>
    <t>Modificacion obras de paisajismo</t>
  </si>
  <si>
    <t>Celosías Metálicas Rectificación nc84</t>
  </si>
  <si>
    <t>Modificación planta cielos  3° piso EI</t>
  </si>
  <si>
    <t xml:space="preserve">Estructura metalica alero de fachada </t>
  </si>
  <si>
    <t>Válvulas de corte en Liras de Expansión GGCC</t>
  </si>
  <si>
    <t>Modificación planta cielos  2° piso EI</t>
  </si>
  <si>
    <t xml:space="preserve">Modificaciones Sala cuna </t>
  </si>
  <si>
    <t>Inyección túnel FC a muro A</t>
  </si>
  <si>
    <t>ORD. 383</t>
  </si>
  <si>
    <t>ORD. 889</t>
  </si>
  <si>
    <t xml:space="preserve">Terminales columnas gases clinicos </t>
  </si>
  <si>
    <t>Flexibles para liras de expansión (Gases Clínicos)</t>
  </si>
  <si>
    <t>Solución tipo ajuste para tabique proyectado en vano</t>
  </si>
  <si>
    <t>Obras EISTU</t>
  </si>
  <si>
    <t>Filtros de Climatización</t>
  </si>
  <si>
    <t>Modificación refuerzo muro A1 túnel BG</t>
  </si>
  <si>
    <t>Modificacion equipos</t>
  </si>
  <si>
    <t>Ángulo estabilizador tabiques</t>
  </si>
  <si>
    <t>Arquitectura Edificio EI 3° piso</t>
  </si>
  <si>
    <t>Normalización Hospital de La Serena (CDT)</t>
  </si>
  <si>
    <t>MODIFICACION BARANDA PANOPTICO</t>
  </si>
  <si>
    <t>Ord. 1A/00996  DEL 06.07.21</t>
  </si>
  <si>
    <t>0RD. 2206</t>
  </si>
  <si>
    <t>Campanas adicionales zocalo y 1°piso</t>
  </si>
  <si>
    <t>Tablero RX dental</t>
  </si>
  <si>
    <t>Modificación de pavimento y cielo por cambio de destino recinto</t>
  </si>
  <si>
    <t>Arquitectura Edificio EI 2° piso</t>
  </si>
  <si>
    <t>MODIFICACION RECINTOS -2106 Y -2101 (RESONADOR)</t>
  </si>
  <si>
    <t>Carpinteria metalica</t>
  </si>
  <si>
    <t>Rellenos Paralelismo</t>
  </si>
  <si>
    <t>Modificación mobiliario EH5  1°piso</t>
  </si>
  <si>
    <t>MODIFICACION DE  RECINTOS 2202 Y 2097</t>
  </si>
  <si>
    <t>Enchufe nivel aisladores</t>
  </si>
  <si>
    <t>Extracción localizada A021 (cadáveres)</t>
  </si>
  <si>
    <t>Modificación mobiliario 3° piso Edificio EI transición</t>
  </si>
  <si>
    <t>BAJADA AGUAS LLUVIAS PATRIMONIAL</t>
  </si>
  <si>
    <t xml:space="preserve">Solución de patios interiores </t>
  </si>
  <si>
    <t xml:space="preserve">Modificacion acceso lavanderia </t>
  </si>
  <si>
    <t>Grano Eifs</t>
  </si>
  <si>
    <t>MODIFICACION AGUAS LLUVIAS EDIFICIO TECNICO</t>
  </si>
  <si>
    <t>Modificación mobiliario 2° piso Edificio EI transición</t>
  </si>
  <si>
    <t>Detalle de junta de dilatación en eje F2 edif. D (Patio Lucarnas)</t>
  </si>
  <si>
    <t>Cubrejuntas en encuentro entre pavimentos</t>
  </si>
  <si>
    <t>Split Recinto A012 Fármacos</t>
  </si>
  <si>
    <t>Propuesta de iluminación hall de acceso Edificio EH5, fichas 647-1 y 674-2</t>
  </si>
  <si>
    <t>Evacuación agua lluvia zócalo piso aisladores Edificio EHS</t>
  </si>
  <si>
    <t>Muro  cortina y demoliciones CAAAC</t>
  </si>
  <si>
    <t>Ajuste de revestimiento de muro (HPL)</t>
  </si>
  <si>
    <t>Ord. 1350 del 20-06-2019</t>
  </si>
  <si>
    <t>Ord. 4696 de fecha 28-10-2019</t>
  </si>
  <si>
    <t>Split B003</t>
  </si>
  <si>
    <t xml:space="preserve">Detalle tomas murales piso 1 Edificio EI </t>
  </si>
  <si>
    <t>Modificaciones electricas zocalo</t>
  </si>
  <si>
    <t>Modificaciones BPC 500X100 MM subalimentadores tablero SS y UPS</t>
  </si>
  <si>
    <t>Enchufes luminarias y obras anexas</t>
  </si>
  <si>
    <t>Extensione red de alcantarillado Obras Transitorias</t>
  </si>
  <si>
    <t xml:space="preserve">Actualización gases clínicos piso técnico aisladores Edificio EH5 y arranque Edificio EI </t>
  </si>
  <si>
    <t>TABLERO CASETA DE GUARDIA</t>
  </si>
  <si>
    <t>Modificaciones electricas 3°piso</t>
  </si>
  <si>
    <t>Arranques cámaras de seguridad</t>
  </si>
  <si>
    <t>Actualización gases clínicos planta zócalo Edificio EH5</t>
  </si>
  <si>
    <t>Modificaciones electricas 2°piso</t>
  </si>
  <si>
    <t>Vex 3 Por Campana de Laboratorio</t>
  </si>
  <si>
    <t>Control de Acceso SP</t>
  </si>
  <si>
    <t>Modificaciones electricas 1°piso</t>
  </si>
  <si>
    <t>Gas Licuado: Red de instalación N°2</t>
  </si>
  <si>
    <t>Modificaciones detección de incendio piso zócalo Edificio hospitalización</t>
  </si>
  <si>
    <t>Cambio de posición WC por interferencia con viga Edificio C3 y C4</t>
  </si>
  <si>
    <t>Disminucion empalme electrico</t>
  </si>
  <si>
    <t>Duchas Higiénicas</t>
  </si>
  <si>
    <t>Actualización seguridad piso zócalo Edificio EH5</t>
  </si>
  <si>
    <t>Nuevas bajadas agua lluvia en Edificios K-L-M</t>
  </si>
  <si>
    <t>Puesto de toma de gases clinicos recinto A-1-091</t>
  </si>
  <si>
    <t>Construcción Sala Cuna Nuevo Hospital Puerto Montt</t>
  </si>
  <si>
    <t>Empalme sala cuna a sub estación Nº1</t>
  </si>
  <si>
    <t>90 días</t>
  </si>
  <si>
    <t>ORD. 4947</t>
  </si>
  <si>
    <t>ORD. 1287</t>
  </si>
  <si>
    <t>Artefactos sanitarios</t>
  </si>
  <si>
    <t>Iluminación piso primero Edificio institucional transición</t>
  </si>
  <si>
    <t>Modificación trazado de alcantarillado</t>
  </si>
  <si>
    <t xml:space="preserve">MODIFICACION TABLERO PM4 </t>
  </si>
  <si>
    <t xml:space="preserve">Impermeabilización terraza lucarna pabellones </t>
  </si>
  <si>
    <t>Receptáculo de Basura</t>
  </si>
  <si>
    <t>Actualización corrientes débiles piso zócalo Edificio EH5</t>
  </si>
  <si>
    <t>MODIFICACION PROYECTO DE CLIMATIZACIÓN ED.  PATRIMONIAL</t>
  </si>
  <si>
    <t>Modificación de altura de antepechos de Pm1 Edificio 1.</t>
  </si>
  <si>
    <t>Mueble adicional CCTV recinto B-2-006</t>
  </si>
  <si>
    <t>Riel Superior Porta equipos</t>
  </si>
  <si>
    <t>Gatera de acceso PEAS N°2</t>
  </si>
  <si>
    <t>Pintura anti condensante</t>
  </si>
  <si>
    <t>Actualización seguridad planta 1° piso Edificio EI</t>
  </si>
  <si>
    <t>Conexión provisoria agua caliente Edificio Sur</t>
  </si>
  <si>
    <t>Montaje nuevo shaft de ventilación alcantarillado Edificio C4</t>
  </si>
  <si>
    <t>Caso N°159: Escaleras de Acceso NAS</t>
  </si>
  <si>
    <t>Ord. 206 del 30-01-2019</t>
  </si>
  <si>
    <t>Ord. 2850 de fecha 17-06-2019</t>
  </si>
  <si>
    <t>Pintura Ignífuga</t>
  </si>
  <si>
    <t>Actualización climatización planta piso zócalo EH5</t>
  </si>
  <si>
    <t>Solución circuito de agua caliente Edificio I Nivel 2 y 3</t>
  </si>
  <si>
    <t>REUBICACION TABLEROS ELECTRICOS  PABLELLONES "PA"</t>
  </si>
  <si>
    <t>Caso N°203: Modificacion separadores de ducha</t>
  </si>
  <si>
    <t>Primeros Auxilios</t>
  </si>
  <si>
    <t>Actualización red splinkers planta zócalo EH5</t>
  </si>
  <si>
    <t>Tabique falso en casetas de guardia</t>
  </si>
  <si>
    <t>DUCHA EMERGENCIA LAVAOJOS RECINTO 1016</t>
  </si>
  <si>
    <t>Caso N°193: Cambio Alturas muebles murales</t>
  </si>
  <si>
    <t>Modificación enfierradura estanque  de captación</t>
  </si>
  <si>
    <t>Actualización climatización zócalo EH5 transición cañerías</t>
  </si>
  <si>
    <t>Solución bajadas de aguas lluvias provenientes de la techumbre del Edificio N</t>
  </si>
  <si>
    <t>FIJACION ESTRUCTURA PERGOLA ED. PATRIMONIAL</t>
  </si>
  <si>
    <t xml:space="preserve">Caso N°183: "Refuerzo tabique patio 8a" </t>
  </si>
  <si>
    <t>Mejoramiento fundaciones</t>
  </si>
  <si>
    <t>ORD. 2178</t>
  </si>
  <si>
    <t>ORD. 2198</t>
  </si>
  <si>
    <t>Enchufes piso zócalo Edificio EH5</t>
  </si>
  <si>
    <t>Modificaciones de Puertas en recinto C1-061 de acuerdo a RDI 678.</t>
  </si>
  <si>
    <t>ORD. 956 SSC del  12-06-18</t>
  </si>
  <si>
    <t>ORD. C4 /4338, 10-10-2018</t>
  </si>
  <si>
    <t>Caso N°167: "Modificacion proyecto residuos solidos"</t>
  </si>
  <si>
    <t>MUROS TIERRA ARMADA (Modificación a hormigón armado)</t>
  </si>
  <si>
    <t>Enchufes 1° piso  Edificio Institucional Transición</t>
  </si>
  <si>
    <t>Cambio de trazado de agua potable en recintos A</t>
  </si>
  <si>
    <t>REDISEÑO PLANTA DE DIALISIS</t>
  </si>
  <si>
    <t>TRASLADO DE REDES DE DATOS Y MEDIA TENSIÓN</t>
  </si>
  <si>
    <t>Caso N°175: "Murete casa de acogida"</t>
  </si>
  <si>
    <t>PAVIMENTACIÓN (Modificación proyecto pavimentación)</t>
  </si>
  <si>
    <t>Modificaión puerta vidriada acceso a módulo central, primer piso, edificio institucional</t>
  </si>
  <si>
    <t>Modificaciones detección  1°piso Edificio Institucional</t>
  </si>
  <si>
    <t>Modificaciones en tabiquerías e instalaciones por corrección del proyecto de mobiliario adosado y modificaciones a recintos de diálisis según RDI 514</t>
  </si>
  <si>
    <t>Caso N°174: "Solución de proyecto de calculo"</t>
  </si>
  <si>
    <t>Solución de fundaciones para captación de agua potable.</t>
  </si>
  <si>
    <t xml:space="preserve">Actualización corriente débiles planta 1°piso Edificio EI </t>
  </si>
  <si>
    <t>Canalizado tablero mantención estanque de agua</t>
  </si>
  <si>
    <t>1.9</t>
  </si>
  <si>
    <t>Farmacia</t>
  </si>
  <si>
    <t>Caso N°172: "Escalera Acceso estanque de agua"</t>
  </si>
  <si>
    <t>ESTANQUE PETRÓLEO (Mejora y complementación proyecto)</t>
  </si>
  <si>
    <t>Actualización red húmeda planta 1° piso Edificio EI transición</t>
  </si>
  <si>
    <t>Espejos porcelanato en lavamanos quirurgicos</t>
  </si>
  <si>
    <t>Ord. 1A/00738  DEL 13.05.21</t>
  </si>
  <si>
    <t>0RD. 1662</t>
  </si>
  <si>
    <t>Citofonía adicional edificio SP</t>
  </si>
  <si>
    <t>1.2</t>
  </si>
  <si>
    <t>Sala de Lavado de cadaveres</t>
  </si>
  <si>
    <t>Caso N°165: Disminucion cubierta Verde"</t>
  </si>
  <si>
    <t>Pintura intumescente</t>
  </si>
  <si>
    <t>1.26</t>
  </si>
  <si>
    <t>Baño Universal Hall Sala de Espera</t>
  </si>
  <si>
    <t>Actualización red splinkers planta primer piso Edificio EI transición</t>
  </si>
  <si>
    <t>Modificación recintos Lockers Personal (H1-033 y H1-034) para reubicación de tableros eléctricos.</t>
  </si>
  <si>
    <t>Caso N°156: "Muebles adicionales"</t>
  </si>
  <si>
    <t>Modificación mobiliario (Disminución)</t>
  </si>
  <si>
    <t xml:space="preserve"> Ajuste tecnico proyecto sanitario </t>
  </si>
  <si>
    <t>ORD. 2826</t>
  </si>
  <si>
    <t>ORD. 4414</t>
  </si>
  <si>
    <t>Actualización gases clínicos Edificio EI transición</t>
  </si>
  <si>
    <t>Solución descarga C.I Reg N°1 y N°7 Proyecto A.LL</t>
  </si>
  <si>
    <t>Reubicación lavamanos  Recinto 1183</t>
  </si>
  <si>
    <t>Ejecución de BY-PASS en Matriz de Agua Potable Exterior</t>
  </si>
  <si>
    <t>Actualización climatización planta 1° piso Edificio EI transición</t>
  </si>
  <si>
    <t>Solución descarga de canaleta N°24-3 .C.I N°29-Proyecto A.LL</t>
  </si>
  <si>
    <t>Modificación barras M1 baños discapacitados</t>
  </si>
  <si>
    <t>Caso N°177: "Zocalo reforzado tabique vidriadopasillo D-1-001</t>
  </si>
  <si>
    <t>Canales aguas lluvias (Modificación canales)</t>
  </si>
  <si>
    <t>Modificación Edificio EI agua potable caliente 1°piso</t>
  </si>
  <si>
    <t>Nuevo trazado de descarga de canaleta N°11 A.C.I N°33 -Proyecto A.LL</t>
  </si>
  <si>
    <t>Ductos Adicionales de extracción para habilitación de campana en Cocina Fría, Edificio H</t>
  </si>
  <si>
    <t>Revestimiento texturado en columnas eje KI-M3(6A-6B Edificio D-E</t>
  </si>
  <si>
    <t>Cambio muro eje 3BC (Aumento de tabique)</t>
  </si>
  <si>
    <t>Modificación Edificio EI agua potable fría 1°piso</t>
  </si>
  <si>
    <t>Ductos adicionales para aliviar presión de aire en manejadoras de aire de Sectores de UTI y UCI</t>
  </si>
  <si>
    <t>Caso N°171: Puerta automatica acceso sur.</t>
  </si>
  <si>
    <t>Aislación contra humedad (Modificación)</t>
  </si>
  <si>
    <t>Modificación Edificio EI alcantarillado 1° piso</t>
  </si>
  <si>
    <t>Instalación de radier en zona de piso de goma o caucho</t>
  </si>
  <si>
    <t>Instalación de válvulas de agua potable para sectorización del Proyecto Sanitario</t>
  </si>
  <si>
    <t>Caso N°170: Disminucion Barrera cortafuego.</t>
  </si>
  <si>
    <t>Lana mineral (Modificación)</t>
  </si>
  <si>
    <t>Modificación Edificio EH5 agua potable caliente piso zócalo</t>
  </si>
  <si>
    <t>Traslado gabinete red húmeda</t>
  </si>
  <si>
    <t>Modificación de pendientes para drenaje de aguas lluvias en parking principal</t>
  </si>
  <si>
    <t>Caso N°166:"Impermeabilizacion adicional por cambio de arquitectura.</t>
  </si>
  <si>
    <t>BAJADAS DE AGUAS LLUVIAS (Bajadas y sumideros en marquesinas)</t>
  </si>
  <si>
    <t>Modificación Edificio EH5 alcantarillado piso zócalo</t>
  </si>
  <si>
    <t>Tabique TA7 en escalera Edificio L</t>
  </si>
  <si>
    <t>Obras de Terminación en patio interior, Sector Casino, Edificio D, producto de respuesta RDI 696</t>
  </si>
  <si>
    <t>Caso N°161: Modificaciones altura espejo de baños universales.</t>
  </si>
  <si>
    <t>Modificación Edificio EH5 agua potable fría piso zócalo</t>
  </si>
  <si>
    <t>Modificación mueble  M3 Recinto 2059</t>
  </si>
  <si>
    <t>Modificaciones de Redes de Gases Clínicos en Pabellones</t>
  </si>
  <si>
    <t>Reubicación alcantarillado existente que impide la construcción del Edificio Oriente (auditorio)</t>
  </si>
  <si>
    <t>Caso N°188: Descarga ventiladores de laboratorio en cubierta.</t>
  </si>
  <si>
    <t>Modificación mobiliario  1° piso Edificio EI transición</t>
  </si>
  <si>
    <t xml:space="preserve"> Rellenos Laterales </t>
  </si>
  <si>
    <t xml:space="preserve"> Obras Exteriores </t>
  </si>
  <si>
    <t>ORD. 1921</t>
  </si>
  <si>
    <t>ORD. 3889</t>
  </si>
  <si>
    <t>Cambio de tipo de cielo túnel Edificio EH5-ET. Ficha 739-1</t>
  </si>
  <si>
    <t>Altura lavamanos discapacitados</t>
  </si>
  <si>
    <t>Preinstalación para lámpara de quirófano en Sala de Procedimiento en Edificio C</t>
  </si>
  <si>
    <t>Caso N°181:Traslado VEX de campana de zocalo a cubierta modulo B.</t>
  </si>
  <si>
    <t>Barandas (exteriores)</t>
  </si>
  <si>
    <t>Cambio de cerraduras y amaestramiento en Edificio Norponiente</t>
  </si>
  <si>
    <t>ORD.1809</t>
  </si>
  <si>
    <t>ORD.5350</t>
  </si>
  <si>
    <t>Modificación planta cielos piso</t>
  </si>
  <si>
    <t>Modificación de tablero LAB 3</t>
  </si>
  <si>
    <t>Cambio de barandilla de vidrio.</t>
  </si>
  <si>
    <t xml:space="preserve">Caso N°164: modificaciones varias clima </t>
  </si>
  <si>
    <t>Arquitectura Edificio EI 1° piso</t>
  </si>
  <si>
    <t>Cierre patio sala cuna (reja metálica según ficha 178 rev.2)</t>
  </si>
  <si>
    <t>Sistema de extracción campana H1-071</t>
  </si>
  <si>
    <t>ORD 1A 1814 del 12-12-2017</t>
  </si>
  <si>
    <t>ORD. C4 /139, 15-01-2018</t>
  </si>
  <si>
    <t xml:space="preserve">Caso N°63: Ventilacion macroscopia y procesos </t>
  </si>
  <si>
    <t>Puertas acústicas</t>
  </si>
  <si>
    <t>Recrecido Coronación Muro Exterior Edificio Sur</t>
  </si>
  <si>
    <t>Modificación mobiliario planta zócalo Edificio</t>
  </si>
  <si>
    <t>Puertas vidriadas 90x210 nivel 3 Edificio F</t>
  </si>
  <si>
    <t xml:space="preserve">Caso N°160: "Trabajos electricos asociado a ventilacion recintos aislados. </t>
  </si>
  <si>
    <t>Modificación plano cielos piso zócalo</t>
  </si>
  <si>
    <t>Cambio de puertas por cortinas en edificio A en recintos A1-009 y A1-119</t>
  </si>
  <si>
    <t xml:space="preserve">Caso N°192: Deteccion de incendio casa de acogida. </t>
  </si>
  <si>
    <t>Rellenos Confinados</t>
  </si>
  <si>
    <t>Revestimiento texturado estanque de agua</t>
  </si>
  <si>
    <t>ORD. 1189</t>
  </si>
  <si>
    <t>ORD. 1738</t>
  </si>
  <si>
    <t>Nuevo radier en patio central de Edificio Surponiente</t>
  </si>
  <si>
    <t>Modificación planta arquitectura piso zócalo , Edificio EH5.</t>
  </si>
  <si>
    <t>Refuerzos y uniones metálicas apernadas arriostramientos estructura</t>
  </si>
  <si>
    <t>-</t>
  </si>
  <si>
    <t xml:space="preserve">EXTENSION MURO GASES CLINICOS </t>
  </si>
  <si>
    <t>Ord. 1A/00670  DEL 29.04.21</t>
  </si>
  <si>
    <t>ORD. 1660</t>
  </si>
  <si>
    <t>Caso N°179: Relojes de adicionales.</t>
  </si>
  <si>
    <t>Cámara de residuos</t>
  </si>
  <si>
    <t>MARQUESINA EDIFICIO E Y BARANDAS EXTERIORES</t>
  </si>
  <si>
    <t>Suministro y montaje campanas central de alimentación y lavavajillas</t>
  </si>
  <si>
    <t>Modificación de duchas en edificio NP</t>
  </si>
  <si>
    <t>Reparación aislación de ductos y cañerías red climatización</t>
  </si>
  <si>
    <t xml:space="preserve">Demolición pavimentos existentes calle Talhuén </t>
  </si>
  <si>
    <t>Caso N°145: Llamado enfermera sala de parto</t>
  </si>
  <si>
    <t>Desmontaje tabique aislado sector lavadoras Edificio Sur</t>
  </si>
  <si>
    <t>Modifica elevaciones cuerpo F</t>
  </si>
  <si>
    <t>Modificacion pavimentos existentes Ruta D-43</t>
  </si>
  <si>
    <t>Caso N°191: Cambio de lavamanos baños 2°piso sector A</t>
  </si>
  <si>
    <t>Griferia lavamanos clínico</t>
  </si>
  <si>
    <t>SALA CALDERA (Transformación de puerta metálica de bodega en tabique para acopiar biomasa)</t>
  </si>
  <si>
    <t>Escotilla acceso a cubierta en Edificio Surponiente</t>
  </si>
  <si>
    <t>Modificación escalera cuerpo F</t>
  </si>
  <si>
    <t>Cambio de cables para sujeción de equipos de iluminación</t>
  </si>
  <si>
    <t>Caso N°178: Celosia corredera en fachada norte piso mecanico</t>
  </si>
  <si>
    <t>Modificación viga 80x40 eje 17C y C1</t>
  </si>
  <si>
    <t>SE AGREGA LAVAMANOS EN SALA DE TURBIONES</t>
  </si>
  <si>
    <t>Nueva red de evacuacion de gases anestesicos para pabellones</t>
  </si>
  <si>
    <t>Caso N°168: "Closet adicionales sector pensionado y cuidados medios pediatricos"</t>
  </si>
  <si>
    <t>Junta de Dilatación recintos A1-42 y A1-45</t>
  </si>
  <si>
    <t>Intercambiadores de placa</t>
  </si>
  <si>
    <t>Ajustes Acceso Edificio Norte</t>
  </si>
  <si>
    <t>Modificación escalera 05 cuerpo E</t>
  </si>
  <si>
    <t>ENCHUFES CPI SALA DE RECUPERACION Y PREPARACION PACIENTES</t>
  </si>
  <si>
    <t>Planta de tratamiento</t>
  </si>
  <si>
    <t>Ord N°2472 27.09.2019</t>
  </si>
  <si>
    <t>Ord C4/N° 4995 del 20-11-19</t>
  </si>
  <si>
    <t>Cambio de compresor de aire dental, medicinal y flujometros ademas de la instalación de manifold de respaldo de aire medicinal</t>
  </si>
  <si>
    <t>Caso N°162: Porcelanato Adicional</t>
  </si>
  <si>
    <t>Incorporación  de mochetas en acceso urgencias</t>
  </si>
  <si>
    <t>Plataforma UMA Piso Mecánico</t>
  </si>
  <si>
    <t>VÁLVULAS DE SECTORIZACIÓN Y DESPICHE (Red de Calefacción)</t>
  </si>
  <si>
    <t>Ampliación Sala de Caldera Norponiente</t>
  </si>
  <si>
    <t>Disminución columna retráctil de gases para box reanimación</t>
  </si>
  <si>
    <t>ORD. 1187</t>
  </si>
  <si>
    <t>ORD. 3120</t>
  </si>
  <si>
    <t>Modificaciones ductos climatización 1</t>
  </si>
  <si>
    <t>Caso N°158: Puerta manifold de incendio</t>
  </si>
  <si>
    <t>Pintura intumicente sobre estructura metálica</t>
  </si>
  <si>
    <t>Modificación tablero general auxiliar</t>
  </si>
  <si>
    <t>Alimentación eléctrica PEAS n°04</t>
  </si>
  <si>
    <t>División de tableros eléctricos Disminución columna retráctil de gases para box reanimación</t>
  </si>
  <si>
    <t>ENCHUFES CPI QUIMIOTERAPIA</t>
  </si>
  <si>
    <t>Caso N°150: Solucion constructiva puente union B-C-1°piso</t>
  </si>
  <si>
    <t>Modificación proyecto sanitario</t>
  </si>
  <si>
    <t>ORD. 3020</t>
  </si>
  <si>
    <t>ORD. 4699</t>
  </si>
  <si>
    <t>Cámaras de canalización trinchera</t>
  </si>
  <si>
    <t>Rampa edificio G -  estanque agua potable</t>
  </si>
  <si>
    <t>Fachada ventilada (Aumento de área)</t>
  </si>
  <si>
    <t>Eliminación antepechos Norponiente</t>
  </si>
  <si>
    <t>Alimentación eléctrica PEAS n°01</t>
  </si>
  <si>
    <t>Cambio BPC por EPC</t>
  </si>
  <si>
    <t>NORMALIZACIÓN DE MUEBLES DEL PROYECTO</t>
  </si>
  <si>
    <t>nº 3432 05/12/2017</t>
  </si>
  <si>
    <t>C4 n° 4926  del 21.01.17</t>
  </si>
  <si>
    <t>Apertura de hueco para entrada grupo electrógeno</t>
  </si>
  <si>
    <t>Impermeabilizaciones</t>
  </si>
  <si>
    <t>Bombas BAC 1 y 1R</t>
  </si>
  <si>
    <t>Caso N°127: "Sobreexcavación drenes N°2, 3 y 4"</t>
  </si>
  <si>
    <t>Ord.  2333 del 14-12-2018</t>
  </si>
  <si>
    <t>Ord. 322 de fecha 23-01-2019</t>
  </si>
  <si>
    <t>Marco para lucarna (Costaneras)</t>
  </si>
  <si>
    <t>Nueva elevación eje NE-estructura</t>
  </si>
  <si>
    <t>Cambio de ducto de barra a cable</t>
  </si>
  <si>
    <t>Canaletas Imagenología</t>
  </si>
  <si>
    <t>Estructura estanque PEAS Nº 1</t>
  </si>
  <si>
    <t>LEVANTE DE ACCESO PASARELÑA PARA CAMIÓN DE BOMBEROS</t>
  </si>
  <si>
    <t>MODIFICACIÓN TABLERO RAYOS X (Modificación de conductores)</t>
  </si>
  <si>
    <t>Alimentación eléctrica estanque petróleo</t>
  </si>
  <si>
    <t>Modificación recinto Hemodiálisis</t>
  </si>
  <si>
    <t>Instalación de templadores cortafuego adicionales</t>
  </si>
  <si>
    <t>Cambio detectores de fugas para tableros de pabellones</t>
  </si>
  <si>
    <t>Modificaciones cumplimiento normativa jardines infantiles</t>
  </si>
  <si>
    <t>Muro Rampa Vehicular sector Sur-Poniente</t>
  </si>
  <si>
    <t>Nota de Cambio N° 10</t>
  </si>
  <si>
    <t>Adecuaciones 6 boxes gineco-obstetra ECA</t>
  </si>
  <si>
    <t xml:space="preserve">ARMADURA DE REPARTO ESTANQUE (Definición de enfierradura) </t>
  </si>
  <si>
    <t>Escalera Surponiente entre SP20 y SP22, reparación gradas y descansos ejecutados empresa anterior</t>
  </si>
  <si>
    <t>Modificación estructura piso mecánico, Edificio C</t>
  </si>
  <si>
    <t>ORD. 1646</t>
  </si>
  <si>
    <t>ORD. 3597</t>
  </si>
  <si>
    <t>Modificación de fitting para fancoil</t>
  </si>
  <si>
    <t>Monoriel Limpia fachada</t>
  </si>
  <si>
    <t>MODIFICACIONES ALEROS RDI 38 (Definición de enfierradura aleros)</t>
  </si>
  <si>
    <t>Perfiles de Aluminio en terminación de porcelanato de muros con puertas</t>
  </si>
  <si>
    <t>Suministro escotilla estanque de agua</t>
  </si>
  <si>
    <t>Aumento refuerzo instalaciones de muebles, artefactos y equipos</t>
  </si>
  <si>
    <t>DESCARGAS ADICIONALES EN LABORATORIO</t>
  </si>
  <si>
    <t>Modificaciones proyecto GLP</t>
  </si>
  <si>
    <t>Modificacion instalaciones dialisis</t>
  </si>
  <si>
    <t>Ord. 2330 del 14-12-2018</t>
  </si>
  <si>
    <t>Ord. 3173 de fecha 09-07-2019</t>
  </si>
  <si>
    <t>MODIFICACIONES PARALELISMO (Atravieso aéreo e instalación de cámaras en atravieso subterráneo)</t>
  </si>
  <si>
    <t>ENCUENTRO TABIQUES PLEGABLES CON VENTANAS</t>
  </si>
  <si>
    <t>Ord. 1A/00595  DEL 22.04.21</t>
  </si>
  <si>
    <t>ORD. 1659</t>
  </si>
  <si>
    <t>Reubicación de redes AP Ovalle - Ruta D-43</t>
  </si>
  <si>
    <t>ORD 1A 1586 del 06-11-2017</t>
  </si>
  <si>
    <t>ORD. C4 /4467,  20-11-2017</t>
  </si>
  <si>
    <t>Voceo</t>
  </si>
  <si>
    <t>MODIFICACIÓN PROYECTO DE AGOTAMIENTO DE NAPAS</t>
  </si>
  <si>
    <t>Pabellón especialidad electricidad</t>
  </si>
  <si>
    <t>MODIFICACION RECORRIDO CAÑERIA CLIMATIZACION PISO MECANICO</t>
  </si>
  <si>
    <t>Escotillas Palancas, pasarelas, gateras exteriores e interiores no contempladas en proyecto licitado</t>
  </si>
  <si>
    <t>Letrero fachada</t>
  </si>
  <si>
    <t>Modificación tabique recinto A1-076 FOI 534</t>
  </si>
  <si>
    <t>Tablero Bombas agua lluvias SIC 49</t>
  </si>
  <si>
    <t>Modificación de puertas de madera Tipo P1 y P2 a fenólicas</t>
  </si>
  <si>
    <t>Solución de evacuación de aguas lluvias y condensados de UMAS en pisos mecánicos</t>
  </si>
  <si>
    <t>EXTENSION MURO CORTAFUEGO CAJA ESCALA PISO MECANICO</t>
  </si>
  <si>
    <t>Caso Nº155: "Estructura Auxiliar Fachada ventilada Frontón Norte-Sur"</t>
  </si>
  <si>
    <t>MEJORA DE DISEÑO MD87 CECOSAM-HOSPITAL DE DIA SALUD MENTAL , MODULO L PRIMER PISO</t>
  </si>
  <si>
    <t>nº 0298 09/02/2018</t>
  </si>
  <si>
    <t xml:space="preserve">
C4 n° 4926del 21.12.17</t>
  </si>
  <si>
    <t>CIELOS ZÓCALO C (Modificaciones y Complementos en materialidad)</t>
  </si>
  <si>
    <t>Instalación de ventanas que impiden acceso al vacío HD en subterráneo, primer, segundo y tercer piso</t>
  </si>
  <si>
    <t>Solución estructural para desaplome de MC25 sección 4-4;5-5</t>
  </si>
  <si>
    <t>Antepechos pasillo conexión SP-P  y NP-P</t>
  </si>
  <si>
    <t>TENSORES SEGUNDO NIVEL  ADMINISTRACION</t>
  </si>
  <si>
    <t>Caso Nº137: "Modificación reja psiquiatría" 
Caso Nº138: "EEMM adicional parrones P03 y P04"</t>
  </si>
  <si>
    <t>RDI 261 Aguas Lluvias edificio D.</t>
  </si>
  <si>
    <t>ORD. 1205 del 13.07.21</t>
  </si>
  <si>
    <t>ORD.4228</t>
  </si>
  <si>
    <t>TÍMPANOS DE FACHADA ESTRUCTURA METÁLICA (Estructura de soporte en algunas áreas de fachada ventilada)</t>
  </si>
  <si>
    <t>Construcción murete de contención en estacionamientos de alta complejidad</t>
  </si>
  <si>
    <t>Refuerzo de lámpara pabellones edificio B</t>
  </si>
  <si>
    <t>Cambio especificación cielos</t>
  </si>
  <si>
    <t>CUBICACIONES MD86 SALA CUNA</t>
  </si>
  <si>
    <t>Camara de rejas FOI 309 Informe ITO N°  01-2021</t>
  </si>
  <si>
    <t>ORD.2426</t>
  </si>
  <si>
    <t>Tablero clima sala de caldera (Tablero de control)</t>
  </si>
  <si>
    <t>Vigas reticuladas para apoyo de ventanas y baranda pasarela HD-Oriente/recrecido hormigón HD-Poniente</t>
  </si>
  <si>
    <t>Revestimiento exterior de casetas de guardias</t>
  </si>
  <si>
    <t>Incorporación de Breaker motorizado adicinal para el sistema de transferencia autormatica</t>
  </si>
  <si>
    <t>Caso Nº125: "Ventilación recintos aislados"</t>
  </si>
  <si>
    <t>Funcionalidad unidad anatomía patológica</t>
  </si>
  <si>
    <t>DISMINUCION ITEM 13.6 DIARIO MURAL - FICHERO/ PIZARRA BLANCA</t>
  </si>
  <si>
    <t>Estructura obra gruesa - Enfierradura  metálica  refuerzo de viga VSI 100</t>
  </si>
  <si>
    <t>Tapado con hormigón de las ventanas de las escaleras, incluido el retiro de ventanas</t>
  </si>
  <si>
    <t>Solución de cubierta en estructura metálica para descargas y tomas de aires de equipos de climatización</t>
  </si>
  <si>
    <t>SE AGREGA LAVATORIO MEDICO Y BOTAGUAS RECINTO -2013</t>
  </si>
  <si>
    <t>suministro y montaje de sistema de equilibrado hidráulico proyecto de clima</t>
  </si>
  <si>
    <t>ORD. 1A /1262 SSC 06-09-2017</t>
  </si>
  <si>
    <t>ORD. C4 /3370, 21-09-2017</t>
  </si>
  <si>
    <t>Instalaciones Sanitarias</t>
  </si>
  <si>
    <t>SUMINISTRO E INSTALACION EQUIPO SPLIT MURO, 24000 BTU EN CAPILLA</t>
  </si>
  <si>
    <t>Alimentación eléctrica sala vacío medicinal</t>
  </si>
  <si>
    <t>Reemplazo de bandejas termioesmaltadas por escalerillas reforzadas galvanizadas en caliente</t>
  </si>
  <si>
    <t>Modificación Módulo G Zona 2</t>
  </si>
  <si>
    <t>Modificación corrientes débiles</t>
  </si>
  <si>
    <t>Estructura obra gruesa RDI 254 A</t>
  </si>
  <si>
    <t>ESCALERILLA (Fibra óptica desde sala CCDD a edificios A, B y C)</t>
  </si>
  <si>
    <t>Alimentación eléctrica PEALL n°02</t>
  </si>
  <si>
    <t>SE REUBICA LAVATORIO RECINTO 2122</t>
  </si>
  <si>
    <t>Modificación Módulo G Zona 1</t>
  </si>
  <si>
    <t>Caso 101 "Cambio de solución de cubierta"</t>
  </si>
  <si>
    <t>Estructura obra gruesa - Enfierradura  de cámaras especiales.</t>
  </si>
  <si>
    <t>Reparación cámaras de alcantarillado existente</t>
  </si>
  <si>
    <t>Alimentación electrica Sentina</t>
  </si>
  <si>
    <t>SE AGREGA DUCHA TELEFONO, CAMBIO DE DIAMETRO,  ETC.. RECINTOS  2026 -2107</t>
  </si>
  <si>
    <t>Pasadas fancoils en muros con testigueras</t>
  </si>
  <si>
    <t>Solución integral eficiencia energética</t>
  </si>
  <si>
    <t>REVESTIMENTO ANTIACIDO EN CANALETAS</t>
  </si>
  <si>
    <t>Rejas de protección de ventanas en subterráneo SP</t>
  </si>
  <si>
    <t>Luminarias (Aumento de equipos)</t>
  </si>
  <si>
    <t>Modificación puntos de datos Edificio Sur</t>
  </si>
  <si>
    <t>Alimentación eléctrica PEAS n°03</t>
  </si>
  <si>
    <t>EXTENCIÓN DE TABIQUES  RECINTOS 1066-1082</t>
  </si>
  <si>
    <t>Estanque de petróleo Nº3 adicional</t>
  </si>
  <si>
    <t>Cambio de materialidad de tabiques</t>
  </si>
  <si>
    <t xml:space="preserve">FLANCHE PATA LAMPARAS QUIRURGICAS </t>
  </si>
  <si>
    <t>Alimentación eléctrica PEAS n°02</t>
  </si>
  <si>
    <t>1.12</t>
  </si>
  <si>
    <t>Sala de Hospitalización</t>
  </si>
  <si>
    <t>Excavación MC-25 sección 4-4 y 5-5 para evaluar desplome</t>
  </si>
  <si>
    <t xml:space="preserve">ENCUENTRO DE TABIQUE CON VIDRIO VENTANAS </t>
  </si>
  <si>
    <t>Sobre escotillas de ascensores</t>
  </si>
  <si>
    <t>Nueva red secundaria de fibra óptica diversos recintos</t>
  </si>
  <si>
    <t xml:space="preserve">Circuito refrigeracion sala tecnica resonador </t>
  </si>
  <si>
    <t>DISMINUCION MUEBLES</t>
  </si>
  <si>
    <t>Tablero de climatización (Se integra segundo tablero)</t>
  </si>
  <si>
    <t>Construcción de pasarela de HD a cubierta del Sur</t>
  </si>
  <si>
    <t>CANTERIAS FACHADA PATIO INTERIOR</t>
  </si>
  <si>
    <t>Modificación serigrafía interior y exterior edificios EH5-EI</t>
  </si>
  <si>
    <t>Unión de ventana desfasadas con tabiques</t>
  </si>
  <si>
    <t>Caso N°129: Sistema climatización por fan-coil imagenología</t>
  </si>
  <si>
    <t>TOMAS DE GASES CLINICOS SECTOR UTI MODULO F</t>
  </si>
  <si>
    <t>Casa médico y funcionario (Cambio de conductores eléctricos en tableros  TDA)</t>
  </si>
  <si>
    <t>Modificación de mesón de acero inoxidable por mesón de acero inoxidable modular</t>
  </si>
  <si>
    <t>Suministro e instalación de Puertas de madera manifold sprinklers y marco de acero , Edificio Sur y HD</t>
  </si>
  <si>
    <t>Acceso provisorio estaque agua potable existente  ET</t>
  </si>
  <si>
    <t>MODIFICACION TERMINACIONES RECINTOS 2160, 2161, 2162</t>
  </si>
  <si>
    <t>lucarnas en losas superiores de Edificios D,H e I</t>
  </si>
  <si>
    <t>Caso N°128: Modificación climatización Segundo piso 
Caso Nº153: Climatización casa de acogida</t>
  </si>
  <si>
    <t>Cambio ubicación sala Tics</t>
  </si>
  <si>
    <t>CONECTORES ALBAÑILERIA EDIFICIO DE CELDAS</t>
  </si>
  <si>
    <t>Caso N°120: Artefactos adicionales</t>
  </si>
  <si>
    <t xml:space="preserve">PINTURA MATA POLVO ENTRETECHO MECANICO </t>
  </si>
  <si>
    <t>Nota de cambio RDI 245 -A 154 -C</t>
  </si>
  <si>
    <t>Reconstrucción de escalera Edificio Oriente, Sur y Poniente</t>
  </si>
  <si>
    <t>Pileta sala de caldera (Se integra)</t>
  </si>
  <si>
    <t>Caso N°119: Cambio de revestimiento en muros y tabiques Salas de Aseo</t>
  </si>
  <si>
    <t>DISMINUCION AISLAMIENTO ACUSTICO</t>
  </si>
  <si>
    <t>Red Inerte (Se integra)</t>
  </si>
  <si>
    <t>Obras adicionales  Subestación Eléctrica</t>
  </si>
  <si>
    <t>Refuerzo alternativo de ventana</t>
  </si>
  <si>
    <t>Actualización Sala de Kitchenettes. (Ventanas)</t>
  </si>
  <si>
    <t>MODIFICACION EXTRACCION E INYECCION AIRE EN RECINTOS</t>
  </si>
  <si>
    <t>modificación ductos cubierta 3° piso Edificio A</t>
  </si>
  <si>
    <t>Pasadas adicionales</t>
  </si>
  <si>
    <t xml:space="preserve">Cota nivel de patios RDI </t>
  </si>
  <si>
    <t>Celosías metálicas (Modificación Proyecto)</t>
  </si>
  <si>
    <t>Reubicación de Servicio Sanitario y Agua</t>
  </si>
  <si>
    <t>MODIFICACION RECINTO RECEPCION Y MESON FARMACIA (cod. 1224)</t>
  </si>
  <si>
    <t>versión definitiva proyecto mobiliario adosado</t>
  </si>
  <si>
    <t>Modificación especialiad protección contra incendios</t>
  </si>
  <si>
    <t>MEDIDOR DE 80 mm</t>
  </si>
  <si>
    <t>ACOMETIDAS DE INST. BAS.  Y DESCARGA DE ALCANTARILLADO 3° PISO</t>
  </si>
  <si>
    <t>Cierro perimetral (Disminución Parcialidad)</t>
  </si>
  <si>
    <t>Modificación EEMM escala Edificio C</t>
  </si>
  <si>
    <t>DUCHA LAVAOJOS EN HEMODIALISIS</t>
  </si>
  <si>
    <t>muros de protección postación CONAFE</t>
  </si>
  <si>
    <t>Caso 106: Detalle pedestal Casa Acogida</t>
  </si>
  <si>
    <t>Desmontaje de ductos y equipos en edificio norte</t>
  </si>
  <si>
    <t>SEÑALIZACION VIAL</t>
  </si>
  <si>
    <t>Pavimentación interior (Modificación Proyecto)</t>
  </si>
  <si>
    <t>Rampas en piso mecánico</t>
  </si>
  <si>
    <t>SE REUBICAN 11 LAVAMANOS EN BOX PSIQUIATRIA</t>
  </si>
  <si>
    <t>Caso 105: Sobrelosa Adicional por cambio de pavimentos</t>
  </si>
  <si>
    <t>BARRERAS DE PROTECCION PARA BARANDAS</t>
  </si>
  <si>
    <t>Nota de cambio RDI 154 -C</t>
  </si>
  <si>
    <t>Paradero (Se integra paradero interior)</t>
  </si>
  <si>
    <t>Placa base PM1 400</t>
  </si>
  <si>
    <t>TERMINACIONES SALA DE TURBIONES</t>
  </si>
  <si>
    <t>Ord. 1A/01805  DEL 04.12.20</t>
  </si>
  <si>
    <t>ORD. 215</t>
  </si>
  <si>
    <t>Impermeabilización bajo pavimentos extras</t>
  </si>
  <si>
    <t>7.14.2</t>
  </si>
  <si>
    <t>Cambio de estaciones correo neumático</t>
  </si>
  <si>
    <t>Grupos generadores</t>
  </si>
  <si>
    <t>2.23</t>
  </si>
  <si>
    <t>Eliminar shafts B7, B8 y B9 en edificio B</t>
  </si>
  <si>
    <t>Acometida CCDD</t>
  </si>
  <si>
    <t>Construcción escaleras Edificios Surponiente y Norponiente</t>
  </si>
  <si>
    <t>Incorporación de Unidad de Hemodinamia en Etapa de Diseño</t>
  </si>
  <si>
    <t>Modificación pasadas en losas EH5</t>
  </si>
  <si>
    <t>VIGAS DE REFUERZO LOSA EDIFICIO PATRIMONIAL</t>
  </si>
  <si>
    <t>Desarme de instalacion existente y desconexiones MT y BT (Electricidad y CCDD)</t>
  </si>
  <si>
    <t>solución definitiva de puertas correderas servicios higiénicos</t>
  </si>
  <si>
    <t>Caso 64: Estructura metalicas ascensores</t>
  </si>
  <si>
    <t>SANEAMENTO DE PAVIMENTO EN JARDINERAS QUE SE ELIMINARON</t>
  </si>
  <si>
    <t>Radiofrecuencia (Modificación Proyecto Telecomunicaciones)</t>
  </si>
  <si>
    <t>Box Dental.</t>
  </si>
  <si>
    <t>Modificación obra gruesa cuerpo G</t>
  </si>
  <si>
    <t>Refuerzo dintel Edificio D-F-G-I 2° y 3° nivel</t>
  </si>
  <si>
    <t>MOD MATERIAL CANALIZACION  DE EMT A CAG ED PATRIMONIAL</t>
  </si>
  <si>
    <t>incremento viga coronación y baranda peatonal sobre muro TEM</t>
  </si>
  <si>
    <t>Casos 94-102-123-124-143-144, especialidad CCTV</t>
  </si>
  <si>
    <t>Modificación proyecto de diálisis y agua usos clínicos</t>
  </si>
  <si>
    <t>MUDADORES</t>
  </si>
  <si>
    <t>Reparación no indicada de muros existentes Edificio Sur</t>
  </si>
  <si>
    <t>Sala de estar A103 A109 (Modificaciones especialidad eléctrica)</t>
  </si>
  <si>
    <t>Modificación obras civiles, piso mecánico Edificio E</t>
  </si>
  <si>
    <t>Terminaciones sala ecuménica</t>
  </si>
  <si>
    <t>DEMOLICION LOSA PATRIMONIAL</t>
  </si>
  <si>
    <t>modificación insonorización sala eléctrica</t>
  </si>
  <si>
    <t>1.7</t>
  </si>
  <si>
    <t>Sala de Urgencia</t>
  </si>
  <si>
    <t>Modificación Puertas en Hall Edificio Norte</t>
  </si>
  <si>
    <t>Caso 54: Barandas adicionales.</t>
  </si>
  <si>
    <t>PUERTAS ACCESO MODULO D - PUERTAS PLOMADAS RAYOS X, Y MAMOGRAFIA</t>
  </si>
  <si>
    <t>Mejoramiento Pasillo Exterior Edificio Sur.</t>
  </si>
  <si>
    <t>Descarga aguas lluvias Edificio C</t>
  </si>
  <si>
    <t>TOMA DE GASES RECINTO -2061</t>
  </si>
  <si>
    <t>Recercado de ACM en ventanas pasillo de conexión EH5 - ET</t>
  </si>
  <si>
    <t>nuevos arranques de aire comprimido para recintos de lavandería y SEDILE.</t>
  </si>
  <si>
    <t>Caso 114: Refuerzo de losa para equipos, Sala de calderas
Caso 111: Estructura Metalica Escenario
Caso 117: EIFS en salas mecanicas</t>
  </si>
  <si>
    <t>REPISAS EN RECINTO DE ASEO</t>
  </si>
  <si>
    <t>Nuevas vigas Edificio  C</t>
  </si>
  <si>
    <t>TOMA DE GASES RECINTO 1004</t>
  </si>
  <si>
    <t xml:space="preserve">Caso 104: Cambio revestimiento muros salas de hospitalización. </t>
  </si>
  <si>
    <t>Modificaciones en instalaciones eléctrica y CCDD por funcionalidad en recinto C118</t>
  </si>
  <si>
    <t>ORD. 1041</t>
  </si>
  <si>
    <t>ORD. 1050</t>
  </si>
  <si>
    <t>Enfierradura caja escala 02 Edificio C</t>
  </si>
  <si>
    <t>Puertas cortafuego para registro de templadores en shaft 1° piso Edificio A-C</t>
  </si>
  <si>
    <t>LAVAMANOS Y BOTAGUA RECINTO 1106</t>
  </si>
  <si>
    <t>PERSIANAS</t>
  </si>
  <si>
    <t>Modificaciones en instalación eléctrica por funcionalidad en recintoC117</t>
  </si>
  <si>
    <t>Diferencias de alcantarillado Edificio Sur</t>
  </si>
  <si>
    <t>Instalaciones adicionales TLOF Helipuerto</t>
  </si>
  <si>
    <t>Modificación PEAS 03</t>
  </si>
  <si>
    <t>Solución tabique 3°nivel Edificio J eje 16 entre E-F</t>
  </si>
  <si>
    <t>LAVAMANOS Y BOTAGUA RECINTO 1133</t>
  </si>
  <si>
    <t>Modificación cubierta puente centro y norte</t>
  </si>
  <si>
    <t xml:space="preserve">Puntos de datos adicionales Red MINSAL y Red de imagenología y puntos eléctricos, puntos de datos y puntos de llamado de enfermeras para dar funcionalidad en recintos del Edificio A. </t>
  </si>
  <si>
    <t>Modificaciones Instalaciones CAE</t>
  </si>
  <si>
    <t>EXTENCION DE COLECTOR PUBLICO</t>
  </si>
  <si>
    <t>Modificaciones en instalación eléctrica por funcionalidad en recinto C116</t>
  </si>
  <si>
    <t>Trabajos de ajuste en vanos y muros para la instalación de puertas correderas en UEPI</t>
  </si>
  <si>
    <t>Modificación túnel FC</t>
  </si>
  <si>
    <t>MODIFICACION SANITARIA SALA DE TURBIONES</t>
  </si>
  <si>
    <t>canalización y cableado de fuerza para equipos TAI</t>
  </si>
  <si>
    <t>Modificación en instalación eléctrica por funcionalidad en recinto C115</t>
  </si>
  <si>
    <t>Pilar puente cielo zócalo</t>
  </si>
  <si>
    <t>Modificación revestimiento pilar curvo, 1° piso sector EH5</t>
  </si>
  <si>
    <t>Cambio de densidad de poliestireno en pisos mecánicos.</t>
  </si>
  <si>
    <t>Aumento box odontologico</t>
  </si>
  <si>
    <t>MUEBLES</t>
  </si>
  <si>
    <t>Modificación en instalación eléctrica , sanitaria, CCDD, mobiliario por funcionalidad en recinto C114</t>
  </si>
  <si>
    <t>Modificación pilar P3A, Edificio C</t>
  </si>
  <si>
    <t>Cierre de vanos en eje 3 estanque de agua</t>
  </si>
  <si>
    <t>MODIFICACION BOX 1088</t>
  </si>
  <si>
    <t>Modificación columna de poder sala  UTI y recuperación quirúrgica</t>
  </si>
  <si>
    <t>variaciones en proyecto de cálculo originadas por las respuestas a las RDI 118, 145, 176, 193, 194, 195, 197, 198, 214, 222, 274, 277 y 375.</t>
  </si>
  <si>
    <t xml:space="preserve">Modificaciones psiquiatria </t>
  </si>
  <si>
    <t>Modificaciones en instalación eléctrica por funcionalidad en recinto C112</t>
  </si>
  <si>
    <t>Armadura losa fundación Edificio E</t>
  </si>
  <si>
    <t>MODIFICACION OFICINA SOME 3ER SUBTERRANEO</t>
  </si>
  <si>
    <t>Modificación arquitectura Sector B primer piso</t>
  </si>
  <si>
    <t>Ord. 1237 del 26-06-2018</t>
  </si>
  <si>
    <t>Ord. 3256 de fecha 22-07-2019</t>
  </si>
  <si>
    <t>PASILLO ENTRE MODULO I-K-L PRIMER PISO</t>
  </si>
  <si>
    <t>Modificaciones en instalación eléctrica por funcionalidad en recinto C110</t>
  </si>
  <si>
    <t>Nota de cambio- Requerimiento de costaneras adicionales Edificio D-F</t>
  </si>
  <si>
    <t>REVESTIMIENTO PLOMO SALA PABELLONES</t>
  </si>
  <si>
    <t>Modificación arquitectura Sector B segundo piso</t>
  </si>
  <si>
    <t>Modificación elevación eje E2 y D2, Edificio F</t>
  </si>
  <si>
    <t>Modificación para equipos fancoil según memo 86-2019</t>
  </si>
  <si>
    <t>Modificación arquitectura Sector D-E primer piso</t>
  </si>
  <si>
    <t>DISMINUCION CENTRAL TELEFONICA</t>
  </si>
  <si>
    <t>Modificaciones en mobiliario, Instalación CCDD, instalación sanitaria por funcionalidad en recinto  C105b</t>
  </si>
  <si>
    <t>Modificación sobre altura de porcelanatos muros en central de alimentación</t>
  </si>
  <si>
    <t>Modificación elevación eje 17C, Edificio E.</t>
  </si>
  <si>
    <t>Cambio de pinturas rn puertas de madera</t>
  </si>
  <si>
    <t>Trincheras y piso acero desplegado tipo P8 en Edificio K</t>
  </si>
  <si>
    <t>incorporación de escalera hormigón armado muro TEM</t>
  </si>
  <si>
    <t>Modificación arquitectura Sector G piso zócalo</t>
  </si>
  <si>
    <t>Demolición Elementos de Hormigón no contemplados Edificio Norte</t>
  </si>
  <si>
    <t>Baliza de aviso modulo G</t>
  </si>
  <si>
    <t>Modificaciones en instalación sanitaria por funcionalidad en recinto C104</t>
  </si>
  <si>
    <t>Disminución de elemento ornamental metálico revestido en permanit</t>
  </si>
  <si>
    <t>Modificación cielo aislación Edificio E</t>
  </si>
  <si>
    <t>Fundación para postes de luminaria exterior</t>
  </si>
  <si>
    <t>MODIFICACION RECINTO BODEGA ACTIVA</t>
  </si>
  <si>
    <t>Caso Nº17: "Modificación plano 13-180-PL-CAL-605: Depósito de Bodega Pellet"</t>
  </si>
  <si>
    <t>Ord. 3329 de fecha 02-08-2018</t>
  </si>
  <si>
    <t>DESPLAZAMIENTO PUNTO DE DATOS POR FUNCIONALIDAD EN RECINTO C009</t>
  </si>
  <si>
    <t>6 Coquimbo</t>
  </si>
  <si>
    <t>AUMENTO PUNTOS DE DATOS Y ELECTRICOS</t>
  </si>
  <si>
    <t>PROYECTOS SERVIU DE AGUAS LLUVIAS "HOSPITAL DE OVALLE"</t>
  </si>
  <si>
    <t>Modificación arquitectura Sector C Tecer Piso</t>
  </si>
  <si>
    <t>Patio techado modulo E</t>
  </si>
  <si>
    <t>Desplazamiento punto de datos por funcionalidad en recinto C008</t>
  </si>
  <si>
    <t>Cielos falsos subterráneo Edificio Sur</t>
  </si>
  <si>
    <t xml:space="preserve">CIERRE RECINTOS RECEPCION </t>
  </si>
  <si>
    <t>ORD. 214</t>
  </si>
  <si>
    <t>Modificación arquitectura Sector B Tecer Piso</t>
  </si>
  <si>
    <t>Modificaciones en instalación CCDD por funcionalidad en recinto C006</t>
  </si>
  <si>
    <t>Obra gruesa dos torreones Edificio Sur Poniente</t>
  </si>
  <si>
    <t>LOSA BALCON PANOPTICO</t>
  </si>
  <si>
    <t>Ord. 1A/01163  DEL 24.07.20</t>
  </si>
  <si>
    <t>C4 N° 2854 del 17-09-20</t>
  </si>
  <si>
    <t>Modificación arquitectura Sector C Segundo Piso</t>
  </si>
  <si>
    <t>Modificación al Proyecto de Señalética</t>
  </si>
  <si>
    <t>Patio juegos infantiles</t>
  </si>
  <si>
    <t>CAMBIO CORREO NEUMATICO</t>
  </si>
  <si>
    <t>NORMALIZACIÓN HOSPITAL DR. MAURICIO HEYERMANN TORRES, ANGOL</t>
  </si>
  <si>
    <t>Caso N°1: Modificación empalmes de armadura en pausas de hormigonado en losa de fundación</t>
  </si>
  <si>
    <t>Ord. 225 del 02-02-18</t>
  </si>
  <si>
    <t>Ord.1240 de fecha 09-03-2018</t>
  </si>
  <si>
    <t>Modificación arquitectura Sector F-G Segundo Piso</t>
  </si>
  <si>
    <t>MD56 CASINO, MODULO K 2° PISO</t>
  </si>
  <si>
    <t>Desplazamiento punto de datos por funcionalidad en recintoC004</t>
  </si>
  <si>
    <t>Drenes adicionales para aguas lluvias de Proyecto de Pavimentación, Sector Poniente</t>
  </si>
  <si>
    <t>Refuerzo MC5B, diferencia de cota en Edificio E y B.</t>
  </si>
  <si>
    <t>mejoras y ajustes al proyecto sanitario interior (Actualización Proyecto Sanitario N°2).</t>
  </si>
  <si>
    <t>Modificación arquitectura Sector D-E Segundo Piso</t>
  </si>
  <si>
    <t>2.06</t>
  </si>
  <si>
    <t>Incremento pilares y tipo de hormigón</t>
  </si>
  <si>
    <t>MD55. CENTRAL DE ALIMENTACION MODULO J 2° PISO</t>
  </si>
  <si>
    <t>Modificación en instalación eléctrica y CCDD por funcionalidad en recinto C003</t>
  </si>
  <si>
    <t>REFUERZO TARIMA AUDITORIO</t>
  </si>
  <si>
    <t>Variaciones en proyecto de cálculo originadas por las respuestas a las RDI 305, 348, 349 y 351</t>
  </si>
  <si>
    <t>Modificación arquitectura Sector A Segundo Piso</t>
  </si>
  <si>
    <t>MD54, SEDILE MODULO J 2° PISO</t>
  </si>
  <si>
    <t>Desplazamiento punto de datos por funcionalidad en recinto  B215</t>
  </si>
  <si>
    <t xml:space="preserve">Demolición  de torreón y escaleras del Edificio Surponiente </t>
  </si>
  <si>
    <t>ORD.1703</t>
  </si>
  <si>
    <t>ORD. 5269</t>
  </si>
  <si>
    <t>Acero fundación puente norte</t>
  </si>
  <si>
    <t>CIERRE RECINTOS TABIQUE VIDRIADO</t>
  </si>
  <si>
    <t>Accesibilidad Universal</t>
  </si>
  <si>
    <t>Incremento de sobrelosa Edificio C Piso Mecánico</t>
  </si>
  <si>
    <t>Modificación arquitectura Sector A Tecer Piso</t>
  </si>
  <si>
    <t>MD53 CENTRAL DE ESTERILIZACION, MODULO G 2° PISO</t>
  </si>
  <si>
    <t>Modificación en instalación eléctrica por funcionalidad en recinto B11b</t>
  </si>
  <si>
    <t>Cambio de Salas de Calderas sur</t>
  </si>
  <si>
    <t>Solución de estructura metálica para cubierta en sala cuna</t>
  </si>
  <si>
    <t>Generación de nuevo empalme eléctrico</t>
  </si>
  <si>
    <t>Variaciones en proyecto de cálculo originadas por las respuestas a las RDI 218, 238, 247, 259, 262, 279, 300, 328, 329, 330 y 331</t>
  </si>
  <si>
    <t>ORD. 1A /0226 SSC 09-02-2017</t>
  </si>
  <si>
    <t>ORD. C4 /1052, 24-03-2017</t>
  </si>
  <si>
    <t>Modificación arquitectura primer piso sector H-J</t>
  </si>
  <si>
    <t>Modificaciones en instalación eléctrica por funcionalidad en recinto B207</t>
  </si>
  <si>
    <t>CALCULO PASILLO, PASILLO DE COMUNICACIÓN ET-EH5</t>
  </si>
  <si>
    <t>Sistema de Control sala de bomba agua potable</t>
  </si>
  <si>
    <t>MODIFICACION PAVIMENTOS SECTOR BODEGA</t>
  </si>
  <si>
    <t>Adquisición e Instalación de nuevas CPI en salas UPC</t>
  </si>
  <si>
    <t xml:space="preserve">Dispensador de jabón y dispensador de papel </t>
  </si>
  <si>
    <t>MD51 - IMAGENOLOGIA MODULO B PRIMER PISO</t>
  </si>
  <si>
    <t>Modificaciones en  CCDD por funcionalidad en recinto B205</t>
  </si>
  <si>
    <t>Cambio de Sala de Caldera Surponiente</t>
  </si>
  <si>
    <t>Cambio especificación de puertas cortafuegos RF-20 a RF-30 en puertas PC-3 (PM5)</t>
  </si>
  <si>
    <t>MODIFICACION RECINTO RECEPCION SOME</t>
  </si>
  <si>
    <t>Ajuste Paisajismo Ficha FP38</t>
  </si>
  <si>
    <t>Incremento de sobrelosa Edificios A,B,E y G en piso mecánico</t>
  </si>
  <si>
    <t>2.17</t>
  </si>
  <si>
    <t>Modificación estructura metálica del alero del helipuerto</t>
  </si>
  <si>
    <t>Modificación arquitectura Sector A piso Zócalo</t>
  </si>
  <si>
    <t>MD 49, LAVANDERIA MODULO J SUBTERRANEO</t>
  </si>
  <si>
    <t>NUEVO TABLERO DE ALUMBRADO TDFA Y COMP "PMEI" FICHA N°785-1</t>
  </si>
  <si>
    <t>Modificaciones en instalación eléctrica por funcionalidad en recintoB127</t>
  </si>
  <si>
    <t>Modificación de baños de vestidores recintos S-012 y S-015, subterráneo, Edificio Sur</t>
  </si>
  <si>
    <t>Refuerzo dintel acceso urgencia Edificio M y refuerzo ventanas puente 5 ejes I-J/16-17</t>
  </si>
  <si>
    <t>DESARME VIGA CONEXIÓN ED PATRIMONIAL EJE Z2</t>
  </si>
  <si>
    <t>SUMINISTRO E INSTALACIÓN DE EQUIPOS DE MEDIDA EN TABLERO GENERAL N°3</t>
  </si>
  <si>
    <t>Modificaciones en sector de estacionamiento ambulancia y exteriores del Edificio Nororiente y oriente</t>
  </si>
  <si>
    <t xml:space="preserve"> ORD.1269 </t>
  </si>
  <si>
    <t>ORD.4095</t>
  </si>
  <si>
    <t>Modificación arquitectura Sector H-I piso Zócalo</t>
  </si>
  <si>
    <t>MD48 Farmacia atención abierta y Farmacia atención cerrada, Módulos D y K</t>
  </si>
  <si>
    <t>Modificaciones en instalacíon eléctrica por funcionalidad en recinto B216</t>
  </si>
  <si>
    <t>INCORPORACION ROCIADORES</t>
  </si>
  <si>
    <t xml:space="preserve">Incremento de sobrelosa Estanque Edificio L </t>
  </si>
  <si>
    <t>Modificación arquitectura zocalo Sector C</t>
  </si>
  <si>
    <t>MD47, Policlínico especialidades medicas, 2° piso modulo C</t>
  </si>
  <si>
    <t>1.17</t>
  </si>
  <si>
    <t>Sala SEDILE</t>
  </si>
  <si>
    <t>Modificacion en instalacion electrica por funcionalidad en recinto hall instalaciones</t>
  </si>
  <si>
    <t>Demolición, recrecido y construcción de pilares no contemplados en Edificio Norponiente</t>
  </si>
  <si>
    <t>Enfierradura refuerzo en junta de retracción Edificio B</t>
  </si>
  <si>
    <t>CAMBIO CANALIZACION EDIFICIO PANOPTICO</t>
  </si>
  <si>
    <t>SUMINISTRO E INSTALACIÓN DE EQUIPOS DE MEDIDA EN TABLEROS DE DISTRIBUCIÓN DE FUERZA</t>
  </si>
  <si>
    <t>Modificación arquitectura Zócalo Sector B" y Caso Nº71: "Modificación especialidades Sala Cuna"</t>
  </si>
  <si>
    <t>Cambio de materialidad de estructuración de edificio de contingencia.</t>
  </si>
  <si>
    <t>61 días</t>
  </si>
  <si>
    <t>ORD. 5493</t>
  </si>
  <si>
    <t>ORD. 794</t>
  </si>
  <si>
    <t>MD-46 Policlínico, modulo C primer piso</t>
  </si>
  <si>
    <t>Modificación obras civiles estanque Petroleo</t>
  </si>
  <si>
    <t>Ord. 0883 del 15.04.21 SSAS</t>
  </si>
  <si>
    <t>ORD. 1668</t>
  </si>
  <si>
    <t>Ejecución de mejoramiento de fundaciones y muro de hormigón armado en Edificio Sur</t>
  </si>
  <si>
    <t>Aguas lluvias cafetería CAAAC</t>
  </si>
  <si>
    <t>Radier y canaleta de derrame en Edificio N</t>
  </si>
  <si>
    <t>Incorporación equipos VRV en salas eléctricas Edificio EH5</t>
  </si>
  <si>
    <t xml:space="preserve">MODIFICACION LUMINARIAS EMBUTIDAS CELDAS </t>
  </si>
  <si>
    <t>REFUERZOS TABIQUES VIDRIADOS</t>
  </si>
  <si>
    <t>Adecuación y cambio de trazados en pavimentos Etapa 1</t>
  </si>
  <si>
    <t>Caso Nº61: "Estructura cubierta vidriada Zócalo"</t>
  </si>
  <si>
    <t>Modificaciones en instalacion electrica y CCDD por funcionalidad en recinto B216</t>
  </si>
  <si>
    <t>Instalación de válvulas de corte para líneas HDPE exterior red incendio</t>
  </si>
  <si>
    <t>Colector aguas lluvias muro contención sector comodato</t>
  </si>
  <si>
    <t>DISMINUCION AISLACION CIELOS METALICOS</t>
  </si>
  <si>
    <t>Eliminación de todos los secadores de manos del proyecto</t>
  </si>
  <si>
    <t>Mejora MD44 - Modulo D , Oficinas</t>
  </si>
  <si>
    <t>Modificaciones en instalaciones electricas y mobiliario por funcionalidad en recinto  B120</t>
  </si>
  <si>
    <t>Muro y losa adicional en sector caja ascensor piso mecánico, Edificio B</t>
  </si>
  <si>
    <t>Nuevas UPS para recintos de UPC  (Edif. A 2º Nivel) Reanimación Urgencia, sector A1-022 (Edif. A 1º Nivel)</t>
  </si>
  <si>
    <t>Caso Nº69: "Estructura estanque PEAS N°2".</t>
  </si>
  <si>
    <t>Mejora MD39 - Medicina Física - secretaria y ortesis</t>
  </si>
  <si>
    <t>2.30</t>
  </si>
  <si>
    <t>Definición de proyecto de estructuras nivel fundaciones edificio F</t>
  </si>
  <si>
    <t>Modifcaciones en instalación electrica por funcionalidad en recinto B119</t>
  </si>
  <si>
    <t>Disminución de elementos identificables de escalera exterior Edificio Sur</t>
  </si>
  <si>
    <t>Muro y viga eje 17 en piso mecánico , Edificio M</t>
  </si>
  <si>
    <t>Suministro e instalación columnas porta equipos y gases para pabellones</t>
  </si>
  <si>
    <t>Modificación arquitectura Sector F piso Zócalo</t>
  </si>
  <si>
    <t>MD 38 Baño piso zócalo, modulo J y K</t>
  </si>
  <si>
    <t>Modifcaciones en instalacion electrica, sanitaria y CCDD por funcionalidad en recinto  B117</t>
  </si>
  <si>
    <t>Modificación muro MC4 túnel BG</t>
  </si>
  <si>
    <t>Aumento espesor losa estanque de agua</t>
  </si>
  <si>
    <t>ELIMINACIÓN PARCIAL DE LOS SUB ITEM 6.1.1, 6.1.3 Y 6.1.4</t>
  </si>
  <si>
    <t>Portarrollos</t>
  </si>
  <si>
    <t>Mejora MD-37 , TOMA DE MUESTRAS Y LABORATORIO</t>
  </si>
  <si>
    <t>Refuerzo fibra de carbono en losas</t>
  </si>
  <si>
    <t xml:space="preserve">Tabique estructurado de acero T5 </t>
  </si>
  <si>
    <t>ORD.904</t>
  </si>
  <si>
    <t>ORD. 4339</t>
  </si>
  <si>
    <t>Modificación losa cuerpo B</t>
  </si>
  <si>
    <t>MODIFICACION SALA HEMODIALISIS</t>
  </si>
  <si>
    <t>Ord. 001132  DEL 14.07.20</t>
  </si>
  <si>
    <t>C4 N° 2853 del 17-09-20</t>
  </si>
  <si>
    <t>MODIFICACIONES EN INSTALACIONES DE CLIMA EN EDIFICIO C POR RESPUESTA A RDI 88</t>
  </si>
  <si>
    <t>Modificación arquitectura primer piso Sector A</t>
  </si>
  <si>
    <t>Equipamiento Residuos Sólidos</t>
  </si>
  <si>
    <t>Retiro de excedentes, excavación sanitaria</t>
  </si>
  <si>
    <t>Modifcaiones en instalacion electrica, mobiliario por funcionalidad en recinto B115</t>
  </si>
  <si>
    <t>Traslado de puesto de Secretaría de Farmacia, Edificio Poniente</t>
  </si>
  <si>
    <t>Modificación estructura cafetería</t>
  </si>
  <si>
    <t>MODIFICACION PLANTAS GENERALES DE ARQUITECTURA</t>
  </si>
  <si>
    <t>MODIFICACIONES EN ARQUITECTURA, INST. SANITARIAS Y ELÉCTRICAS EN EDIFICIO C POR RESPUESTA A RDI 88</t>
  </si>
  <si>
    <t>Modificacion arquitectura Sector F-G primer piso</t>
  </si>
  <si>
    <t>Equipos Central de Alimentación</t>
  </si>
  <si>
    <t>Modifcaciones instalacion CCDD e instalacion electrica por funcionalidad en recinto  B107</t>
  </si>
  <si>
    <t>Estructura de cubierta</t>
  </si>
  <si>
    <t>Reparación de recintos para recintos Habilitación</t>
  </si>
  <si>
    <t>ORD. 5504</t>
  </si>
  <si>
    <t>ORD. 1280</t>
  </si>
  <si>
    <t xml:space="preserve">Modificación recintos subterráneo sur según requerimiento Autoridad Sanitaria </t>
  </si>
  <si>
    <t>Encuentro estructural primera y segunda etapa</t>
  </si>
  <si>
    <t>Cambio materialidad ductos libre de halógeno  CC.DD y  control centralizado</t>
  </si>
  <si>
    <t>MODIFICACION VANOS CALLE LARRAIN ALCALDE</t>
  </si>
  <si>
    <t>2.29</t>
  </si>
  <si>
    <t>Sustitució empalmes Cadwell</t>
  </si>
  <si>
    <t>MODIFICACIONES DE CLIMA, CÁLCULO Y ARQUITECTURA DEBIDO A R.D.I. 311</t>
  </si>
  <si>
    <t>Caso Nº81: "Modificación cercha C1 Eje J"</t>
  </si>
  <si>
    <t>Sillas de Espera</t>
  </si>
  <si>
    <t>Modificación Proyecto radiologico</t>
  </si>
  <si>
    <t>Modificación central de alimentación, reubicación de equipos y tabiques</t>
  </si>
  <si>
    <t>Cambio de materialidad de canalizaciones interiores en proyecto eléctrico, corrientes débiles y control centralizado</t>
  </si>
  <si>
    <t>LOSETA AMARRE EJE 35</t>
  </si>
  <si>
    <t xml:space="preserve">Modificación en el 2° nivel Edificios I - H “PISOS MECÁNICOS INCONCLUSOS” </t>
  </si>
  <si>
    <t>Caso N°63: "Cotización Cámaras de refrigeración central de alimentación"</t>
  </si>
  <si>
    <t>Jardineras</t>
  </si>
  <si>
    <t>Despacho y farmacia B109 (Modificaciones)</t>
  </si>
  <si>
    <t>Demolición de muro de hormigón armado existente no contemplados en proyecto de licitación Edificio Surponiente</t>
  </si>
  <si>
    <t>Modificación altura y juntas muros contención</t>
  </si>
  <si>
    <t>1.13</t>
  </si>
  <si>
    <t>Sala Cuna</t>
  </si>
  <si>
    <t>Modificación lavadoras descontaminadoras Edificio D</t>
  </si>
  <si>
    <t>DESARME Y REARME TABIQUE CORTAFUEGO</t>
  </si>
  <si>
    <t>Primera etapa, valorización de mejoras y ajustes al proyecto sanitario interior</t>
  </si>
  <si>
    <t>2.31</t>
  </si>
  <si>
    <t>Modificación proyecto de estructuras de hormigón edificio F</t>
  </si>
  <si>
    <t>1.14</t>
  </si>
  <si>
    <t>Central de Alimentación</t>
  </si>
  <si>
    <t>Modificación arquitectura Sector D piso Zócalo</t>
  </si>
  <si>
    <t>Escalera de evacuación sector central de alimentación</t>
  </si>
  <si>
    <t>Modificaciones instalación CCDD por funcionalidad en recinto B107</t>
  </si>
  <si>
    <t>Demolición de elementos de  hormigón armado  no contemplados en proyecto de licitación Edificio Surponiente</t>
  </si>
  <si>
    <t>Extensión de red a colector público para descarga gravitacional de aguas servidas.</t>
  </si>
  <si>
    <t>Finalización Suministro de Internet.</t>
  </si>
  <si>
    <t>MEJORA MD 36</t>
  </si>
  <si>
    <t>REPOSICIÓN HOSPITAL DE CARAHUE</t>
  </si>
  <si>
    <t>Conexión Grifo para Incendios</t>
  </si>
  <si>
    <t>Ord. 2146 del 03-09-2021</t>
  </si>
  <si>
    <t>C4 N°  1777 del 30-05-17</t>
  </si>
  <si>
    <t xml:space="preserve">Antepechos de hormigón </t>
  </si>
  <si>
    <t>Modificación coronamiento muros perimetrales, pisos mecánicos</t>
  </si>
  <si>
    <t>Estanque de agua potable</t>
  </si>
  <si>
    <t>Sellos Bajo Puertas Exteriores</t>
  </si>
  <si>
    <t>Tabique no especificado piso 2 Modulo K</t>
  </si>
  <si>
    <t>Materialización de cámaras frigoríficas en Central de Alimentación y Casino Personal.</t>
  </si>
  <si>
    <t>Caso N°53: "Modificación escaleras interiores".</t>
  </si>
  <si>
    <t>INCORPORACION DE VENTILADOR DE EXTRACCION PARA SALAS CAMA UTI 3,4,5 Y 6</t>
  </si>
  <si>
    <t>ILUMINACIÓN PISO MECÁNICO</t>
  </si>
  <si>
    <t>Ord. 1266 del 15-03-17</t>
  </si>
  <si>
    <t>C4 N° 1332 del 12-04-17</t>
  </si>
  <si>
    <t>Modificación en proyecto sanitario, eléctrico y mobiliario por funcionalidad del recinto  B102</t>
  </si>
  <si>
    <t>CANALIZACIONES LUMINARIAS</t>
  </si>
  <si>
    <t>Caso N°33: "Cambio de solución impermeabilización de patios y terrazas"</t>
  </si>
  <si>
    <t>Disminución Equipamiento Secundario Gases Clínicos</t>
  </si>
  <si>
    <t>CAMBIO CIELO DURO POR CIELO AMERICANO</t>
  </si>
  <si>
    <t>Modificación instalación eléctrica por funcionalidad en recinto A131</t>
  </si>
  <si>
    <t>Cierre de anillo Edificio UPC</t>
  </si>
  <si>
    <t>Elevaciones faltantes Edificio G-I, J, F</t>
  </si>
  <si>
    <t>Redes y sistema de extinción a nivel de cubierta</t>
  </si>
  <si>
    <t>MD33 - Sala de equipos pabellones quirúrgicos</t>
  </si>
  <si>
    <t>DISMINUCIÓN ESTANQUE DE GAS</t>
  </si>
  <si>
    <t>Acondicionamiento instalación eléctrica y CCDD por funcionalidad en recinto  B003</t>
  </si>
  <si>
    <t>Modificación de iluminación exterior</t>
  </si>
  <si>
    <t xml:space="preserve">Modificación Trazado y camara de abatimiento de temperatura Alcantarillado Área SEDILE </t>
  </si>
  <si>
    <t>ORD. 1A /0164 SSC 12-10-2016</t>
  </si>
  <si>
    <t>ORD. C4 /3526, 11-11-2016</t>
  </si>
  <si>
    <t>Caso Nº59: "Modificación ejes I-M"</t>
  </si>
  <si>
    <t>MD32 - Sector espera y entrevista cirugía mayor ambulatoria</t>
  </si>
  <si>
    <t>11 Metropolitano Oriente</t>
  </si>
  <si>
    <t>Normalización Infraestructura Pabellones HDS II Etapa</t>
  </si>
  <si>
    <t xml:space="preserve">Muebles y conexión sanitaria farmacia primer piso </t>
  </si>
  <si>
    <t>ORD. 146</t>
  </si>
  <si>
    <t>ORD. 1426</t>
  </si>
  <si>
    <t>DISMINUCIÓN COLUMNA PABELLÓN</t>
  </si>
  <si>
    <t>Adquisición de Tubos Colectores y Disipador</t>
  </si>
  <si>
    <t>Desplazamiento punto de datos por funcionalidad en recinto B002</t>
  </si>
  <si>
    <t>Rescate Arqueológico y adecuaciones funcionales</t>
  </si>
  <si>
    <t>1232/20.12.2022</t>
  </si>
  <si>
    <t>0683/24.02.2023</t>
  </si>
  <si>
    <t>MODIFICACION CANALIZACIONES EDIFICIO PATRIMONIAL</t>
  </si>
  <si>
    <t>Ord. 00590 DEL 17.03.20</t>
  </si>
  <si>
    <t>C4 N° 2492 del 12-08-20</t>
  </si>
  <si>
    <t>Caso Nº38: "Modificación armadura de losas cielo subterráneo".</t>
  </si>
  <si>
    <t>MD 31 - MODULO B 2° Piso</t>
  </si>
  <si>
    <t>Modificación anclaje marquesina</t>
  </si>
  <si>
    <t>Radier bajo escalera y refuerzo loseta de farmacia 1er piso.</t>
  </si>
  <si>
    <t>Incorporación Piso Vinílico Semiconductivo</t>
  </si>
  <si>
    <t>EXTINCIÓN DE INCENDIOS</t>
  </si>
  <si>
    <t>Rescate Arqueológico HANP 15 y HANP 16</t>
  </si>
  <si>
    <t>Ejecución viga invertida inyectada hormigón armado ante techo Edificio Surponiente ejes SP1 - SP15</t>
  </si>
  <si>
    <t>MODIFICACION LUMINARIAS</t>
  </si>
  <si>
    <t>Modificación sala cuna</t>
  </si>
  <si>
    <t>Mejora MD 30 - UTI modulo F 1° piso</t>
  </si>
  <si>
    <t xml:space="preserve">Disminución de partidas sin ejecución </t>
  </si>
  <si>
    <t>Provisión e Instalación Motor y Correas VIN-C-01 y VEX-1</t>
  </si>
  <si>
    <t>Modificación estructura edificio auditorio</t>
  </si>
  <si>
    <t>PANELES FOTOVOLTÁICOS 40 KW</t>
  </si>
  <si>
    <t>Sala hospitalización A125 (Modificaciones CCDD)</t>
  </si>
  <si>
    <t>Cambio materialidad cañerias y aislación térmica clima</t>
  </si>
  <si>
    <t>Ejecución de viga invertida inyectada de hormigón armado ante techo Edificio Norponiente y Norte</t>
  </si>
  <si>
    <t>MD20 - URGENCIA / MODULO A PRIMER PISO</t>
  </si>
  <si>
    <t>Repetidor central de incendio</t>
  </si>
  <si>
    <t>7.3.12</t>
  </si>
  <si>
    <t>Alimentadores UPS</t>
  </si>
  <si>
    <t>CORREO NEUMÁTICO</t>
  </si>
  <si>
    <t>Electricidad sala de bombas y estanque criogénico</t>
  </si>
  <si>
    <t>Modificación de redes de agua potable fría</t>
  </si>
  <si>
    <t>Solución estructural a muro y losa Edificio G, 3° y 4° nivel sector ascensor</t>
  </si>
  <si>
    <t>MODIFICACIONES CANALETA LAVANDERIA</t>
  </si>
  <si>
    <t>Caso Nº58: "Modificación cielo piso 2 ejes B-C/13-18"</t>
  </si>
  <si>
    <t>Datos y enchufes en pabellones modulo G - MD28</t>
  </si>
  <si>
    <t>Traslado de indicador de fuga de tierra pabellones sector Norte a OF. De primer piso.</t>
  </si>
  <si>
    <t>REHABILITACIÓN, EDIFICIO A</t>
  </si>
  <si>
    <t>Ord. 2686 del 23-12-16</t>
  </si>
  <si>
    <t>C4 N° 406 del 01-02-17</t>
  </si>
  <si>
    <t>Demolición de muros de albañilería no contemplados en proyecto de licitación en edificio Nororiente</t>
  </si>
  <si>
    <t>Sala hospitalización A123 (Modificaciones CCDD)</t>
  </si>
  <si>
    <t xml:space="preserve">Terminaciones de arquitectura no definidas </t>
  </si>
  <si>
    <t>Incorporación llaves de Mantención</t>
  </si>
  <si>
    <t>0614/17.06.2022</t>
  </si>
  <si>
    <t>2853/23.08.2022</t>
  </si>
  <si>
    <t>Picado de estuco exterior soplado ejecutado por  Pixels en Edificio Surponiente</t>
  </si>
  <si>
    <t>Electricidad Sistema de Combustible</t>
  </si>
  <si>
    <t>CANALETA CENTRAL TÉRMICA</t>
  </si>
  <si>
    <t>Caso Nº51: "Estructura Escalera 14".</t>
  </si>
  <si>
    <t>MD 19 - Pabellón Cirugía Menor</t>
  </si>
  <si>
    <t>Gases Clínicos caja de válvula</t>
  </si>
  <si>
    <t>Sala hospitalización A121 (Modificaciones CCDD)</t>
  </si>
  <si>
    <t>Costos Arqueológicos Año 2021</t>
  </si>
  <si>
    <t>Reforzamiento de anclaje estructura metálica corredor central</t>
  </si>
  <si>
    <t>Demolición tramo colector Aguas Lluvias d=400 mm,  Edificio EI</t>
  </si>
  <si>
    <t>Caso N°48 "Cambio de enchufe de seguridad".</t>
  </si>
  <si>
    <t>CPI Urgencia e UTI</t>
  </si>
  <si>
    <t>2.18</t>
  </si>
  <si>
    <t>Modificación estructura de acero parrilla cielo</t>
  </si>
  <si>
    <t>Sala hospitalización A119 (Modificaciones CCDD)</t>
  </si>
  <si>
    <t>Mejora MD 45 - Pabellones y Recuperación, Modulo G</t>
  </si>
  <si>
    <t>Antepechos de albañilería del Edificio Sur</t>
  </si>
  <si>
    <t>Modificación - muro de contención y losa Edificio C</t>
  </si>
  <si>
    <t>2.12</t>
  </si>
  <si>
    <t>Modificación estructuras de hormigón edificio J</t>
  </si>
  <si>
    <t>RED EVACUCIÓN AGUAS LLUVIAS</t>
  </si>
  <si>
    <t xml:space="preserve">Caso N°56 "Modificación cercha cielo 3er piso". </t>
  </si>
  <si>
    <t>MD 17 - Endoscopia y DAN</t>
  </si>
  <si>
    <t>Farmacia primer piso</t>
  </si>
  <si>
    <t>ADMINISTRACIÓN, EDIFICIO C</t>
  </si>
  <si>
    <t>Sistema de llamado enfermera según NTB en recinto  A118</t>
  </si>
  <si>
    <t>Cambio materialidad alcantarillado</t>
  </si>
  <si>
    <t>Rampa de acceso discapacitados Edificio A</t>
  </si>
  <si>
    <t>PLANTA ELEVADORA DE AGUAS SERVIDAS 05, ESTRUCTURA</t>
  </si>
  <si>
    <t xml:space="preserve">Ajuste proyecto agua potable interior </t>
  </si>
  <si>
    <t>FRANJAS DE HORMIGONADO DIFERIDO</t>
  </si>
  <si>
    <t>Parrones P01 y P02</t>
  </si>
  <si>
    <t>MD16  - Modificaciones sala residuos solidos</t>
  </si>
  <si>
    <t>Caso N°2 "Muro de perímetro aisladores"</t>
  </si>
  <si>
    <t>Modificaciones de arquitectura 1er piso (material Sucio, Custodia, Biopsia y Of. Equipos médicos)</t>
  </si>
  <si>
    <t>Sala hospitalización A117 (Modificaciones CCDD)</t>
  </si>
  <si>
    <t>Climatización área hospitalización corta estadia</t>
  </si>
  <si>
    <t>Cambio agua potable</t>
  </si>
  <si>
    <t>Nota de cambio-BSC-N°27 Muro de contención frente Edificio H y F</t>
  </si>
  <si>
    <t>Variaciones en estructuras resistentes ítem 3.5.1.1, originadas por respuesta a RDI 116</t>
  </si>
  <si>
    <t>ORD. 1A /0582 SSC 24-04-2017</t>
  </si>
  <si>
    <t>ORD. C4 /1526,  08-05-2017</t>
  </si>
  <si>
    <t xml:space="preserve">Sobrelosas bajo pavimentos de baldosas interiores </t>
  </si>
  <si>
    <t>Tabiques en segunda etapa</t>
  </si>
  <si>
    <t xml:space="preserve">Red Agua Caliente </t>
  </si>
  <si>
    <t>PABELLON, EDIFICIO F</t>
  </si>
  <si>
    <t>Ord. 1665del 08-05-17</t>
  </si>
  <si>
    <t>C4 N°  3226 del 19-10-2021</t>
  </si>
  <si>
    <t>Disminución Dispensadores de Jabón Líquido</t>
  </si>
  <si>
    <t>Muros de hormigón existente a demoler en eje   NPC-NP1@NP3</t>
  </si>
  <si>
    <t>Refuerzos estructurales de losas</t>
  </si>
  <si>
    <t xml:space="preserve">Obras exteriores y muros de contención  </t>
  </si>
  <si>
    <t>CONSTRUCCION VIGA RAMPA VEHICULAR</t>
  </si>
  <si>
    <t>MODIFICACIONES CENTRAL DE ALIMENTACION</t>
  </si>
  <si>
    <t>CIERRE DE VANO VENTANA V7a EJE 4 entre ejes B1 y B2</t>
  </si>
  <si>
    <t>7.3.1</t>
  </si>
  <si>
    <t>Modificaciones de dimensiones malla a tierra por requerimientos técnicos</t>
  </si>
  <si>
    <t>Puerta Sala Custodia de biopsia</t>
  </si>
  <si>
    <t>Cambio de Nucleo de ACM de poliestireno a resistente al fuego</t>
  </si>
  <si>
    <t>EXCESO DE HIDROFUGADO EN FUNDACIONES</t>
  </si>
  <si>
    <t>PUERTAS MODULO E RECINTOS 23, 24 y 25</t>
  </si>
  <si>
    <t>Cambio cortinas quirúrgicas</t>
  </si>
  <si>
    <t>ORD. 2323</t>
  </si>
  <si>
    <t>ORD. 320</t>
  </si>
  <si>
    <t>Incorporación de Chiller Adicional</t>
  </si>
  <si>
    <t>Modificación - muro de contención Edificio A</t>
  </si>
  <si>
    <t xml:space="preserve">MODIFICACIONES ESTERILIZACION </t>
  </si>
  <si>
    <t>Placa Terciada 15 mm bajo cubierta</t>
  </si>
  <si>
    <t>1.23.1</t>
  </si>
  <si>
    <t>Alcantarillado</t>
  </si>
  <si>
    <t>AISLACION TERMICA</t>
  </si>
  <si>
    <t>Revestimiento fachada eifs</t>
  </si>
  <si>
    <t>Gases clínicos 1° piso</t>
  </si>
  <si>
    <t>SALA CUNA</t>
  </si>
  <si>
    <t>Modificaión instalación eléctrica y CCDD por funcionalidad en recinto A141</t>
  </si>
  <si>
    <t>Labores de Climatización por Incorporación Hemodinamia</t>
  </si>
  <si>
    <t>Modificación de gases clínicos en sala de procedimiento F.1.2.3 Edificio D nivel 3</t>
  </si>
  <si>
    <t>CIERRE PERIMETRAL VEREDA NORTE AMUNATEGUI</t>
  </si>
  <si>
    <t>Dispensador de jabón y dispensador de papel</t>
  </si>
  <si>
    <t xml:space="preserve"> Cambio de quemador de combustible disel por quemador a gas licuado (ítem 31.4.3)</t>
  </si>
  <si>
    <t>Film puertas automáticas pasillo 2°piso</t>
  </si>
  <si>
    <t>Intercambiadores de Placas</t>
  </si>
  <si>
    <t>HOSPITALIZADOS, EDIFICIO A</t>
  </si>
  <si>
    <t>CALCULO ESTRUCTURAL, PASILLO DE COMUNICACIÓN EDIFICIO TÉCNICO - LAVANDERÍA</t>
  </si>
  <si>
    <t>Desplazamiento punto de datos por funcionalidad en recinto A134</t>
  </si>
  <si>
    <t>Extracción de aguas servidas, traslado de residuos y limpieza de cámaras</t>
  </si>
  <si>
    <t>Ventana alargada fachada Edificio B</t>
  </si>
  <si>
    <t>UNION EDIFICIO OBRA NUEVA CON MURO PERIMETRAL LARRAIN ALCALDE</t>
  </si>
  <si>
    <t>MODIFICACIONES ANATOMIA PATOLOGICA</t>
  </si>
  <si>
    <t>Caso N°47: "Ajuste armadura fuera de franja en cielo P1"</t>
  </si>
  <si>
    <t>REEMPLAZO DE BOMBA CALOR AGUA / AGUA  POR  BOMBA CALOR AIRE / AGUA</t>
  </si>
  <si>
    <t>7.3.7</t>
  </si>
  <si>
    <t>Arranques de fuerza no previstos en el proyecto</t>
  </si>
  <si>
    <t>Hincado media tensión y corrientes débiles</t>
  </si>
  <si>
    <t>Terminaciones finales pabellones 2°piso</t>
  </si>
  <si>
    <t>Incorporación Pintura Exterior Estanque de Agua</t>
  </si>
  <si>
    <t>POLICLINICO, EDIFICIO E Y D</t>
  </si>
  <si>
    <t>Modificación CCDD por funcionalidad en recinto A132</t>
  </si>
  <si>
    <t>Diseño asta de banderas</t>
  </si>
  <si>
    <t>Muros  de hormigón no contemplados en proyecto de licitación Edificio Surponiente</t>
  </si>
  <si>
    <t>ORD.102</t>
  </si>
  <si>
    <t>ORD.1171</t>
  </si>
  <si>
    <t>Modificación de muros en ejes 30 - I, Edificio G</t>
  </si>
  <si>
    <t>Discrepancia fundación Edificio J ejes A-A´-C-I-J entre 15 y 11A</t>
  </si>
  <si>
    <t>Revestimiento interior caja escala.</t>
  </si>
  <si>
    <t>Ord. 0071 DEL 14.01.20</t>
  </si>
  <si>
    <t>C4 N° 1550 del 25-05-20</t>
  </si>
  <si>
    <t xml:space="preserve">MODIFICACIONES LAVACHATAS EDIFICIO B1 </t>
  </si>
  <si>
    <t>Caso N°45: "Estructura andén ambulancia"</t>
  </si>
  <si>
    <t>ESTANQUE DE PETROLEO DE LAS CALDERAS</t>
  </si>
  <si>
    <t>Gases clinicos</t>
  </si>
  <si>
    <t>Pintura fachada oriente</t>
  </si>
  <si>
    <t>ESTERILIZACIÓN</t>
  </si>
  <si>
    <t>Modificaión instalación eléctrica y CCDD por funcionalidad en recinto A131</t>
  </si>
  <si>
    <t>Junta de dilatación en muro y cielo</t>
  </si>
  <si>
    <t>Ejecución, reubicación de estribos y re-hormigonado Edificio Poniente y Surponiente</t>
  </si>
  <si>
    <t>SALA NUEVAS TEGNOLOGIAS</t>
  </si>
  <si>
    <t>nº 0233 08/02/2017</t>
  </si>
  <si>
    <t xml:space="preserve">  C4 n° 1584  del 12.05.17</t>
  </si>
  <si>
    <t>Subalimentador para sistema de Riego</t>
  </si>
  <si>
    <t>Caso N°19: "Modificación escaleras exteriores N°1, N°2, N°8 y N°13"</t>
  </si>
  <si>
    <t>ACCESORIOS : PORTARROLLOS, DISPENSADOR DE JABON Y PAPEL</t>
  </si>
  <si>
    <t>Muebles farmacia y repisa bodega de materiales estéril</t>
  </si>
  <si>
    <t>Modificación instalación eléctrica por funcionalidad en recinto A115</t>
  </si>
  <si>
    <t>Diferencia cotas revestimiento exterior equitone</t>
  </si>
  <si>
    <t>Disminución Transformadores de Aislación</t>
  </si>
  <si>
    <t>Proyecto de seguridad</t>
  </si>
  <si>
    <t>Área sucia y limpia en sala de imagenología completa G 1.2.1 Edificio J nivel 3</t>
  </si>
  <si>
    <t>Retorno de Agua Caliente</t>
  </si>
  <si>
    <t>Modificación sector rampa edificio patrimonial</t>
  </si>
  <si>
    <t>Losa de Hormigon Caja Ascensor 1er Piso Edificio A</t>
  </si>
  <si>
    <t>Caso N°39: "Mejora de diseño recintos lavachatas"</t>
  </si>
  <si>
    <t xml:space="preserve">Modificaciones en proyecto de climatización </t>
  </si>
  <si>
    <t>Cambio de Alimentador LG</t>
  </si>
  <si>
    <t>LABORATORIO</t>
  </si>
  <si>
    <t>Modificación artefactos sanitarios por uso universal</t>
  </si>
  <si>
    <t>1.23.2</t>
  </si>
  <si>
    <t>Electricidad</t>
  </si>
  <si>
    <t>2.04</t>
  </si>
  <si>
    <t>Modificación fundaciones edificio J</t>
  </si>
  <si>
    <t>Demolición pilares existentes en mal estado y ejecución de pilares nuevos hormigón armado en Edificio Sur</t>
  </si>
  <si>
    <t>4.10</t>
  </si>
  <si>
    <t>Incremento altura de cerámica/ porcelanato de baños</t>
  </si>
  <si>
    <t>Modificación en sala de parto integral Edificio E nivel 3</t>
  </si>
  <si>
    <t>Disminución de Equipos</t>
  </si>
  <si>
    <t>2.08</t>
  </si>
  <si>
    <t>Incremento manta bentonítica en rampas no incluidas en el proyecto</t>
  </si>
  <si>
    <t>Modificación nuevas salas de corrientes débiles</t>
  </si>
  <si>
    <t>Reemplazo tabique TB-3 por TC-2</t>
  </si>
  <si>
    <t>Expansión Proyecto de Climatización 2do subt.</t>
  </si>
  <si>
    <t>DEMOLICION MURO POR FORMACION DE NUEVA JUNTA DE DILATACION</t>
  </si>
  <si>
    <t>Caso N°46: "Detalle puentes de acceso"</t>
  </si>
  <si>
    <t>Estructura</t>
  </si>
  <si>
    <t>ESTANQUE ENTERRADO DE GAS LICUADO</t>
  </si>
  <si>
    <t>Luminarias pabellones quirúrgicos</t>
  </si>
  <si>
    <t>FARMACIA</t>
  </si>
  <si>
    <t>Acceso sala generador</t>
  </si>
  <si>
    <t>Modificaciones exteriores Edificio Sur</t>
  </si>
  <si>
    <t>Instalación de viga de hormigón armado V.25/30 en cierre perimetral</t>
  </si>
  <si>
    <t>Demolición de albañilería y ejecución muro hormigón armado en el eje SF entre S6 Y S7 del subterráneo en Edificio Sur</t>
  </si>
  <si>
    <t>RECINTO TERAPIA OCUPACIONAL (E1°22) y BAÑO</t>
  </si>
  <si>
    <t>Modificación farmacia y bodega de equipos 2° piso</t>
  </si>
  <si>
    <t>ORD. 603</t>
  </si>
  <si>
    <t>ORD. 2695</t>
  </si>
  <si>
    <t>Cambio de Subalimentador Bloque D</t>
  </si>
  <si>
    <t>EDIFICIO F,URGENCIA</t>
  </si>
  <si>
    <t>Modificación en leyendas de señalética interior y exterior</t>
  </si>
  <si>
    <t>Instalación de señaléticas de salida</t>
  </si>
  <si>
    <t>Ejecución estructura metálica faltante en conexión poniente y recrecido de sobrecimiento</t>
  </si>
  <si>
    <t>Ductos de extracción e inyección 1er sub.</t>
  </si>
  <si>
    <t>Caso N°44: Terminación piso mecánico</t>
  </si>
  <si>
    <t xml:space="preserve">Refuerzos fibra de carbono </t>
  </si>
  <si>
    <t>Incorporación PEAS N°5, Alto Horno</t>
  </si>
  <si>
    <t>Estructura  CHILLER</t>
  </si>
  <si>
    <t>Caso N°27: Modificación Plano 202 Losa nivel aislación</t>
  </si>
  <si>
    <t xml:space="preserve">Climatización </t>
  </si>
  <si>
    <t>UCA</t>
  </si>
  <si>
    <t>Modificación red de aguas lluvias existentes</t>
  </si>
  <si>
    <t>Construcción de Caseta para caldera habilitaciones</t>
  </si>
  <si>
    <t>Ausencia de solución de estructura cubierta en pasillos entre ejes I-J/4-16´, Ñ-O/4-16´ y 6A-6B/J-Ñ</t>
  </si>
  <si>
    <t>Drenes Estanque AP</t>
  </si>
  <si>
    <t>Incorporación Radiador</t>
  </si>
  <si>
    <t xml:space="preserve">VARIACIONES EN PROYECTO DE CALCULO ORIGINADAS POR LAS RESPUESTAS A LAS RDI  92, 93, 94, 97, 99,101, 102, 110, 120, 121, 149, 164, 172, 182 y 201   </t>
  </si>
  <si>
    <t>7.1.8</t>
  </si>
  <si>
    <t>Nuevos trazados de red seca según soluciones hacia conexiones exteriores</t>
  </si>
  <si>
    <t>Cambio de revestimiento de muros sectores UCI, UTI y Neonatología UTI</t>
  </si>
  <si>
    <t>2.33</t>
  </si>
  <si>
    <t>Modificación de tabiques TCF en fachadas</t>
  </si>
  <si>
    <t>Muebles de acero inoxidable</t>
  </si>
  <si>
    <t>Caso N°43: "Modificación estructura depósitos de residuos sólidos"</t>
  </si>
  <si>
    <t>Guardamuros, Hidrobox y Panel Led</t>
  </si>
  <si>
    <t>ORD. 1980</t>
  </si>
  <si>
    <t>ORD. 4335</t>
  </si>
  <si>
    <t>REAS</t>
  </si>
  <si>
    <t>Cambio tipo de plancha yeso cartón en cielos C-2 recintos húmedos</t>
  </si>
  <si>
    <t>Revestimiento cerámico en artefactos aislados</t>
  </si>
  <si>
    <t>Proyecto eléctrico climatización</t>
  </si>
  <si>
    <t>Aumento de ensayos de control de compactación en calles 1, 2 y 3</t>
  </si>
  <si>
    <t>Confección e instalación de escantillones sector central alimentación y laboratorio”.</t>
  </si>
  <si>
    <t>Canaleta de desagüe y sistema de aire comprimido para puertas de lavadoras industriales Edificio G, nivel 2</t>
  </si>
  <si>
    <t>Vigon falso ductos climatización</t>
  </si>
  <si>
    <t>EVACUACIÓN DE DESCARGA GRAVITACIONAL DEL COLECTOR INTERIOR DE ALCANTARILLADO</t>
  </si>
  <si>
    <t>Caso N°26: Pasadas adicionales en vigas nivel aislación</t>
  </si>
  <si>
    <t>Lavamanos farmacia atención cerrada, recinto K2°19</t>
  </si>
  <si>
    <t>Ventanas plomadas</t>
  </si>
  <si>
    <t>ORD 1463 SSAS del  19.08.20</t>
  </si>
  <si>
    <t xml:space="preserve">Accesorios </t>
  </si>
  <si>
    <t>ESTRUCTURA EDIFICIO ENTRE EJES A-B/2-3</t>
  </si>
  <si>
    <t>Modificación instalación eléctrica y CCDD por funcionalidad en recinto A102</t>
  </si>
  <si>
    <t>Agua potable fría para clima</t>
  </si>
  <si>
    <t>Instalaciones del Edificio Surponiente entre ejes SP15 y SP22</t>
  </si>
  <si>
    <t>2.20</t>
  </si>
  <si>
    <t>Soportación sísmica para instalaciones no incluidas en el proyecto edificios A, B y C</t>
  </si>
  <si>
    <t>Reparaciones eléctricas para recintos de habilitaciones</t>
  </si>
  <si>
    <t>Modificación de muros y enfierradura en Edificio G</t>
  </si>
  <si>
    <t>Foso bajo cámara hiperbárica</t>
  </si>
  <si>
    <t>ORD. 2851</t>
  </si>
  <si>
    <t>ORD. 722</t>
  </si>
  <si>
    <t>EVACUACION DE AA.LL. PATIO EDIFICIO A.</t>
  </si>
  <si>
    <t>ORD. 1A / 899 SSC 30-06-2016</t>
  </si>
  <si>
    <t>ORD. C4 / 2197, 21-07-2016</t>
  </si>
  <si>
    <t>Incorporación de resonador 3er piso</t>
  </si>
  <si>
    <t>Proyecto Data center</t>
  </si>
  <si>
    <t>ORD. 1568 SSC del 14-10-18</t>
  </si>
  <si>
    <t>ORD. C4 /4373,  12-10-2018</t>
  </si>
  <si>
    <t>Equipo Split Cassete</t>
  </si>
  <si>
    <t>Modificaciones Sala Caldera</t>
  </si>
  <si>
    <t>Desplazamiento punto de datos por funcionalidad en recinto A023a</t>
  </si>
  <si>
    <t>Modificación cielo para cumplimiento resistencia al fuego estructura metálica</t>
  </si>
  <si>
    <t>Relleno patios interiores y cambio de pavimentos</t>
  </si>
  <si>
    <t xml:space="preserve"> Instalaciones del Edificio sur poniente entre ejes SP15 y SP22</t>
  </si>
  <si>
    <t xml:space="preserve">Caso 20: Muros de contención y rampa de acceso sectro Nor-poniente. </t>
  </si>
  <si>
    <t>Veredas Exteriores</t>
  </si>
  <si>
    <t xml:space="preserve">Requerimiento de la Seremi </t>
  </si>
  <si>
    <t>Adecuaciones funcionales de gas natural 1 etapa constructiva</t>
  </si>
  <si>
    <t>ORD. 411</t>
  </si>
  <si>
    <t>ORD. 2392</t>
  </si>
  <si>
    <t>Modificación elevación eje X, Edificio K</t>
  </si>
  <si>
    <t>Modificación sala de generadores</t>
  </si>
  <si>
    <t>EVACUACION DE AA.LL. PATIO EDIFICIO D.</t>
  </si>
  <si>
    <t>Caso N°13: Eficiencia excavación estanques</t>
  </si>
  <si>
    <t>Enchufe doble y dos puntos de datos en sala fraccionamiento</t>
  </si>
  <si>
    <t xml:space="preserve">Lavamanos Quirúrgicos </t>
  </si>
  <si>
    <t>Instalación y Recarga de Extintores</t>
  </si>
  <si>
    <t>PUERTAS AUTOMÁTICAS</t>
  </si>
  <si>
    <t>Modificación instalación eléctrica y CCDD por funcionalidad en reciento  A023</t>
  </si>
  <si>
    <t>2.11</t>
  </si>
  <si>
    <t>Modificación estructuras de hormigón edificio C</t>
  </si>
  <si>
    <t>Registrabilidad de instalaciones en pasillo</t>
  </si>
  <si>
    <t>Ejecución mejoramiento de fundaciones norponiente eje NPB*entre NP 15 a NP22</t>
  </si>
  <si>
    <t>Modificación de proyecto de trazabilidad hospitalaria</t>
  </si>
  <si>
    <t>Disminución comunicaciones</t>
  </si>
  <si>
    <t>Modificación proyecto ductos y equipos de climatización para mejora en toma y descarga de aire piso mecánico</t>
  </si>
  <si>
    <t>Modificación Instalaciones Climatización Etapa 1</t>
  </si>
  <si>
    <t>MODIFICACIÓN DE CAMARAS DE ALCANTARILLADO Y AGUAS LLUVIAS.</t>
  </si>
  <si>
    <t xml:space="preserve">Caso N°23: Cambio tamaño máximo del árido para hormigón de fundaciones </t>
  </si>
  <si>
    <t>Iluminación</t>
  </si>
  <si>
    <t xml:space="preserve">Bisagras aluminio </t>
  </si>
  <si>
    <t>AMPLIACION TERCER PISO MODULO L</t>
  </si>
  <si>
    <t>Reubicación enchufes por funcionalidad en recinto brigada de bomberos A022</t>
  </si>
  <si>
    <t>Modificación proyecto eléctrico</t>
  </si>
  <si>
    <t>Confección y revoque de banqueta cámara desgrasadora</t>
  </si>
  <si>
    <t>2.15</t>
  </si>
  <si>
    <t>Modificación estructura de acero de techumbres</t>
  </si>
  <si>
    <t>Ejecución de viga invertida inyectada de hormigón armado en Edificio Sur</t>
  </si>
  <si>
    <t>Adecuaciones funcionales de telecomunicaciones 1 etapa constructiva</t>
  </si>
  <si>
    <t>Modificación Machón eje 16' entre Ñ-O módulo H</t>
  </si>
  <si>
    <t>1.06</t>
  </si>
  <si>
    <t>Incremento de partida agotamiento de napas por la ejecución de fundaciones y estructura</t>
  </si>
  <si>
    <t xml:space="preserve">Sala cuna </t>
  </si>
  <si>
    <t>ACCESORIOS DE BAÑO</t>
  </si>
  <si>
    <t>Ord. 2149 del 27-11-2019</t>
  </si>
  <si>
    <t>C4 N° 191 del 17-01-21</t>
  </si>
  <si>
    <t>CAMBIO EN IMPERMEABILIZACIÓN DE MUROS DE CONTENCIÓN, MUROS Y HA</t>
  </si>
  <si>
    <t>Caso N°22: Cambio de resistencia hormigón de emplantillado</t>
  </si>
  <si>
    <t xml:space="preserve">Gabinetes 45U adicionales para CC.DD. </t>
  </si>
  <si>
    <t>2.16</t>
  </si>
  <si>
    <t>Modificación estructura de acero de pisos mecánicos</t>
  </si>
  <si>
    <t>30A</t>
  </si>
  <si>
    <t>Actualización proyecto de climatización especialidad</t>
  </si>
  <si>
    <t>Equipo de aire acondicionado en sala control centralizado</t>
  </si>
  <si>
    <t>Proyecto sanitario actualizado</t>
  </si>
  <si>
    <t>Adecuación Muebles, Divisiones TL/TS y Guillotinas en Pasamuros</t>
  </si>
  <si>
    <t>Estuco muros</t>
  </si>
  <si>
    <t>Demolición de elementos de albañilería, hormigón armado y ejecución de muros de hormigón armado no contemplados en proyecto de licitación-Edificio sur poniente</t>
  </si>
  <si>
    <t>Caso Nº10: "Modificación estructura estanque de agua sur-oriente"</t>
  </si>
  <si>
    <t>MEJORA DE DISEÑO MD88 UNIDAD DE HOSPITALIZACION CORTA ESTADIA SALUD MENTAL - MODULO L 2°PISO</t>
  </si>
  <si>
    <t>Muro de contención MC25 - Relleno estructural y Excesos de excavación (Edif D-E-F-G-H-I-J) - Modificaciones edificio K</t>
  </si>
  <si>
    <t>2.09</t>
  </si>
  <si>
    <t>Modificación proyecto de estructuras de hormigón edificio A</t>
  </si>
  <si>
    <t>Cambio red agua potable</t>
  </si>
  <si>
    <t>Interferencia vigas ejes U-O/20-19 edificio B</t>
  </si>
  <si>
    <t>Modificación instalación eléctrica por aumento de potencia etapa 1</t>
  </si>
  <si>
    <t>PROYECTO ENTIBACION Y SOCALZADO PIQUE TUNEL DE CONEXIÓN</t>
  </si>
  <si>
    <t>VARIACIONES EN ACERO ESTRUCTURAL ITEM 3.7.1</t>
  </si>
  <si>
    <t>Caso N°15: Relleno de hormigón fundación muro de contención Corte 1</t>
  </si>
  <si>
    <t>2.01</t>
  </si>
  <si>
    <t>Modificación fundaciones edificio A</t>
  </si>
  <si>
    <t xml:space="preserve">Tapa registro en el cielo falso bodega de material estéril </t>
  </si>
  <si>
    <t>LAVACHATAS</t>
  </si>
  <si>
    <t>Cambio de pavimento Sala Grupo Electrógeno</t>
  </si>
  <si>
    <t>Relleno compactado de socavón en patio exterior</t>
  </si>
  <si>
    <t>Muro de contención</t>
  </si>
  <si>
    <t>Reforzamiento de pernos de anclaje existentes en pasillo de conexión norponiente-sur poniente</t>
  </si>
  <si>
    <t>Centro de enchufes Operatividad Calderas</t>
  </si>
  <si>
    <t>Modificación alcantarillado caaac y sector SAMU</t>
  </si>
  <si>
    <t>ORD. 947 SSAS del 25-05-20</t>
  </si>
  <si>
    <t xml:space="preserve">ORD. C4/ 1959, del 26-06-20 </t>
  </si>
  <si>
    <t>2.02</t>
  </si>
  <si>
    <t>Modificación fundaciones edificio B</t>
  </si>
  <si>
    <t>2.03</t>
  </si>
  <si>
    <t>Modificación fundaciones edificio C</t>
  </si>
  <si>
    <t>2.10</t>
  </si>
  <si>
    <t>Modificación estructuras de hormigón edificio B</t>
  </si>
  <si>
    <t>Interferencia viga de fundación eje 16 entre L-M edificio G-I</t>
  </si>
  <si>
    <t>Cambio Tuberías de Cu a PPR agua potable fría y caliente</t>
  </si>
  <si>
    <t>Diferencias en las características geologicas-geotecnicas de la roca correspondiente al horizonte de fundación con respecto a lo indicado en antecedentes de licitación</t>
  </si>
  <si>
    <t>VARIACIONES EN FUNDACIONES ITEM 3.2.1-Fundaciones de edificios</t>
  </si>
  <si>
    <t>COLOCACION DE PILETAS CON REJILLAS</t>
  </si>
  <si>
    <t>Modificación empalme pausa de hormigonado malla inferior Ejes I-K</t>
  </si>
  <si>
    <t>Equipo VEX en recinto microbiología de laboratorio</t>
  </si>
  <si>
    <t xml:space="preserve">Drenaje Patio N° 5 </t>
  </si>
  <si>
    <t>Alimentadores eléctricos</t>
  </si>
  <si>
    <t>Desplazamiento punto de datos por funcionalidad en reciento A014 Bodega central</t>
  </si>
  <si>
    <t>Excavación y mejoramiento bajo estanque de agua potable</t>
  </si>
  <si>
    <t>Ejecución de hormigón y sobrelosa etapa II</t>
  </si>
  <si>
    <t>Soleras tipo C para pavimentación</t>
  </si>
  <si>
    <t>Iluminación emergencia Edificio Contingencia.</t>
  </si>
  <si>
    <t>Red agua potable EH5</t>
  </si>
  <si>
    <t>Cambio Sección vigas de losas ejes 2-3 entre L-M edificio B</t>
  </si>
  <si>
    <t>Detalle muro de contención sector Nor-Poniente</t>
  </si>
  <si>
    <t>Planta elevadora PEAS</t>
  </si>
  <si>
    <t>Aguas Lluvias</t>
  </si>
  <si>
    <t>Señalética pabellones quirúrgicos 1° y 2° piso</t>
  </si>
  <si>
    <t>Provisión e Instalación de Lavaojos</t>
  </si>
  <si>
    <t>Desplazamiento punto de datos por funcionalidad en recientoA0012 Bodega farmacos</t>
  </si>
  <si>
    <t xml:space="preserve"> Instalación de faena y agotamiento de aguas por aumento de plazo </t>
  </si>
  <si>
    <t>ORD. 1257</t>
  </si>
  <si>
    <t>ORD. 2184</t>
  </si>
  <si>
    <t>Modificación de fundaciones patio cubierto.</t>
  </si>
  <si>
    <t>Nivelación de material existente</t>
  </si>
  <si>
    <t>Empalme eléctrico contingencia (Considera Respaldos).</t>
  </si>
  <si>
    <t>Modificación de trazado de aguas lluvias caaac</t>
  </si>
  <si>
    <t>Estribos y reparticiones viga de fundación edificio B</t>
  </si>
  <si>
    <t xml:space="preserve">DISMINUCION DE INSTALACION DE GAS LICUADO </t>
  </si>
  <si>
    <t>Caso N°16: RDI 59 y RDI 72: Armadura columna Eje 3/M y capiteles CP12 y CP13</t>
  </si>
  <si>
    <t>Maceradora en recintos lava chatas (Trituradora de chatas desechables touch free)</t>
  </si>
  <si>
    <t>Aumento dimensiones sala eléctrica/térmica</t>
  </si>
  <si>
    <t>Modificación proyecto de gases clínicos</t>
  </si>
  <si>
    <t>Disminución papel fieltro bajo cubierta</t>
  </si>
  <si>
    <t>Aguas Lluvias Sifonaje</t>
  </si>
  <si>
    <t>Reinstalación de soleras existentes</t>
  </si>
  <si>
    <t>20 Bio Bio</t>
  </si>
  <si>
    <t>Habilitación Pabellones CMA Complejo Asistencial DR. Víctor Ríos Ruiz</t>
  </si>
  <si>
    <t xml:space="preserve">AUMENTO DE LINEA DE FUERZA PISO MECANICO </t>
  </si>
  <si>
    <t>ORSS844 de fecha 14.06.2021</t>
  </si>
  <si>
    <t>Ord C4 N°3702 del 23.11.2025</t>
  </si>
  <si>
    <t>Extractor Sala TIC.</t>
  </si>
  <si>
    <t>Alimentación para bombas eléctricas peas 1 y 2</t>
  </si>
  <si>
    <t>Estribos pilar circular eje 16/M edificio G-I</t>
  </si>
  <si>
    <t>VENTILACION PEALL Y PEAS</t>
  </si>
  <si>
    <t>ELIMINACIÓN DE SUB ITEM DEL ITEM 6.1.2 -EQUIPOS CASINO PERSONAL</t>
  </si>
  <si>
    <t>Caso N°14: Refuerzo pedestales bajo deslizadores para uso de 2 líneas de trabas en manguitos</t>
  </si>
  <si>
    <t>Puertas 1° y 2° piso</t>
  </si>
  <si>
    <t>MODIF.MURO CONTENCIÓN</t>
  </si>
  <si>
    <t>Obras Adicionales Solicitadas por SERVIU para Colector Aguas Lluvias</t>
  </si>
  <si>
    <t>Acondicionamiento de arquitectura, mobiliario, instalación sanitaria y eléctrica en recinto 009 esterilización</t>
  </si>
  <si>
    <t xml:space="preserve"> Sistema de filtrado </t>
  </si>
  <si>
    <t>ORD. 550</t>
  </si>
  <si>
    <t>ORD. 1174</t>
  </si>
  <si>
    <t>Cambio de trazado de baldosas</t>
  </si>
  <si>
    <t xml:space="preserve">CAMBIO DE TRAZADO ESCALERILLA ELECTRICA Y CONDUCTORES ELECTRICOS </t>
  </si>
  <si>
    <t>Ord C4 N°3702 del 23.11.2024</t>
  </si>
  <si>
    <t>Construcción de cubículos baño Damas y Varones.</t>
  </si>
  <si>
    <t>caseta sala de aspiración y acceso a estanque criogénico</t>
  </si>
  <si>
    <t>Modificación Vanos eje 17 edificio K</t>
  </si>
  <si>
    <t>Eliminación de Ítem 6.29 Sistema Limpia Fachadas</t>
  </si>
  <si>
    <t>Caso N°3: Modificación suples losa de fundación</t>
  </si>
  <si>
    <t>Muros Perimetrales</t>
  </si>
  <si>
    <t>Modificación proyecto de arquitectura</t>
  </si>
  <si>
    <t>Planta de tratamiento de agua potable Hospital Pu Mulen de Quilacahuin, Segundo llamado</t>
  </si>
  <si>
    <t>Aumento por vereda de circulación, baranda de acero galvanizado, escalera de acceso, obra extraordinaria por cámara de inspección de hormigón y disminución escalera de acceso (corte D-D)</t>
  </si>
  <si>
    <t>ORD. 1846</t>
  </si>
  <si>
    <t>ORD. 1667</t>
  </si>
  <si>
    <t>MODIF. LOSA COLABORANTE</t>
  </si>
  <si>
    <t>Modificación instalación eléctrica en reciento A008 Lavandería</t>
  </si>
  <si>
    <t>Construcción Obras complementarias Hospital Pu Mulen de Quilacahuin, Segundo llamado</t>
  </si>
  <si>
    <t>Modificación al acceso bodega de pellet</t>
  </si>
  <si>
    <t>ORD. 1765</t>
  </si>
  <si>
    <t>ORD. 1663</t>
  </si>
  <si>
    <t>Evacuación de aguas lluvias Residuos sólidos</t>
  </si>
  <si>
    <t>INCORPORACIÓN DE PERFILES DE ACERO COMO REFUERZO EN VANOS DE PUERTAS AUTOMÁTICAS</t>
  </si>
  <si>
    <t>Ord C4 N°3702 del 23.11.2023</t>
  </si>
  <si>
    <t>Producción agua caliente sanitaria</t>
  </si>
  <si>
    <t>Instalación Sanitaria Recinto de Contingencia.</t>
  </si>
  <si>
    <t>Solicitud de alimentación eléctrica, hospital</t>
  </si>
  <si>
    <t>Disminución partida aislación bajo radier en recintos mecánicos</t>
  </si>
  <si>
    <t>BULBOS DE PRESION</t>
  </si>
  <si>
    <t>Suministro e instalación de geomalla sector eje vial 1-2-3 plaza 3-31-32-69</t>
  </si>
  <si>
    <t>Proyecto eléctrico actualizado</t>
  </si>
  <si>
    <t>Disminución encamisado OSB exterior y aumento por esquineros y cortagoteras</t>
  </si>
  <si>
    <t>ARMADURA FOSO MONTACARGA 400 KG</t>
  </si>
  <si>
    <t>Incorporación de Accesibilidad Universal</t>
  </si>
  <si>
    <t>Desplazamiento punto de datos por funcionalidad en recinto A004 Preparación alimentos</t>
  </si>
  <si>
    <t>Nota de Cambio N°189</t>
  </si>
  <si>
    <t>Incorporación variador de frecuencia PEAS</t>
  </si>
  <si>
    <t>Cambio de Materialidad revestimiento en aleros y definición material tapacanes</t>
  </si>
  <si>
    <t>Modificación cámaras de rejas</t>
  </si>
  <si>
    <t>Cambio materialidad muro ampliación cocina</t>
  </si>
  <si>
    <t>PUNTOS ELÉCTRICOS</t>
  </si>
  <si>
    <t>Ord C4 N°3702 del 23.11.2022</t>
  </si>
  <si>
    <t>Instalación Sala de REAS y Revestimientos.</t>
  </si>
  <si>
    <t>Modificación trazado piso 1, alcantarillado</t>
  </si>
  <si>
    <t>Poda árbol ciprés</t>
  </si>
  <si>
    <t>NUEVA LINEA DE ANCLAJES 4TO SUBTERRANEO</t>
  </si>
  <si>
    <t>DISEÑO INGENIERIA PROYECTO EXTENSION DE COLECTOR PUBLICO CAMINO A TALHUEN.</t>
  </si>
  <si>
    <t>Revestimiento fibrocemento de 8 mm más porcelanito en recintos preparación y deposito de cadáveres</t>
  </si>
  <si>
    <t>Normalización Hospital Queilen</t>
  </si>
  <si>
    <t>Cambio muro batache por talud soil nailing; aditivo cristalizador</t>
  </si>
  <si>
    <t>ORD. 228</t>
  </si>
  <si>
    <t>ORD. 2050</t>
  </si>
  <si>
    <t>Soporte para alimentadores existentes en techumbre</t>
  </si>
  <si>
    <t>ORD. 1805</t>
  </si>
  <si>
    <t>ORD. 3418</t>
  </si>
  <si>
    <t>Disminución de instalación de faena</t>
  </si>
  <si>
    <t>ORD. 1409</t>
  </si>
  <si>
    <t>ORD. 1325</t>
  </si>
  <si>
    <t>MODIF.FUNDACIONES EDIFICIO G</t>
  </si>
  <si>
    <t>Modificación enchufes por funcionalidad en recinto A003 Comedor</t>
  </si>
  <si>
    <t>Modificaciones fundaciones por diferencia de nivel de terreno</t>
  </si>
  <si>
    <t>disminución y obra extraordinaria por perfil lateral de escalera, subir nivel de cámara de alcantarillado y perfil angulo en estructura caseta de residuos solidos</t>
  </si>
  <si>
    <t>Instalación oficina de la ITO</t>
  </si>
  <si>
    <t>MODIFICA UNIÓN ESTRUCTURA METÁLICA MÓDULOS</t>
  </si>
  <si>
    <t>Ord C4 N°3702 del 23.11.2021</t>
  </si>
  <si>
    <t>Mejoramiento de aislación acústica para generador Hospital Pu Mulen de Quilacahuin.</t>
  </si>
  <si>
    <t>Arriendo generador eléctrico 150 KVA</t>
  </si>
  <si>
    <t>ORD. 1854</t>
  </si>
  <si>
    <t>ORD. 1664</t>
  </si>
  <si>
    <t>Muros y fundaciones de hormigón no contemplados en Proyecto de Licitación (Compensa NdC N° 51) Edificio Sur</t>
  </si>
  <si>
    <t xml:space="preserve">Nota de Cambio N°146 </t>
  </si>
  <si>
    <t>recorrido ruta accesible memo 33</t>
  </si>
  <si>
    <t>Cambio de trazado alcantarillado, CI6</t>
  </si>
  <si>
    <t>Unión Cuadrática Malla a Tierra</t>
  </si>
  <si>
    <t>Ampliación mitigación</t>
  </si>
  <si>
    <t>MODIFICACION PILAS DE ENTIBACION A SOCALZADO</t>
  </si>
  <si>
    <t>MODIFICACIONES MURO DE TIERRA ESTABILIZADA MECANICAMENTE (TEM)</t>
  </si>
  <si>
    <t>Computadores ITO</t>
  </si>
  <si>
    <t>Ord.2698 de fecha 18-06-2018</t>
  </si>
  <si>
    <t>Subir antepecho estructural en vano recinto recuperación secundaria (G1°27)</t>
  </si>
  <si>
    <t>Adecuaciones proyecto de calculo</t>
  </si>
  <si>
    <t>ORD. 164</t>
  </si>
  <si>
    <t>ORD. 840</t>
  </si>
  <si>
    <t>Tabique pabellones quirúrgicos 1° y 2° piso</t>
  </si>
  <si>
    <t>Relleno por desplazamiento planta de tratamiento de agua potable</t>
  </si>
  <si>
    <t>MODIFICACIÓN ESTRUCTURA DE ZÓCALO</t>
  </si>
  <si>
    <t>Servicio de Salud</t>
  </si>
  <si>
    <r>
      <rPr>
        <b/>
        <sz val="11"/>
        <rFont val="Calibri"/>
        <family val="2"/>
        <scheme val="minor"/>
      </rPr>
      <t>Clasificación:</t>
    </r>
    <r>
      <rPr>
        <sz val="11"/>
        <rFont val="Calibri"/>
        <family val="2"/>
        <scheme val="minor"/>
      </rPr>
      <t xml:space="preserve">
</t>
    </r>
  </si>
  <si>
    <r>
      <rPr>
        <b/>
        <sz val="11"/>
        <rFont val="Calibri"/>
        <family val="2"/>
        <scheme val="minor"/>
      </rPr>
      <t>Partida:</t>
    </r>
    <r>
      <rPr>
        <sz val="11"/>
        <rFont val="Calibri"/>
        <family val="2"/>
        <scheme val="minor"/>
      </rPr>
      <t xml:space="preserve">
</t>
    </r>
  </si>
  <si>
    <t>-Seleccionar-</t>
  </si>
  <si>
    <t>01 Arica</t>
  </si>
  <si>
    <t>02 Iquique</t>
  </si>
  <si>
    <t>03 Antofagasta</t>
  </si>
  <si>
    <t>09 Metropolitano Norte</t>
  </si>
  <si>
    <t>Instalaciones/Control Central</t>
  </si>
  <si>
    <t>10 Metropolitano Central</t>
  </si>
  <si>
    <t>13 Metropolitano Sur</t>
  </si>
  <si>
    <t>14 Metropolitano Sur Oriente</t>
  </si>
  <si>
    <t>15 O'Higgins</t>
  </si>
  <si>
    <t>16 Maule</t>
  </si>
  <si>
    <t>18 Concepción</t>
  </si>
  <si>
    <t>20 Bío Bío</t>
  </si>
  <si>
    <t>21 Arauco</t>
  </si>
  <si>
    <t>24 Valdivia</t>
  </si>
  <si>
    <t xml:space="preserve">28 Aysén </t>
  </si>
  <si>
    <t>29 Magallanes</t>
  </si>
  <si>
    <t>Servicios de Salud</t>
  </si>
  <si>
    <t>Origen</t>
  </si>
  <si>
    <t>- SELECCIONAR -</t>
  </si>
  <si>
    <t>Instalaciones</t>
  </si>
  <si>
    <t>Instalaciones/Electricas</t>
  </si>
  <si>
    <t>Normativa(OGUC,SERVIU,NTB,etc)</t>
  </si>
  <si>
    <t>Instalaciones/Gases Clinicos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</si>
</sst>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 &quot;$&quot;* #,##0.00_ ;_ &quot;$&quot;* \-#,##0.00_ ;_ &quot;$&quot;* &quot;-&quot;??_ ;_ @_ "/>
    <numFmt numFmtId="166" formatCode="&quot;$&quot;\ #,##0.00;\-&quot;$&quot;\ #,##0.00"/>
    <numFmt numFmtId="167" formatCode="&quot;$&quot;\ #,##0.00;[Red]\-&quot;$&quot;\ #,##0.00"/>
    <numFmt numFmtId="168" formatCode="_-&quot;$&quot;\ * #,##0.00_-;\-&quot;$&quot;\ * #,##0.00_-;_-&quot;$&quot;\ * &quot;-&quot;??_-;_-@_-"/>
    <numFmt numFmtId="169" formatCode="_-* #,##0.00\ _€_-;\-* #,##0.00\ _€_-;_-* &quot;-&quot;??\ _€_-;_-@_-"/>
    <numFmt numFmtId="170" formatCode="_-* #,##0\ &quot;pta&quot;_-;\-* #,##0\ &quot;pta&quot;_-;_-* &quot;-&quot;\ &quot;pta&quot;_-;_-@_-"/>
    <numFmt numFmtId="171" formatCode="_-* #,##0.00\ &quot;pta&quot;_-;\-* #,##0.00\ &quot;pta&quot;_-;_-* &quot;-&quot;??\ &quot;pta&quot;_-;_-@_-"/>
    <numFmt numFmtId="172" formatCode="_ [$€-2]\ * #,##0.00_ ;_ [$€-2]\ * \-#,##0.00_ ;_ [$€-2]\ * &quot;-&quot;??_ "/>
    <numFmt numFmtId="173" formatCode="_-* #,##0.000_-;\-* #,##0.000_-;_-* &quot;-&quot;??_-;_-@_-"/>
    <numFmt numFmtId="174" formatCode="_-* #,##0\ _€_-;\-* #,##0\ _€_-;_-* &quot;-&quot;\ _€_-;_-@_-"/>
    <numFmt numFmtId="175" formatCode="&quot;$&quot;#,##0.00;[Red]\-&quot;$&quot;#,##0.00"/>
    <numFmt numFmtId="176" formatCode="_-&quot;$&quot;\ * #,##0_-;\-&quot;$&quot;\ * #,##0_-;_-&quot;$&quot;\ * &quot;-&quot;_-;_-@_-"/>
    <numFmt numFmtId="177" formatCode="_-* #,##0_-;\-* #,##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 Light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3">
    <xf numFmtId="0" fontId="0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9" fontId="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 applyNumberForma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" fillId="0" borderId="0"/>
    <xf numFmtId="0" fontId="1" fillId="0" borderId="0"/>
    <xf numFmtId="17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0" fontId="1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169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5" fillId="0" borderId="0"/>
    <xf numFmtId="0" fontId="5" fillId="0" borderId="0"/>
    <xf numFmtId="168" fontId="5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168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169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175" fontId="5" fillId="0" borderId="0" applyFont="0" applyFill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0" fontId="1" fillId="0" borderId="0"/>
    <xf numFmtId="168" fontId="4" fillId="0" borderId="0" applyFont="0" applyFill="0" applyBorder="0" applyAlignment="0" applyProtection="0"/>
    <xf numFmtId="0" fontId="4" fillId="0" borderId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175" fontId="4" fillId="0" borderId="0" applyFont="0" applyFill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1" xfId="0" applyBorder="1"/>
    <xf numFmtId="0" fontId="0" fillId="3" borderId="0" xfId="0" applyFill="1"/>
    <xf numFmtId="0" fontId="0" fillId="0" borderId="0" xfId="0" quotePrefix="1" applyAlignment="1">
      <alignment horizontal="center"/>
    </xf>
    <xf numFmtId="0" fontId="10" fillId="0" borderId="1" xfId="120" applyFont="1" applyBorder="1" applyAlignment="1">
      <alignment horizontal="left" vertical="center" wrapText="1"/>
    </xf>
    <xf numFmtId="0" fontId="11" fillId="0" borderId="1" xfId="120" applyFont="1" applyBorder="1" applyAlignment="1">
      <alignment horizontal="left" vertical="center" wrapText="1"/>
    </xf>
    <xf numFmtId="0" fontId="10" fillId="0" borderId="8" xfId="12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/>
    </xf>
    <xf numFmtId="0" fontId="3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horizontal="left" vertical="top" wrapText="1"/>
    </xf>
    <xf numFmtId="0" fontId="0" fillId="0" borderId="1" xfId="0" quotePrefix="1" applyBorder="1"/>
    <xf numFmtId="0" fontId="8" fillId="0" borderId="4" xfId="0" applyFont="1" applyBorder="1"/>
    <xf numFmtId="0" fontId="8" fillId="0" borderId="5" xfId="0" applyFont="1" applyBorder="1"/>
    <xf numFmtId="0" fontId="8" fillId="0" borderId="0" xfId="0" applyFont="1"/>
    <xf numFmtId="0" fontId="8" fillId="0" borderId="2" xfId="0" applyFont="1" applyBorder="1"/>
    <xf numFmtId="0" fontId="8" fillId="0" borderId="3" xfId="0" applyFont="1" applyBorder="1"/>
    <xf numFmtId="0" fontId="8" fillId="0" borderId="6" xfId="0" applyFont="1" applyBorder="1"/>
    <xf numFmtId="0" fontId="8" fillId="0" borderId="1" xfId="0" applyFont="1" applyBorder="1"/>
    <xf numFmtId="0" fontId="12" fillId="2" borderId="1" xfId="0" applyFont="1" applyFill="1" applyBorder="1"/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2" borderId="1" xfId="0" applyFont="1" applyFill="1" applyBorder="1"/>
    <xf numFmtId="0" fontId="12" fillId="2" borderId="8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6" fillId="0" borderId="1" xfId="0" applyFont="1" applyBorder="1" applyAlignment="1">
      <alignment horizontal="right"/>
    </xf>
    <xf numFmtId="1" fontId="16" fillId="0" borderId="1" xfId="0" applyNumberFormat="1" applyFont="1" applyBorder="1" applyAlignment="1">
      <alignment horizontal="right"/>
    </xf>
    <xf numFmtId="14" fontId="16" fillId="0" borderId="1" xfId="0" applyNumberFormat="1" applyFont="1" applyBorder="1" applyAlignment="1">
      <alignment horizontal="right"/>
    </xf>
    <xf numFmtId="0" fontId="8" fillId="0" borderId="0" xfId="0" applyFont="1" applyAlignment="1">
      <alignment horizontal="left"/>
    </xf>
    <xf numFmtId="43" fontId="16" fillId="0" borderId="1" xfId="119" applyFont="1" applyFill="1" applyBorder="1" applyAlignment="1">
      <alignment horizontal="left"/>
    </xf>
    <xf numFmtId="41" fontId="16" fillId="0" borderId="1" xfId="121" applyFont="1" applyFill="1" applyBorder="1" applyAlignment="1">
      <alignment horizontal="right"/>
    </xf>
    <xf numFmtId="2" fontId="16" fillId="0" borderId="1" xfId="0" applyNumberFormat="1" applyFont="1" applyBorder="1" applyAlignment="1">
      <alignment horizontal="right"/>
    </xf>
    <xf numFmtId="177" fontId="17" fillId="5" borderId="1" xfId="119" applyNumberFormat="1" applyFont="1" applyFill="1" applyBorder="1" applyAlignment="1">
      <alignment horizontal="center" vertical="center" wrapText="1"/>
    </xf>
    <xf numFmtId="41" fontId="16" fillId="6" borderId="1" xfId="121" applyFont="1" applyFill="1" applyBorder="1" applyAlignment="1">
      <alignment horizontal="right"/>
    </xf>
    <xf numFmtId="14" fontId="16" fillId="0" borderId="1" xfId="0" applyNumberFormat="1" applyFont="1" applyBorder="1" applyAlignment="1">
      <alignment horizontal="center"/>
    </xf>
    <xf numFmtId="0" fontId="8" fillId="6" borderId="1" xfId="0" applyFont="1" applyFill="1" applyBorder="1" applyAlignment="1">
      <alignment horizontal="left"/>
    </xf>
    <xf numFmtId="3" fontId="16" fillId="6" borderId="1" xfId="0" applyNumberFormat="1" applyFont="1" applyFill="1" applyBorder="1" applyAlignment="1">
      <alignment horizontal="left"/>
    </xf>
    <xf numFmtId="3" fontId="16" fillId="0" borderId="1" xfId="0" applyNumberFormat="1" applyFont="1" applyBorder="1" applyAlignment="1">
      <alignment horizontal="center" vertical="center"/>
    </xf>
    <xf numFmtId="3" fontId="16" fillId="0" borderId="1" xfId="0" applyNumberFormat="1" applyFont="1" applyBorder="1"/>
    <xf numFmtId="0" fontId="16" fillId="0" borderId="0" xfId="0" applyFont="1"/>
    <xf numFmtId="0" fontId="17" fillId="5" borderId="1" xfId="0" applyFont="1" applyFill="1" applyBorder="1" applyAlignment="1">
      <alignment horizontal="center" vertical="center" wrapText="1"/>
    </xf>
    <xf numFmtId="0" fontId="17" fillId="5" borderId="1" xfId="119" applyNumberFormat="1" applyFont="1" applyFill="1" applyBorder="1" applyAlignment="1">
      <alignment horizontal="center" vertical="center" wrapText="1"/>
    </xf>
    <xf numFmtId="14" fontId="17" fillId="5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8" fillId="6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3" fontId="16" fillId="6" borderId="1" xfId="0" applyNumberFormat="1" applyFont="1" applyFill="1" applyBorder="1" applyAlignment="1">
      <alignment horizontal="left" vertical="top"/>
    </xf>
    <xf numFmtId="43" fontId="16" fillId="0" borderId="1" xfId="119" applyFont="1" applyFill="1" applyBorder="1" applyAlignment="1">
      <alignment horizontal="left" vertical="top"/>
    </xf>
    <xf numFmtId="43" fontId="8" fillId="0" borderId="1" xfId="119" applyFont="1" applyFill="1" applyBorder="1" applyAlignment="1">
      <alignment horizontal="left" vertical="top"/>
    </xf>
    <xf numFmtId="3" fontId="16" fillId="0" borderId="1" xfId="0" applyNumberFormat="1" applyFont="1" applyBorder="1" applyAlignment="1">
      <alignment horizontal="left" vertical="top"/>
    </xf>
    <xf numFmtId="41" fontId="16" fillId="0" borderId="1" xfId="121" applyFont="1" applyFill="1" applyBorder="1" applyAlignment="1">
      <alignment horizontal="left" vertical="top"/>
    </xf>
    <xf numFmtId="41" fontId="16" fillId="6" borderId="1" xfId="121" applyFont="1" applyFill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1" fontId="16" fillId="0" borderId="1" xfId="0" applyNumberFormat="1" applyFont="1" applyBorder="1" applyAlignment="1">
      <alignment horizontal="left" vertical="top"/>
    </xf>
    <xf numFmtId="14" fontId="16" fillId="0" borderId="1" xfId="0" applyNumberFormat="1" applyFont="1" applyBorder="1" applyAlignment="1">
      <alignment horizontal="left" vertical="top"/>
    </xf>
    <xf numFmtId="2" fontId="16" fillId="0" borderId="1" xfId="0" applyNumberFormat="1" applyFont="1" applyBorder="1" applyAlignment="1">
      <alignment horizontal="left" vertical="top"/>
    </xf>
    <xf numFmtId="177" fontId="8" fillId="0" borderId="1" xfId="119" applyNumberFormat="1" applyFont="1" applyFill="1" applyBorder="1" applyAlignment="1">
      <alignment horizontal="left" vertical="top"/>
    </xf>
    <xf numFmtId="177" fontId="8" fillId="6" borderId="1" xfId="119" applyNumberFormat="1" applyFont="1" applyFill="1" applyBorder="1" applyAlignment="1">
      <alignment horizontal="left" vertical="top"/>
    </xf>
    <xf numFmtId="14" fontId="8" fillId="0" borderId="1" xfId="0" applyNumberFormat="1" applyFont="1" applyBorder="1" applyAlignment="1">
      <alignment horizontal="left" vertical="top"/>
    </xf>
    <xf numFmtId="0" fontId="17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1" fontId="16" fillId="0" borderId="1" xfId="121" applyFont="1" applyBorder="1" applyAlignment="1">
      <alignment horizontal="left" vertical="top"/>
    </xf>
    <xf numFmtId="3" fontId="16" fillId="0" borderId="1" xfId="0" applyNumberFormat="1" applyFont="1" applyBorder="1" applyAlignment="1">
      <alignment horizontal="left"/>
    </xf>
    <xf numFmtId="3" fontId="16" fillId="0" borderId="1" xfId="0" applyNumberFormat="1" applyFont="1" applyBorder="1" applyAlignment="1">
      <alignment horizontal="center" vertical="top"/>
    </xf>
    <xf numFmtId="0" fontId="19" fillId="0" borderId="1" xfId="0" applyFont="1" applyBorder="1" applyAlignment="1">
      <alignment horizontal="center" wrapText="1"/>
    </xf>
    <xf numFmtId="0" fontId="19" fillId="0" borderId="1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top"/>
    </xf>
    <xf numFmtId="1" fontId="17" fillId="5" borderId="1" xfId="0" applyNumberFormat="1" applyFont="1" applyFill="1" applyBorder="1" applyAlignment="1">
      <alignment horizontal="right" vertical="center" wrapText="1"/>
    </xf>
    <xf numFmtId="1" fontId="16" fillId="0" borderId="1" xfId="0" applyNumberFormat="1" applyFont="1" applyBorder="1" applyAlignment="1">
      <alignment horizontal="right" vertical="top"/>
    </xf>
    <xf numFmtId="1" fontId="8" fillId="0" borderId="1" xfId="0" applyNumberFormat="1" applyFont="1" applyBorder="1" applyAlignment="1">
      <alignment horizontal="right" vertical="top"/>
    </xf>
    <xf numFmtId="0" fontId="12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2" borderId="8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12" fillId="2" borderId="1" xfId="0" applyFont="1" applyFill="1" applyBorder="1" applyAlignment="1">
      <alignment horizontal="center"/>
    </xf>
  </cellXfs>
  <cellStyles count="193">
    <cellStyle name="Euro" xfId="10" xr:uid="{00000000-0005-0000-0000-000000000000}"/>
    <cellStyle name="Euro 2" xfId="125" xr:uid="{00000000-0005-0000-0000-000000000000}"/>
    <cellStyle name="Hipervínculo 2" xfId="34" xr:uid="{00000000-0005-0000-0000-000001000000}"/>
    <cellStyle name="Millares" xfId="119" builtinId="3"/>
    <cellStyle name="Millares [0]" xfId="121" builtinId="6"/>
    <cellStyle name="Millares [0] 2" xfId="59" xr:uid="{00000000-0005-0000-0000-000000000000}"/>
    <cellStyle name="Millares [0] 2 2" xfId="158" xr:uid="{00000000-0005-0000-0000-000000000000}"/>
    <cellStyle name="Millares [0] 2 2 2" xfId="11" xr:uid="{00000000-0005-0000-0000-000003000000}"/>
    <cellStyle name="Millares [0] 2 2 2 2" xfId="126" xr:uid="{00000000-0005-0000-0000-000003000000}"/>
    <cellStyle name="Millares 19" xfId="93" xr:uid="{00000000-0005-0000-0000-000001000000}"/>
    <cellStyle name="Millares 19 2" xfId="175" xr:uid="{00000000-0005-0000-0000-000001000000}"/>
    <cellStyle name="Millares 2" xfId="2" xr:uid="{00000000-0005-0000-0000-000004000000}"/>
    <cellStyle name="Millares 2 2" xfId="13" xr:uid="{00000000-0005-0000-0000-000005000000}"/>
    <cellStyle name="Millares 2 2 2" xfId="14" xr:uid="{00000000-0005-0000-0000-000006000000}"/>
    <cellStyle name="Millares 2 2 2 2" xfId="27" xr:uid="{00000000-0005-0000-0000-000007000000}"/>
    <cellStyle name="Millares 2 2 2 2 2" xfId="138" xr:uid="{00000000-0005-0000-0000-000007000000}"/>
    <cellStyle name="Millares 2 2 2 3" xfId="36" xr:uid="{00000000-0005-0000-0000-000008000000}"/>
    <cellStyle name="Millares 2 2 2 3 2" xfId="144" xr:uid="{00000000-0005-0000-0000-000008000000}"/>
    <cellStyle name="Millares 2 2 2 4" xfId="49" xr:uid="{00000000-0005-0000-0000-000009000000}"/>
    <cellStyle name="Millares 2 2 2 4 2" xfId="151" xr:uid="{00000000-0005-0000-0000-000009000000}"/>
    <cellStyle name="Millares 2 2 2 5" xfId="128" xr:uid="{00000000-0005-0000-0000-000006000000}"/>
    <cellStyle name="Millares 2 2 3" xfId="26" xr:uid="{00000000-0005-0000-0000-00000A000000}"/>
    <cellStyle name="Millares 2 2 3 2" xfId="137" xr:uid="{00000000-0005-0000-0000-00000A000000}"/>
    <cellStyle name="Millares 2 2 4" xfId="35" xr:uid="{00000000-0005-0000-0000-00000B000000}"/>
    <cellStyle name="Millares 2 2 4 2" xfId="143" xr:uid="{00000000-0005-0000-0000-00000B000000}"/>
    <cellStyle name="Millares 2 2 5" xfId="48" xr:uid="{00000000-0005-0000-0000-00000C000000}"/>
    <cellStyle name="Millares 2 2 5 2" xfId="150" xr:uid="{00000000-0005-0000-0000-00000C000000}"/>
    <cellStyle name="Millares 2 2 6" xfId="86" xr:uid="{00000000-0005-0000-0000-000003000000}"/>
    <cellStyle name="Millares 2 2 7" xfId="127" xr:uid="{00000000-0005-0000-0000-000005000000}"/>
    <cellStyle name="Millares 2 3" xfId="12" xr:uid="{00000000-0005-0000-0000-00000D000000}"/>
    <cellStyle name="Millares 2 3 2" xfId="82" xr:uid="{00000000-0005-0000-0000-000004000000}"/>
    <cellStyle name="Millares 2 4" xfId="58" xr:uid="{00000000-0005-0000-0000-000002000000}"/>
    <cellStyle name="Millares 2 4 2" xfId="157" xr:uid="{00000000-0005-0000-0000-000002000000}"/>
    <cellStyle name="Millares 2 5" xfId="102" xr:uid="{00000000-0005-0000-0000-000034000000}"/>
    <cellStyle name="Millares 3" xfId="3" xr:uid="{00000000-0005-0000-0000-00000E000000}"/>
    <cellStyle name="Millares 3 2" xfId="81" xr:uid="{00000000-0005-0000-0000-000006000000}"/>
    <cellStyle name="Millares 3 3" xfId="83" xr:uid="{00000000-0005-0000-0000-000007000000}"/>
    <cellStyle name="Millares 3 4" xfId="69" xr:uid="{00000000-0005-0000-0000-000005000000}"/>
    <cellStyle name="Millares 4" xfId="84" xr:uid="{00000000-0005-0000-0000-000008000000}"/>
    <cellStyle name="Millares 4 2" xfId="172" xr:uid="{00000000-0005-0000-0000-000008000000}"/>
    <cellStyle name="Millares 5" xfId="75" xr:uid="{00000000-0005-0000-0000-000009000000}"/>
    <cellStyle name="Millares 5 2" xfId="170" xr:uid="{00000000-0005-0000-0000-000009000000}"/>
    <cellStyle name="Moneda [0] 2" xfId="17" xr:uid="{00000000-0005-0000-0000-000010000000}"/>
    <cellStyle name="Moneda [0] 2 2" xfId="38" xr:uid="{00000000-0005-0000-0000-000011000000}"/>
    <cellStyle name="Moneda [0] 2 2 2" xfId="98" xr:uid="{00000000-0005-0000-0000-00000A000000}"/>
    <cellStyle name="Moneda [0] 2 2 2 2" xfId="177" xr:uid="{00000000-0005-0000-0000-00000A000000}"/>
    <cellStyle name="Moneda [0] 2 2 3" xfId="146" xr:uid="{00000000-0005-0000-0000-000011000000}"/>
    <cellStyle name="Moneda [0] 2 3" xfId="70" xr:uid="{00000000-0005-0000-0000-00000A000000}"/>
    <cellStyle name="Moneda [0] 2 3 2" xfId="166" xr:uid="{00000000-0005-0000-0000-00000A000000}"/>
    <cellStyle name="Moneda [0] 2 4" xfId="104" xr:uid="{00000000-0005-0000-0000-000036000000}"/>
    <cellStyle name="Moneda [0] 2 5" xfId="131" xr:uid="{00000000-0005-0000-0000-000010000000}"/>
    <cellStyle name="Moneda [0] 3" xfId="16" xr:uid="{00000000-0005-0000-0000-000012000000}"/>
    <cellStyle name="Moneda [0] 3 2" xfId="99" xr:uid="{00000000-0005-0000-0000-00000B000000}"/>
    <cellStyle name="Moneda [0] 3 2 2" xfId="178" xr:uid="{00000000-0005-0000-0000-00000B000000}"/>
    <cellStyle name="Moneda [0] 3 3" xfId="73" xr:uid="{00000000-0005-0000-0000-00000B000000}"/>
    <cellStyle name="Moneda [0] 3 3 2" xfId="168" xr:uid="{00000000-0005-0000-0000-00000B000000}"/>
    <cellStyle name="Moneda [0] 3 4" xfId="130" xr:uid="{00000000-0005-0000-0000-000012000000}"/>
    <cellStyle name="Moneda [0] 4" xfId="29" xr:uid="{00000000-0005-0000-0000-000013000000}"/>
    <cellStyle name="Moneda [0] 4 2" xfId="140" xr:uid="{00000000-0005-0000-0000-000013000000}"/>
    <cellStyle name="Moneda [0] 5" xfId="96" xr:uid="{00000000-0005-0000-0000-00006D000000}"/>
    <cellStyle name="Moneda [0] 5 2" xfId="176" xr:uid="{00000000-0005-0000-0000-00006D000000}"/>
    <cellStyle name="Moneda [0] 6" xfId="55" xr:uid="{00000000-0005-0000-0000-000049000000}"/>
    <cellStyle name="Moneda [0] 6 2" xfId="155" xr:uid="{00000000-0005-0000-0000-000049000000}"/>
    <cellStyle name="Moneda 10" xfId="4" xr:uid="{00000000-0005-0000-0000-000048000000}"/>
    <cellStyle name="Moneda 10 2" xfId="107" xr:uid="{00000000-0005-0000-0000-000095000000}"/>
    <cellStyle name="Moneda 10 2 2" xfId="181" xr:uid="{00000000-0005-0000-0000-000095000000}"/>
    <cellStyle name="Moneda 10 3" xfId="123" xr:uid="{00000000-0005-0000-0000-000048000000}"/>
    <cellStyle name="Moneda 11" xfId="108" xr:uid="{00000000-0005-0000-0000-000097000000}"/>
    <cellStyle name="Moneda 11 2" xfId="182" xr:uid="{00000000-0005-0000-0000-000097000000}"/>
    <cellStyle name="Moneda 12" xfId="110" xr:uid="{00000000-0005-0000-0000-000098000000}"/>
    <cellStyle name="Moneda 12 2" xfId="184" xr:uid="{00000000-0005-0000-0000-000098000000}"/>
    <cellStyle name="Moneda 13" xfId="109" xr:uid="{00000000-0005-0000-0000-000099000000}"/>
    <cellStyle name="Moneda 13 2" xfId="183" xr:uid="{00000000-0005-0000-0000-000099000000}"/>
    <cellStyle name="Moneda 14" xfId="111" xr:uid="{00000000-0005-0000-0000-00009A000000}"/>
    <cellStyle name="Moneda 14 2" xfId="185" xr:uid="{00000000-0005-0000-0000-00009A000000}"/>
    <cellStyle name="Moneda 15" xfId="112" xr:uid="{00000000-0005-0000-0000-00009B000000}"/>
    <cellStyle name="Moneda 15 2" xfId="186" xr:uid="{00000000-0005-0000-0000-00009B000000}"/>
    <cellStyle name="Moneda 16" xfId="113" xr:uid="{00000000-0005-0000-0000-00009C000000}"/>
    <cellStyle name="Moneda 16 2" xfId="187" xr:uid="{00000000-0005-0000-0000-00009C000000}"/>
    <cellStyle name="Moneda 17" xfId="114" xr:uid="{00000000-0005-0000-0000-00009D000000}"/>
    <cellStyle name="Moneda 17 2" xfId="188" xr:uid="{00000000-0005-0000-0000-00009D000000}"/>
    <cellStyle name="Moneda 18" xfId="115" xr:uid="{00000000-0005-0000-0000-00009E000000}"/>
    <cellStyle name="Moneda 18 2" xfId="189" xr:uid="{00000000-0005-0000-0000-00009E000000}"/>
    <cellStyle name="Moneda 19" xfId="116" xr:uid="{00000000-0005-0000-0000-00009F000000}"/>
    <cellStyle name="Moneda 19 2" xfId="190" xr:uid="{00000000-0005-0000-0000-00009F000000}"/>
    <cellStyle name="Moneda 2" xfId="5" xr:uid="{00000000-0005-0000-0000-000014000000}"/>
    <cellStyle name="Moneda 2 2" xfId="18" xr:uid="{00000000-0005-0000-0000-000015000000}"/>
    <cellStyle name="Moneda 2 2 2" xfId="19" xr:uid="{00000000-0005-0000-0000-000016000000}"/>
    <cellStyle name="Moneda 2 2 2 2" xfId="31" xr:uid="{00000000-0005-0000-0000-000017000000}"/>
    <cellStyle name="Moneda 2 2 2 2 2" xfId="142" xr:uid="{00000000-0005-0000-0000-000017000000}"/>
    <cellStyle name="Moneda 2 2 2 3" xfId="41" xr:uid="{00000000-0005-0000-0000-000018000000}"/>
    <cellStyle name="Moneda 2 2 2 3 2" xfId="148" xr:uid="{00000000-0005-0000-0000-000018000000}"/>
    <cellStyle name="Moneda 2 2 2 4" xfId="52" xr:uid="{00000000-0005-0000-0000-000019000000}"/>
    <cellStyle name="Moneda 2 2 2 4 2" xfId="154" xr:uid="{00000000-0005-0000-0000-000019000000}"/>
    <cellStyle name="Moneda 2 2 2 5" xfId="133" xr:uid="{00000000-0005-0000-0000-000016000000}"/>
    <cellStyle name="Moneda 2 2 3" xfId="30" xr:uid="{00000000-0005-0000-0000-00001A000000}"/>
    <cellStyle name="Moneda 2 2 3 2" xfId="141" xr:uid="{00000000-0005-0000-0000-00001A000000}"/>
    <cellStyle name="Moneda 2 2 4" xfId="40" xr:uid="{00000000-0005-0000-0000-00001B000000}"/>
    <cellStyle name="Moneda 2 2 4 2" xfId="147" xr:uid="{00000000-0005-0000-0000-00001B000000}"/>
    <cellStyle name="Moneda 2 2 5" xfId="51" xr:uid="{00000000-0005-0000-0000-00001C000000}"/>
    <cellStyle name="Moneda 2 2 5 2" xfId="153" xr:uid="{00000000-0005-0000-0000-00001C000000}"/>
    <cellStyle name="Moneda 2 2 6" xfId="79" xr:uid="{00000000-0005-0000-0000-00000D000000}"/>
    <cellStyle name="Moneda 2 2 7" xfId="132" xr:uid="{00000000-0005-0000-0000-000015000000}"/>
    <cellStyle name="Moneda 2 3" xfId="39" xr:uid="{00000000-0005-0000-0000-00001D000000}"/>
    <cellStyle name="Moneda 2 4" xfId="87" xr:uid="{00000000-0005-0000-0000-00000C000000}"/>
    <cellStyle name="Moneda 2 5" xfId="103" xr:uid="{00000000-0005-0000-0000-000035000000}"/>
    <cellStyle name="Moneda 20" xfId="117" xr:uid="{00000000-0005-0000-0000-0000A0000000}"/>
    <cellStyle name="Moneda 20 2" xfId="191" xr:uid="{00000000-0005-0000-0000-0000A0000000}"/>
    <cellStyle name="Moneda 21" xfId="118" xr:uid="{00000000-0005-0000-0000-0000A1000000}"/>
    <cellStyle name="Moneda 21 2" xfId="192" xr:uid="{00000000-0005-0000-0000-0000A1000000}"/>
    <cellStyle name="Moneda 22" xfId="105" xr:uid="{00000000-0005-0000-0000-000099000000}"/>
    <cellStyle name="Moneda 22 2" xfId="180" xr:uid="{00000000-0005-0000-0000-000099000000}"/>
    <cellStyle name="Moneda 3" xfId="6" xr:uid="{00000000-0005-0000-0000-00001E000000}"/>
    <cellStyle name="Moneda 3 2" xfId="42" xr:uid="{00000000-0005-0000-0000-00001F000000}"/>
    <cellStyle name="Moneda 3 2 2" xfId="72" xr:uid="{00000000-0005-0000-0000-00000F000000}"/>
    <cellStyle name="Moneda 3 3" xfId="77" xr:uid="{00000000-0005-0000-0000-00000E000000}"/>
    <cellStyle name="Moneda 4" xfId="15" xr:uid="{00000000-0005-0000-0000-000020000000}"/>
    <cellStyle name="Moneda 4 2" xfId="43" xr:uid="{00000000-0005-0000-0000-000021000000}"/>
    <cellStyle name="Moneda 4 3" xfId="78" xr:uid="{00000000-0005-0000-0000-000010000000}"/>
    <cellStyle name="Moneda 4 3 2" xfId="171" xr:uid="{00000000-0005-0000-0000-000010000000}"/>
    <cellStyle name="Moneda 4 4" xfId="129" xr:uid="{00000000-0005-0000-0000-000020000000}"/>
    <cellStyle name="Moneda 5" xfId="28" xr:uid="{00000000-0005-0000-0000-000022000000}"/>
    <cellStyle name="Moneda 5 2" xfId="44" xr:uid="{00000000-0005-0000-0000-000023000000}"/>
    <cellStyle name="Moneda 5 2 2" xfId="66" xr:uid="{00000000-0005-0000-0000-000012000000}"/>
    <cellStyle name="Moneda 5 2 2 2" xfId="164" xr:uid="{00000000-0005-0000-0000-000012000000}"/>
    <cellStyle name="Moneda 5 3" xfId="62" xr:uid="{00000000-0005-0000-0000-000011000000}"/>
    <cellStyle name="Moneda 5 3 2" xfId="161" xr:uid="{00000000-0005-0000-0000-000011000000}"/>
    <cellStyle name="Moneda 5 4" xfId="139" xr:uid="{00000000-0005-0000-0000-000022000000}"/>
    <cellStyle name="Moneda 6" xfId="37" xr:uid="{00000000-0005-0000-0000-000024000000}"/>
    <cellStyle name="Moneda 6 2" xfId="74" xr:uid="{00000000-0005-0000-0000-000013000000}"/>
    <cellStyle name="Moneda 6 2 2" xfId="169" xr:uid="{00000000-0005-0000-0000-000013000000}"/>
    <cellStyle name="Moneda 6 3" xfId="145" xr:uid="{00000000-0005-0000-0000-000024000000}"/>
    <cellStyle name="Moneda 7" xfId="47" xr:uid="{00000000-0005-0000-0000-000025000000}"/>
    <cellStyle name="Moneda 7 2" xfId="149" xr:uid="{00000000-0005-0000-0000-000025000000}"/>
    <cellStyle name="Moneda 8" xfId="50" xr:uid="{00000000-0005-0000-0000-000026000000}"/>
    <cellStyle name="Moneda 8 2" xfId="152" xr:uid="{00000000-0005-0000-0000-000026000000}"/>
    <cellStyle name="Moneda 9" xfId="101" xr:uid="{00000000-0005-0000-0000-000090000000}"/>
    <cellStyle name="Moneda 9 2" xfId="179" xr:uid="{00000000-0005-0000-0000-000090000000}"/>
    <cellStyle name="Normal" xfId="0" builtinId="0"/>
    <cellStyle name="Normal 10 2" xfId="20" xr:uid="{00000000-0005-0000-0000-000028000000}"/>
    <cellStyle name="Normal 10 2 2" xfId="134" xr:uid="{00000000-0005-0000-0000-000028000000}"/>
    <cellStyle name="Normal 11" xfId="63" xr:uid="{00000000-0005-0000-0000-000015000000}"/>
    <cellStyle name="Normal 11 2" xfId="61" xr:uid="{00000000-0005-0000-0000-000016000000}"/>
    <cellStyle name="Normal 11 2 2" xfId="65" xr:uid="{00000000-0005-0000-0000-000017000000}"/>
    <cellStyle name="Normal 11 2 2 2" xfId="163" xr:uid="{00000000-0005-0000-0000-000017000000}"/>
    <cellStyle name="Normal 11 2 3" xfId="160" xr:uid="{00000000-0005-0000-0000-000016000000}"/>
    <cellStyle name="Normal 17" xfId="120" xr:uid="{D96BD727-8897-4334-9582-5D5A88B86CDD}"/>
    <cellStyle name="Normal 2" xfId="7" xr:uid="{00000000-0005-0000-0000-000029000000}"/>
    <cellStyle name="Normal 2 2" xfId="22" xr:uid="{00000000-0005-0000-0000-00002A000000}"/>
    <cellStyle name="Normal 2 2 2" xfId="64" xr:uid="{00000000-0005-0000-0000-00001A000000}"/>
    <cellStyle name="Normal 2 2 2 2" xfId="162" xr:uid="{00000000-0005-0000-0000-00001A000000}"/>
    <cellStyle name="Normal 2 2 3" xfId="80" xr:uid="{00000000-0005-0000-0000-00001B000000}"/>
    <cellStyle name="Normal 2 2 4" xfId="68" xr:uid="{00000000-0005-0000-0000-000019000000}"/>
    <cellStyle name="Normal 2 2 5" xfId="136" xr:uid="{00000000-0005-0000-0000-00002A000000}"/>
    <cellStyle name="Normal 2 3" xfId="21" xr:uid="{00000000-0005-0000-0000-00002B000000}"/>
    <cellStyle name="Normal 2 3 2" xfId="135" xr:uid="{00000000-0005-0000-0000-00002B000000}"/>
    <cellStyle name="Normal 2 4" xfId="85" xr:uid="{00000000-0005-0000-0000-00001D000000}"/>
    <cellStyle name="Normal 3" xfId="23" xr:uid="{00000000-0005-0000-0000-00002C000000}"/>
    <cellStyle name="Normal 3 2" xfId="32" xr:uid="{00000000-0005-0000-0000-00002D000000}"/>
    <cellStyle name="Normal 3 2 2" xfId="91" xr:uid="{00000000-0005-0000-0000-00001F000000}"/>
    <cellStyle name="Normal 3 2 2 2" xfId="173" xr:uid="{00000000-0005-0000-0000-00001F000000}"/>
    <cellStyle name="Normal 3 3" xfId="45" xr:uid="{00000000-0005-0000-0000-00002E000000}"/>
    <cellStyle name="Normal 3 4" xfId="53" xr:uid="{00000000-0005-0000-0000-00002F000000}"/>
    <cellStyle name="Normal 3 5" xfId="60" xr:uid="{00000000-0005-0000-0000-00001E000000}"/>
    <cellStyle name="Normal 3 5 2" xfId="159" xr:uid="{00000000-0005-0000-0000-00001E000000}"/>
    <cellStyle name="Normal 4" xfId="24" xr:uid="{00000000-0005-0000-0000-000030000000}"/>
    <cellStyle name="Normal 4 2" xfId="33" xr:uid="{00000000-0005-0000-0000-000031000000}"/>
    <cellStyle name="Normal 4 3" xfId="46" xr:uid="{00000000-0005-0000-0000-000032000000}"/>
    <cellStyle name="Normal 4 4" xfId="54" xr:uid="{00000000-0005-0000-0000-000033000000}"/>
    <cellStyle name="Normal 4 5" xfId="89" xr:uid="{00000000-0005-0000-0000-000020000000}"/>
    <cellStyle name="Normal 5" xfId="9" xr:uid="{00000000-0005-0000-0000-000034000000}"/>
    <cellStyle name="Normal 5 2" xfId="94" xr:uid="{00000000-0005-0000-0000-000021000000}"/>
    <cellStyle name="Normal 5 3" xfId="124" xr:uid="{00000000-0005-0000-0000-000034000000}"/>
    <cellStyle name="Normal 6" xfId="92" xr:uid="{00000000-0005-0000-0000-000022000000}"/>
    <cellStyle name="Normal 6 2" xfId="174" xr:uid="{00000000-0005-0000-0000-000022000000}"/>
    <cellStyle name="Normal 7" xfId="57" xr:uid="{00000000-0005-0000-0000-00007A000000}"/>
    <cellStyle name="Normal 7 2" xfId="122" xr:uid="{0AAF388A-2D29-48B0-985E-386A6A18B076}"/>
    <cellStyle name="Normal 8" xfId="100" xr:uid="{00000000-0005-0000-0000-000093000000}"/>
    <cellStyle name="Normal 9" xfId="1" xr:uid="{00000000-0005-0000-0000-000071000000}"/>
    <cellStyle name="Normal 9 2" xfId="106" xr:uid="{00000000-0005-0000-0000-000096000000}"/>
    <cellStyle name="Porcentaje 2" xfId="8" xr:uid="{00000000-0005-0000-0000-000036000000}"/>
    <cellStyle name="Porcentaje 2 2" xfId="25" xr:uid="{00000000-0005-0000-0000-000037000000}"/>
    <cellStyle name="Porcentaje 2 2 2" xfId="88" xr:uid="{00000000-0005-0000-0000-000024000000}"/>
    <cellStyle name="Porcentaje 2 3" xfId="76" xr:uid="{00000000-0005-0000-0000-000025000000}"/>
    <cellStyle name="Porcentaje 2 4" xfId="71" xr:uid="{00000000-0005-0000-0000-000023000000}"/>
    <cellStyle name="Porcentaje 2 4 2" xfId="167" xr:uid="{00000000-0005-0000-0000-000023000000}"/>
    <cellStyle name="Porcentaje 3" xfId="90" xr:uid="{00000000-0005-0000-0000-000026000000}"/>
    <cellStyle name="Porcentaje 4" xfId="95" xr:uid="{00000000-0005-0000-0000-000027000000}"/>
    <cellStyle name="Porcentaje 5" xfId="67" xr:uid="{00000000-0005-0000-0000-000028000000}"/>
    <cellStyle name="Porcentaje 5 2" xfId="165" xr:uid="{00000000-0005-0000-0000-000028000000}"/>
    <cellStyle name="Porcentaje 6" xfId="97" xr:uid="{00000000-0005-0000-0000-000088000000}"/>
    <cellStyle name="Porcentaje 7" xfId="56" xr:uid="{00000000-0005-0000-0000-00008F000000}"/>
    <cellStyle name="Porcentaje 7 2" xfId="156" xr:uid="{00000000-0005-0000-0000-00008F000000}"/>
  </cellStyles>
  <dxfs count="0"/>
  <tableStyles count="0" defaultTableStyle="TableStyleMedium2" defaultPivotStyle="PivotStyleLight16"/>
  <colors>
    <mruColors>
      <color rgb="FFCC99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Clasificación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'1_Resumen'!$A$8:$A$11</c:f>
              <c:strCache>
                <c:ptCount val="4"/>
                <c:pt idx="0">
                  <c:v>Errores de Diseño</c:v>
                </c:pt>
                <c:pt idx="1">
                  <c:v>Funcionalidad</c:v>
                </c:pt>
                <c:pt idx="2">
                  <c:v>OGUC, SERVIU</c:v>
                </c:pt>
                <c:pt idx="3">
                  <c:v>AS/NTB</c:v>
                </c:pt>
              </c:strCache>
            </c:strRef>
          </c:cat>
          <c:val>
            <c:numRef>
              <c:f>'1_Resumen'!$B$8:$B$11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DA78-4A83-A22B-D2EB58196510}"/>
            </c:ext>
          </c:extLst>
        </c:ser>
        <c:ser>
          <c:idx val="1"/>
          <c:order val="1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'1_Resumen'!$A$8:$A$11</c:f>
              <c:strCache>
                <c:ptCount val="4"/>
                <c:pt idx="0">
                  <c:v>Errores de Diseño</c:v>
                </c:pt>
                <c:pt idx="1">
                  <c:v>Funcionalidad</c:v>
                </c:pt>
                <c:pt idx="2">
                  <c:v>OGUC, SERVIU</c:v>
                </c:pt>
                <c:pt idx="3">
                  <c:v>AS/NTB</c:v>
                </c:pt>
              </c:strCache>
            </c:strRef>
          </c:cat>
          <c:val>
            <c:numRef>
              <c:f>'1_Resumen'!$C$8:$C$11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DA78-4A83-A22B-D2EB58196510}"/>
            </c:ext>
          </c:extLst>
        </c:ser>
        <c:ser>
          <c:idx val="2"/>
          <c:order val="2"/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'1_Resumen'!$A$8:$A$11</c:f>
              <c:strCache>
                <c:ptCount val="4"/>
                <c:pt idx="0">
                  <c:v>Errores de Diseño</c:v>
                </c:pt>
                <c:pt idx="1">
                  <c:v>Funcionalidad</c:v>
                </c:pt>
                <c:pt idx="2">
                  <c:v>OGUC, SERVIU</c:v>
                </c:pt>
                <c:pt idx="3">
                  <c:v>AS/NTB</c:v>
                </c:pt>
              </c:strCache>
            </c:strRef>
          </c:cat>
          <c:val>
            <c:numRef>
              <c:f>'1_Resumen'!$D$8:$D$11</c:f>
              <c:numCache>
                <c:formatCode>General</c:formatCode>
                <c:ptCount val="4"/>
                <c:pt idx="0">
                  <c:v>1312</c:v>
                </c:pt>
                <c:pt idx="1">
                  <c:v>627</c:v>
                </c:pt>
                <c:pt idx="2">
                  <c:v>0</c:v>
                </c:pt>
                <c:pt idx="3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78-4A83-A22B-D2EB58196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4465568"/>
        <c:axId val="1868885808"/>
        <c:axId val="0"/>
      </c:bar3DChart>
      <c:catAx>
        <c:axId val="14446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85808"/>
        <c:crosses val="autoZero"/>
        <c:auto val="1"/>
        <c:lblAlgn val="ctr"/>
        <c:lblOffset val="100"/>
        <c:noMultiLvlLbl val="0"/>
      </c:catAx>
      <c:valAx>
        <c:axId val="186888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6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Partidas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'1_Resumen'!$A$27:$A$39</c:f>
              <c:strCache>
                <c:ptCount val="13"/>
                <c:pt idx="0">
                  <c:v>Obras Previas</c:v>
                </c:pt>
                <c:pt idx="1">
                  <c:v>Obra Gruesa</c:v>
                </c:pt>
                <c:pt idx="2">
                  <c:v>Terminaciones</c:v>
                </c:pt>
                <c:pt idx="3">
                  <c:v>Instalaciones/Eléctricas</c:v>
                </c:pt>
                <c:pt idx="4">
                  <c:v>Instalaciones/Sanitaria</c:v>
                </c:pt>
                <c:pt idx="5">
                  <c:v>Instalaciones/Gases Clínicos</c:v>
                </c:pt>
                <c:pt idx="6">
                  <c:v>Instalaciones/Climatización</c:v>
                </c:pt>
                <c:pt idx="7">
                  <c:v>Instalaciones/Gas</c:v>
                </c:pt>
                <c:pt idx="8">
                  <c:v>Instalaciones/Control Centralizado</c:v>
                </c:pt>
                <c:pt idx="9">
                  <c:v>Instalaciones/Seguridad</c:v>
                </c:pt>
                <c:pt idx="10">
                  <c:v>Instalaciones/Ascensores</c:v>
                </c:pt>
                <c:pt idx="11">
                  <c:v>Instalaciones/Corrientes Débiles</c:v>
                </c:pt>
                <c:pt idx="12">
                  <c:v>Obras Exteriores</c:v>
                </c:pt>
              </c:strCache>
            </c:strRef>
          </c:cat>
          <c:val>
            <c:numRef>
              <c:f>'1_Resumen'!$B$27:$B$39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9955-4C34-A25B-673C05D4E635}"/>
            </c:ext>
          </c:extLst>
        </c:ser>
        <c:ser>
          <c:idx val="1"/>
          <c:order val="1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'1_Resumen'!$A$27:$A$39</c:f>
              <c:strCache>
                <c:ptCount val="13"/>
                <c:pt idx="0">
                  <c:v>Obras Previas</c:v>
                </c:pt>
                <c:pt idx="1">
                  <c:v>Obra Gruesa</c:v>
                </c:pt>
                <c:pt idx="2">
                  <c:v>Terminaciones</c:v>
                </c:pt>
                <c:pt idx="3">
                  <c:v>Instalaciones/Eléctricas</c:v>
                </c:pt>
                <c:pt idx="4">
                  <c:v>Instalaciones/Sanitaria</c:v>
                </c:pt>
                <c:pt idx="5">
                  <c:v>Instalaciones/Gases Clínicos</c:v>
                </c:pt>
                <c:pt idx="6">
                  <c:v>Instalaciones/Climatización</c:v>
                </c:pt>
                <c:pt idx="7">
                  <c:v>Instalaciones/Gas</c:v>
                </c:pt>
                <c:pt idx="8">
                  <c:v>Instalaciones/Control Centralizado</c:v>
                </c:pt>
                <c:pt idx="9">
                  <c:v>Instalaciones/Seguridad</c:v>
                </c:pt>
                <c:pt idx="10">
                  <c:v>Instalaciones/Ascensores</c:v>
                </c:pt>
                <c:pt idx="11">
                  <c:v>Instalaciones/Corrientes Débiles</c:v>
                </c:pt>
                <c:pt idx="12">
                  <c:v>Obras Exteriores</c:v>
                </c:pt>
              </c:strCache>
            </c:strRef>
          </c:cat>
          <c:val>
            <c:numRef>
              <c:f>'1_Resumen'!$C$27:$C$39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9955-4C34-A25B-673C05D4E635}"/>
            </c:ext>
          </c:extLst>
        </c:ser>
        <c:ser>
          <c:idx val="2"/>
          <c:order val="2"/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'1_Resumen'!$A$27:$A$39</c:f>
              <c:strCache>
                <c:ptCount val="13"/>
                <c:pt idx="0">
                  <c:v>Obras Previas</c:v>
                </c:pt>
                <c:pt idx="1">
                  <c:v>Obra Gruesa</c:v>
                </c:pt>
                <c:pt idx="2">
                  <c:v>Terminaciones</c:v>
                </c:pt>
                <c:pt idx="3">
                  <c:v>Instalaciones/Eléctricas</c:v>
                </c:pt>
                <c:pt idx="4">
                  <c:v>Instalaciones/Sanitaria</c:v>
                </c:pt>
                <c:pt idx="5">
                  <c:v>Instalaciones/Gases Clínicos</c:v>
                </c:pt>
                <c:pt idx="6">
                  <c:v>Instalaciones/Climatización</c:v>
                </c:pt>
                <c:pt idx="7">
                  <c:v>Instalaciones/Gas</c:v>
                </c:pt>
                <c:pt idx="8">
                  <c:v>Instalaciones/Control Centralizado</c:v>
                </c:pt>
                <c:pt idx="9">
                  <c:v>Instalaciones/Seguridad</c:v>
                </c:pt>
                <c:pt idx="10">
                  <c:v>Instalaciones/Ascensores</c:v>
                </c:pt>
                <c:pt idx="11">
                  <c:v>Instalaciones/Corrientes Débiles</c:v>
                </c:pt>
                <c:pt idx="12">
                  <c:v>Obras Exteriores</c:v>
                </c:pt>
              </c:strCache>
            </c:strRef>
          </c:cat>
          <c:val>
            <c:numRef>
              <c:f>'1_Resumen'!$D$27:$D$39</c:f>
              <c:numCache>
                <c:formatCode>General</c:formatCode>
                <c:ptCount val="13"/>
                <c:pt idx="0">
                  <c:v>35</c:v>
                </c:pt>
                <c:pt idx="1">
                  <c:v>398</c:v>
                </c:pt>
                <c:pt idx="2">
                  <c:v>732</c:v>
                </c:pt>
                <c:pt idx="3">
                  <c:v>324</c:v>
                </c:pt>
                <c:pt idx="4">
                  <c:v>261</c:v>
                </c:pt>
                <c:pt idx="5">
                  <c:v>43</c:v>
                </c:pt>
                <c:pt idx="6">
                  <c:v>142</c:v>
                </c:pt>
                <c:pt idx="7">
                  <c:v>11</c:v>
                </c:pt>
                <c:pt idx="8">
                  <c:v>16</c:v>
                </c:pt>
                <c:pt idx="9">
                  <c:v>64</c:v>
                </c:pt>
                <c:pt idx="10">
                  <c:v>4</c:v>
                </c:pt>
                <c:pt idx="11">
                  <c:v>81</c:v>
                </c:pt>
                <c:pt idx="1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55-4C34-A25B-673C05D4E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547088"/>
        <c:axId val="2091358560"/>
        <c:axId val="0"/>
      </c:bar3DChart>
      <c:catAx>
        <c:axId val="2954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358560"/>
        <c:crosses val="autoZero"/>
        <c:auto val="1"/>
        <c:lblAlgn val="ctr"/>
        <c:lblOffset val="100"/>
        <c:noMultiLvlLbl val="0"/>
      </c:catAx>
      <c:valAx>
        <c:axId val="2091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4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7769</xdr:colOff>
      <xdr:row>0</xdr:row>
      <xdr:rowOff>9825</xdr:rowOff>
    </xdr:from>
    <xdr:to>
      <xdr:col>2</xdr:col>
      <xdr:colOff>3414</xdr:colOff>
      <xdr:row>4</xdr:row>
      <xdr:rowOff>2970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52F366-7EA6-4493-AED7-5E59D89D9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9" y="9825"/>
          <a:ext cx="757645" cy="650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336175</xdr:colOff>
      <xdr:row>6</xdr:row>
      <xdr:rowOff>1120</xdr:rowOff>
    </xdr:from>
    <xdr:to>
      <xdr:col>15</xdr:col>
      <xdr:colOff>795617</xdr:colOff>
      <xdr:row>23</xdr:row>
      <xdr:rowOff>77320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4A96969-E7FE-468F-8E6C-C8C596A7B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347381</xdr:colOff>
      <xdr:row>25</xdr:row>
      <xdr:rowOff>1119</xdr:rowOff>
    </xdr:from>
    <xdr:to>
      <xdr:col>15</xdr:col>
      <xdr:colOff>795617</xdr:colOff>
      <xdr:row>45</xdr:row>
      <xdr:rowOff>134470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D097FD0-A9A6-4C5D-9EDD-9F5EEC1DE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../AppData/Local/Microsoft/AppData/Local/AppData/Local/Microsoft/AppData/Local/mariajosealarcon/Downloads/NdC%2088%20Informe%20Construcci&#243;n%20Pasarela%20HD%20Sur" TargetMode="External"/><Relationship Id="rId18" Type="http://schemas.openxmlformats.org/officeDocument/2006/relationships/hyperlink" Target="../AppData/Local/Microsoft/AppData/Local/AppData/Local/Microsoft/AppData/Local/mariajosealarcon/Downloads/NdC%2097%20Informe%20Ventanas%20Vac&#237;o%20HD" TargetMode="External"/><Relationship Id="rId26" Type="http://schemas.openxmlformats.org/officeDocument/2006/relationships/hyperlink" Target="../AppData/Local/Microsoft/AppData/Local/AppData/Local/Microsoft/AppData/Local/mariajosealarcon/Downloads/NdC%20108%20Informe%20Ampliaci&#243;n%20sala%20de%20caldera" TargetMode="External"/><Relationship Id="rId39" Type="http://schemas.openxmlformats.org/officeDocument/2006/relationships/printerSettings" Target="../printerSettings/printerSettings2.bin"/><Relationship Id="rId21" Type="http://schemas.openxmlformats.org/officeDocument/2006/relationships/hyperlink" Target="../AppData/Local/Microsoft/AppData/Local/AppData/Local/Microsoft/AppData/Local/mariajosealarcon/Downloads/NdC%20112%20Informe%20Desmontaje%20tabique%20aislado%20sector%20lavadoras%20edificio%20sur" TargetMode="External"/><Relationship Id="rId34" Type="http://schemas.openxmlformats.org/officeDocument/2006/relationships/hyperlink" Target="../AppData/Local/Microsoft/AppData/Local/AppData/Local/mariajosealarcon/Downloads/NdC%2079%20Informe%20Construcci&#243;n%20de%20escaleras" TargetMode="External"/><Relationship Id="rId7" Type="http://schemas.openxmlformats.org/officeDocument/2006/relationships/hyperlink" Target="../AppData/Local/Microsoft/AppData/Local/AppData/Local/Microsoft/AppData/Local/mariajosealarcon/Downloads/NdC%2072%20Informe%20Ajuste%20de%20Vanos%20y%20muros%20UEPI" TargetMode="External"/><Relationship Id="rId2" Type="http://schemas.openxmlformats.org/officeDocument/2006/relationships/hyperlink" Target="../AppData/Local/Microsoft/AppData/Local/AppData/Local/Microsoft/AppData/Local/mariajosealarcon/Downloads/NdC%2061%20Informe%20Modificaci&#243;n%20Se&#241;al&#233;tica" TargetMode="External"/><Relationship Id="rId16" Type="http://schemas.openxmlformats.org/officeDocument/2006/relationships/hyperlink" Target="../AppData/Local/Microsoft/AppData/Local/AppData/Local/Microsoft/AppData/Local/mariajosealarcon/Downloads/NdC%2095%20Informe%20Vigas%20reticuladas" TargetMode="External"/><Relationship Id="rId20" Type="http://schemas.openxmlformats.org/officeDocument/2006/relationships/hyperlink" Target="../AppData/Local/Microsoft/AppData/Local/AppData/Local/Microsoft/AppData/Local/mariajosealarcon/Downloads/NdC%20104%20Informe%20Nueva%20elevaci&#243;n%20eje%20NE" TargetMode="External"/><Relationship Id="rId29" Type="http://schemas.openxmlformats.org/officeDocument/2006/relationships/hyperlink" Target="../AppData/Local/Microsoft/AppData/Local/AppData/Local/mariajosealarcon/Downloads/NdC%2060%20Informe%20Drenes%20adicionales" TargetMode="External"/><Relationship Id="rId41" Type="http://schemas.openxmlformats.org/officeDocument/2006/relationships/comments" Target="../comments1.xml"/><Relationship Id="rId1" Type="http://schemas.openxmlformats.org/officeDocument/2006/relationships/hyperlink" Target="../AppData/Local/Microsoft/AppData/Local/AppData/Local/Microsoft/AppData/Local/mariajosealarcon/Downloads/NdC%2060%20Informe%20Drenes%20adicionales" TargetMode="External"/><Relationship Id="rId6" Type="http://schemas.openxmlformats.org/officeDocument/2006/relationships/hyperlink" Target="../AppData/Local/Microsoft/AppData/Local/AppData/Local/Microsoft/AppData/Local/mariajosealarcon/Downloads/NdC%2066%20Informe%20Sobre%20altura%20porcelanatos" TargetMode="External"/><Relationship Id="rId11" Type="http://schemas.openxmlformats.org/officeDocument/2006/relationships/hyperlink" Target="../AppData/Local/Microsoft/AppData/Local/AppData/Local/Microsoft/AppData/Local/mariajosealarcon/Downloads/NdC%2084%20Informe%20Obras%20adicionales%20Elect" TargetMode="External"/><Relationship Id="rId24" Type="http://schemas.openxmlformats.org/officeDocument/2006/relationships/hyperlink" Target="../AppData/Local/Microsoft/AppData/Local/AppData/Local/Microsoft/AppData/Local/mariajosealarcon/Downloads/NdC%20118%20Informe%20Cambio%20de%20cerraduras" TargetMode="External"/><Relationship Id="rId32" Type="http://schemas.openxmlformats.org/officeDocument/2006/relationships/hyperlink" Target="../AppData/Local/Microsoft/AppData/Local/AppData/Local/mariajosealarcon/Downloads/NdC%2066%20Informe%20Sobre%20altura%20porcelanatos" TargetMode="External"/><Relationship Id="rId37" Type="http://schemas.openxmlformats.org/officeDocument/2006/relationships/hyperlink" Target="../AppData/Local/Microsoft/AppData/Local/AppData/Local/mariajosealarcon/Downloads/NdC%2060%20Informe%20Drenes%20adicionales" TargetMode="External"/><Relationship Id="rId40" Type="http://schemas.openxmlformats.org/officeDocument/2006/relationships/vmlDrawing" Target="../drawings/vmlDrawing1.vml"/><Relationship Id="rId5" Type="http://schemas.openxmlformats.org/officeDocument/2006/relationships/hyperlink" Target="../AppData/Local/Microsoft/AppData/Local/AppData/Local/Microsoft/AppData/Local/mariajosealarcon/Downloads/NdC%2065%20informe%20Disminuci&#243;n%20elementos%20ornamentales" TargetMode="External"/><Relationship Id="rId15" Type="http://schemas.openxmlformats.org/officeDocument/2006/relationships/hyperlink" Target="../AppData/Local/Microsoft/AppData/Local/AppData/Local/Microsoft/AppData/Local/mariajosealarcon/Downloads/NdC%2094%20Informe%20Tapado%20con%20Hormig&#243;n%20de%20ventanas" TargetMode="External"/><Relationship Id="rId23" Type="http://schemas.openxmlformats.org/officeDocument/2006/relationships/hyperlink" Target="../AppData/Local/Microsoft/AppData/Local/AppData/Local/Microsoft/AppData/Local/mariajosealarcon/Downloads/NdC%20114%20Informe%20Radier%20Patio" TargetMode="External"/><Relationship Id="rId28" Type="http://schemas.openxmlformats.org/officeDocument/2006/relationships/hyperlink" Target="../AppData/Local/Microsoft/AppData/Local/AppData/Local/Microsoft/AppData/Local/mariajosealarcon/Downloads/NdC%20106%20Informe%20Eliminaci&#243;n%20Antepechos%20Edificio%20NP" TargetMode="External"/><Relationship Id="rId36" Type="http://schemas.openxmlformats.org/officeDocument/2006/relationships/hyperlink" Target="../AppData/Local/Microsoft/AppData/Local/AppData/Local/mariajosealarcon/Downloads/NdC%2088%20Informe%20Construcci&#243;n%20Pasarela%20HD%20Sur" TargetMode="External"/><Relationship Id="rId10" Type="http://schemas.openxmlformats.org/officeDocument/2006/relationships/hyperlink" Target="../AppData/Local/Microsoft/AppData/Local/AppData/Local/Microsoft/AppData/Local/mariajosealarcon/Downloads/NdC%2083%20Informe%20Reubicaci&#243;n%20de%20servicio%20sanitario%20y%20agua" TargetMode="External"/><Relationship Id="rId19" Type="http://schemas.openxmlformats.org/officeDocument/2006/relationships/hyperlink" Target="../AppData/Local/Microsoft/AppData/Local/AppData/Local/Microsoft/AppData/Local/mariajosealarcon/Downloads/NdC%20102%20Informe%20Reparaci&#243;n%20de%20gradas%20descansos%20escaleras%20SP" TargetMode="External"/><Relationship Id="rId31" Type="http://schemas.openxmlformats.org/officeDocument/2006/relationships/hyperlink" Target="../AppData/Local/Microsoft/AppData/Local/AppData/Local/mariajosealarcon/Downloads/NdC%2063%20informe%20Cielos%20Falsos" TargetMode="External"/><Relationship Id="rId4" Type="http://schemas.openxmlformats.org/officeDocument/2006/relationships/hyperlink" Target="../AppData/Local/Microsoft/AppData/Local/AppData/Local/Microsoft/AppData/Local/mariajosealarcon/Downloads/NdC%2063%20informe%20Cielos%20Falsos" TargetMode="External"/><Relationship Id="rId9" Type="http://schemas.openxmlformats.org/officeDocument/2006/relationships/hyperlink" Target="../AppData/Local/Microsoft/AppData/Local/AppData/Local/Microsoft/AppData/Local/mariajosealarcon/Downloads/NdC%2079%20Informe%20Construcci&#243;n%20de%20escaleras" TargetMode="External"/><Relationship Id="rId14" Type="http://schemas.openxmlformats.org/officeDocument/2006/relationships/hyperlink" Target="../AppData/Local/Microsoft/AppData/Local/AppData/Local/Microsoft/AppData/Local/mariajosealarcon/Downloads/NdC%2090%20Informe%20Modificaci&#243;n%20de%20puntos%20de%20datos" TargetMode="External"/><Relationship Id="rId22" Type="http://schemas.openxmlformats.org/officeDocument/2006/relationships/hyperlink" Target="../AppData/Local/Microsoft/AppData/Local/AppData/Local/Microsoft/AppData/Local/mariajosealarcon/Downloads/NdC%20113%20Informe%20Suministro%20de%20Campanas%20Central%20de%20Alimentaci&#243;n" TargetMode="External"/><Relationship Id="rId27" Type="http://schemas.openxmlformats.org/officeDocument/2006/relationships/hyperlink" Target="../AppData/Local/Microsoft/AppData/Local/AppData/Local/Microsoft/AppData/Local/mariajosealarcon/Downloads/NdC%20111%20Informe%20Escotilla%20acceso%20a%20cubierta%20SP" TargetMode="External"/><Relationship Id="rId30" Type="http://schemas.openxmlformats.org/officeDocument/2006/relationships/hyperlink" Target="../AppData/Local/Microsoft/AppData/Local/AppData/Local/mariajosealarcon/Downloads/NdC%2062%20Informe%20Obra%20gruesa%20torreones" TargetMode="External"/><Relationship Id="rId35" Type="http://schemas.openxmlformats.org/officeDocument/2006/relationships/hyperlink" Target="../AppData/Local/Microsoft/AppData/Local/AppData/Local/mariajosealarcon/Downloads/NdC%2084%20Informe%20Obras%20adicionales%20Elect" TargetMode="External"/><Relationship Id="rId8" Type="http://schemas.openxmlformats.org/officeDocument/2006/relationships/hyperlink" Target="../AppData/Local/Microsoft/AppData/Local/AppData/Local/Microsoft/AppData/Local/mariajosealarcon/Downloads/NdC%2073%20Informe%20Diferencias%20alcantarillado%20edificio%20sur" TargetMode="External"/><Relationship Id="rId3" Type="http://schemas.openxmlformats.org/officeDocument/2006/relationships/hyperlink" Target="../AppData/Local/Microsoft/AppData/Local/AppData/Local/Microsoft/AppData/Local/mariajosealarcon/Downloads/NdC%2062%20Informe%20Obra%20gruesa%20torreones" TargetMode="External"/><Relationship Id="rId12" Type="http://schemas.openxmlformats.org/officeDocument/2006/relationships/hyperlink" Target="../AppData/Local/Microsoft/AppData/Local/AppData/Local/Microsoft/AppData/Local/mariajosealarcon/Downloads/NdC%2087%20Informe%20Modificaci&#243;n%20muebles%20de%20acero" TargetMode="External"/><Relationship Id="rId17" Type="http://schemas.openxmlformats.org/officeDocument/2006/relationships/hyperlink" Target="../AppData/Local/Microsoft/AppData/Local/AppData/Local/Microsoft/AppData/Local/mariajosealarcon/Downloads/NdC%2096%20Informe%20Murete%20estacionamiento%20Alta%20Complejidad" TargetMode="External"/><Relationship Id="rId25" Type="http://schemas.openxmlformats.org/officeDocument/2006/relationships/hyperlink" Target="../AppData/Local/Microsoft/AppData/Local/AppData/Local/Microsoft/AppData/Local/mariajosealarcon/Downloads/NdC%2091%20Informe%20%20Reparaci&#243;n%20de%20c&#225;maras%20de%20alcantarillado%20existente" TargetMode="External"/><Relationship Id="rId33" Type="http://schemas.openxmlformats.org/officeDocument/2006/relationships/hyperlink" Target="../AppData/Local/Microsoft/AppData/Local/AppData/Local/mariajosealarcon/Downloads/NdC%2072%20Informe%20Ajuste%20de%20Vanos%20y%20muros%20UEPI" TargetMode="External"/><Relationship Id="rId38" Type="http://schemas.openxmlformats.org/officeDocument/2006/relationships/hyperlink" Target="../AppData/Local/Microsoft/AppData/Local/AppData/Local/mariajosealarcon/Downloads/NdC%2060%20Informe%20Drenes%20adicional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07F4-5648-48E8-8E0D-D86E06285B8E}">
  <dimension ref="A1:P40"/>
  <sheetViews>
    <sheetView view="pageLayout" zoomScale="130" zoomScaleNormal="70" zoomScalePageLayoutView="130" workbookViewId="0">
      <selection activeCell="A36" sqref="A36"/>
    </sheetView>
  </sheetViews>
  <sheetFormatPr defaultColWidth="11.42578125" defaultRowHeight="12.75"/>
  <cols>
    <col min="1" max="2" width="5.28515625" style="13" customWidth="1"/>
    <col min="3" max="3" width="18.42578125" style="13" customWidth="1"/>
    <col min="4" max="4" width="5.7109375" style="13" customWidth="1"/>
    <col min="5" max="5" width="10.140625" style="13" customWidth="1"/>
    <col min="6" max="7" width="4.85546875" style="13" customWidth="1"/>
    <col min="8" max="8" width="11.42578125" style="13"/>
    <col min="9" max="10" width="6.85546875" style="13" customWidth="1"/>
    <col min="11" max="11" width="11.42578125" style="13"/>
    <col min="12" max="12" width="4.7109375" style="13" customWidth="1"/>
    <col min="13" max="14" width="5.28515625" style="13" customWidth="1"/>
    <col min="15" max="16384" width="11.42578125" style="13"/>
  </cols>
  <sheetData>
    <row r="1" spans="1:16" ht="13.15" customHeight="1">
      <c r="A1" s="11"/>
      <c r="B1" s="12"/>
      <c r="C1" s="72" t="s">
        <v>0</v>
      </c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3.15" customHeight="1">
      <c r="A2" s="14"/>
      <c r="C2" s="72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</row>
    <row r="3" spans="1:16" ht="13.15" customHeight="1">
      <c r="A3" s="14"/>
      <c r="C3" s="72" t="s">
        <v>1</v>
      </c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6" ht="13.15" customHeight="1" thickBot="1">
      <c r="A4" s="15"/>
      <c r="B4" s="16"/>
      <c r="C4" s="72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</row>
    <row r="7" spans="1:16">
      <c r="A7" s="74" t="s">
        <v>2</v>
      </c>
      <c r="B7" s="75"/>
      <c r="C7" s="75"/>
      <c r="D7" s="76"/>
    </row>
    <row r="8" spans="1:16">
      <c r="A8" s="77" t="s">
        <v>3</v>
      </c>
      <c r="B8" s="78"/>
      <c r="C8" s="79"/>
      <c r="D8" s="17">
        <f>COUNTIF('2_Notas de Cambio'!E:E,A8)</f>
        <v>1312</v>
      </c>
      <c r="E8" s="41"/>
    </row>
    <row r="9" spans="1:16">
      <c r="A9" s="77" t="s">
        <v>4</v>
      </c>
      <c r="B9" s="78"/>
      <c r="C9" s="79"/>
      <c r="D9" s="17">
        <f>COUNTIF('2_Notas de Cambio'!E:E,A9)</f>
        <v>627</v>
      </c>
    </row>
    <row r="10" spans="1:16">
      <c r="A10" s="77" t="s">
        <v>5</v>
      </c>
      <c r="B10" s="78"/>
      <c r="C10" s="79"/>
      <c r="D10" s="17">
        <f>COUNTIF('2_Notas de Cambio'!E:E,A10)</f>
        <v>0</v>
      </c>
    </row>
    <row r="11" spans="1:16">
      <c r="A11" s="77" t="s">
        <v>6</v>
      </c>
      <c r="B11" s="78"/>
      <c r="C11" s="79"/>
      <c r="D11" s="17">
        <f>COUNTIF('2_Notas de Cambio'!E:E,A11)</f>
        <v>223</v>
      </c>
    </row>
    <row r="12" spans="1:16">
      <c r="A12" s="80" t="s">
        <v>7</v>
      </c>
      <c r="B12" s="80"/>
      <c r="C12" s="80"/>
      <c r="D12" s="18">
        <f>SUM(D8:D11)</f>
        <v>2162</v>
      </c>
    </row>
    <row r="26" spans="1:4">
      <c r="A26" s="74" t="s">
        <v>8</v>
      </c>
      <c r="B26" s="75"/>
      <c r="C26" s="75"/>
      <c r="D26" s="76"/>
    </row>
    <row r="27" spans="1:4">
      <c r="A27" s="77" t="s">
        <v>9</v>
      </c>
      <c r="B27" s="78"/>
      <c r="C27" s="79"/>
      <c r="D27" s="17">
        <f>COUNTIF('2_Notas de Cambio'!F:F,A27)</f>
        <v>35</v>
      </c>
    </row>
    <row r="28" spans="1:4">
      <c r="A28" s="77" t="s">
        <v>10</v>
      </c>
      <c r="B28" s="78"/>
      <c r="C28" s="79"/>
      <c r="D28" s="17">
        <f>COUNTIF('2_Notas de Cambio'!F:F,A28)</f>
        <v>398</v>
      </c>
    </row>
    <row r="29" spans="1:4">
      <c r="A29" s="19" t="s">
        <v>11</v>
      </c>
      <c r="B29" s="20"/>
      <c r="C29" s="21"/>
      <c r="D29" s="17">
        <f>COUNTIF('2_Notas de Cambio'!F:F,A29)</f>
        <v>732</v>
      </c>
    </row>
    <row r="30" spans="1:4">
      <c r="A30" s="19" t="s">
        <v>12</v>
      </c>
      <c r="B30" s="20"/>
      <c r="C30" s="21"/>
      <c r="D30" s="17">
        <f>COUNTIF('2_Notas de Cambio'!F:F,A30)</f>
        <v>324</v>
      </c>
    </row>
    <row r="31" spans="1:4">
      <c r="A31" s="19" t="s">
        <v>13</v>
      </c>
      <c r="B31" s="20"/>
      <c r="C31" s="21"/>
      <c r="D31" s="17">
        <f>COUNTIF('2_Notas de Cambio'!F:F,A31)</f>
        <v>261</v>
      </c>
    </row>
    <row r="32" spans="1:4">
      <c r="A32" s="19" t="s">
        <v>14</v>
      </c>
      <c r="B32" s="20"/>
      <c r="C32" s="21"/>
      <c r="D32" s="17">
        <f>COUNTIF('2_Notas de Cambio'!F:F,A32)</f>
        <v>43</v>
      </c>
    </row>
    <row r="33" spans="1:4">
      <c r="A33" s="19" t="s">
        <v>15</v>
      </c>
      <c r="B33" s="20"/>
      <c r="C33" s="21"/>
      <c r="D33" s="17">
        <f>COUNTIF('2_Notas de Cambio'!F:F,A33)</f>
        <v>142</v>
      </c>
    </row>
    <row r="34" spans="1:4">
      <c r="A34" s="19" t="s">
        <v>16</v>
      </c>
      <c r="B34" s="20"/>
      <c r="C34" s="21"/>
      <c r="D34" s="17">
        <f>COUNTIF('2_Notas de Cambio'!F:F,A34)</f>
        <v>11</v>
      </c>
    </row>
    <row r="35" spans="1:4">
      <c r="A35" s="19" t="s">
        <v>17</v>
      </c>
      <c r="B35" s="20"/>
      <c r="C35" s="21"/>
      <c r="D35" s="17">
        <f>COUNTIF('2_Notas de Cambio'!F:F,A35)</f>
        <v>16</v>
      </c>
    </row>
    <row r="36" spans="1:4">
      <c r="A36" s="19" t="s">
        <v>18</v>
      </c>
      <c r="B36" s="20"/>
      <c r="C36" s="21"/>
      <c r="D36" s="17">
        <f>COUNTIF('2_Notas de Cambio'!F:F,A36)</f>
        <v>64</v>
      </c>
    </row>
    <row r="37" spans="1:4">
      <c r="A37" s="19" t="s">
        <v>19</v>
      </c>
      <c r="B37" s="20"/>
      <c r="C37" s="21"/>
      <c r="D37" s="17">
        <f>COUNTIF('2_Notas de Cambio'!F:F,A37)</f>
        <v>4</v>
      </c>
    </row>
    <row r="38" spans="1:4">
      <c r="A38" s="19" t="s">
        <v>20</v>
      </c>
      <c r="B38" s="20"/>
      <c r="C38" s="21"/>
      <c r="D38" s="17">
        <f>COUNTIF('2_Notas de Cambio'!F:F,A38)</f>
        <v>81</v>
      </c>
    </row>
    <row r="39" spans="1:4">
      <c r="A39" s="19" t="s">
        <v>21</v>
      </c>
      <c r="B39" s="20"/>
      <c r="C39" s="21"/>
      <c r="D39" s="17">
        <f>COUNTIF('2_Notas de Cambio'!F:F,A39)</f>
        <v>66</v>
      </c>
    </row>
    <row r="40" spans="1:4">
      <c r="A40" s="23" t="s">
        <v>7</v>
      </c>
      <c r="B40" s="24"/>
      <c r="C40" s="25"/>
      <c r="D40" s="22">
        <f>SUM(D27:D39)</f>
        <v>2177</v>
      </c>
    </row>
  </sheetData>
  <mergeCells count="11">
    <mergeCell ref="A28:C28"/>
    <mergeCell ref="A8:C8"/>
    <mergeCell ref="A9:C9"/>
    <mergeCell ref="A10:C10"/>
    <mergeCell ref="A11:C11"/>
    <mergeCell ref="A12:C12"/>
    <mergeCell ref="C1:P2"/>
    <mergeCell ref="C3:P4"/>
    <mergeCell ref="A26:D26"/>
    <mergeCell ref="A7:D7"/>
    <mergeCell ref="A27:C27"/>
  </mergeCells>
  <pageMargins left="0.40833333333333333" right="0.5" top="0.22916666666666666" bottom="0.35416666666666669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644A-6F31-4172-92D4-8FE330B21AD8}">
  <sheetPr>
    <pageSetUpPr fitToPage="1"/>
  </sheetPr>
  <dimension ref="A1:U2464"/>
  <sheetViews>
    <sheetView tabSelected="1" zoomScale="70" zoomScaleNormal="70" workbookViewId="0">
      <pane ySplit="1" topLeftCell="A5" activePane="bottomLeft" state="frozen"/>
      <selection pane="bottomLeft" activeCell="P1" sqref="P1"/>
    </sheetView>
  </sheetViews>
  <sheetFormatPr defaultColWidth="12.85546875" defaultRowHeight="15" customHeight="1"/>
  <cols>
    <col min="1" max="1" width="15.7109375" style="46" customWidth="1"/>
    <col min="2" max="2" width="33.85546875" style="47" customWidth="1"/>
    <col min="3" max="3" width="20.28515625" style="68" customWidth="1"/>
    <col min="4" max="4" width="20.28515625" style="47" customWidth="1"/>
    <col min="5" max="6" width="15.5703125" style="46" customWidth="1"/>
    <col min="7" max="8" width="13.85546875" style="58" customWidth="1"/>
    <col min="9" max="9" width="14.85546875" style="58" customWidth="1"/>
    <col min="10" max="10" width="15.42578125" style="59" customWidth="1"/>
    <col min="11" max="11" width="13.85546875" style="71" customWidth="1"/>
    <col min="12" max="12" width="13.85546875" style="47" customWidth="1"/>
    <col min="13" max="13" width="15" style="59" customWidth="1"/>
    <col min="14" max="14" width="22" style="47" customWidth="1"/>
    <col min="15" max="15" width="13.85546875" style="60" customWidth="1"/>
    <col min="16" max="16" width="13.85546875" style="47" customWidth="1"/>
    <col min="17" max="17" width="13.85546875" style="50" customWidth="1"/>
    <col min="18" max="18" width="13.85546875" style="47" customWidth="1"/>
    <col min="19" max="16384" width="12.85546875" style="45"/>
  </cols>
  <sheetData>
    <row r="1" spans="1:18" s="62" customFormat="1" ht="37.5" customHeight="1">
      <c r="A1" s="42" t="s">
        <v>22</v>
      </c>
      <c r="B1" s="42" t="s">
        <v>23</v>
      </c>
      <c r="C1" s="42" t="s">
        <v>24</v>
      </c>
      <c r="D1" s="61" t="s">
        <v>25</v>
      </c>
      <c r="E1" s="42" t="s">
        <v>2</v>
      </c>
      <c r="F1" s="42" t="s">
        <v>26</v>
      </c>
      <c r="G1" s="43" t="s">
        <v>27</v>
      </c>
      <c r="H1" s="43" t="s">
        <v>28</v>
      </c>
      <c r="I1" s="43" t="s">
        <v>29</v>
      </c>
      <c r="J1" s="34" t="s">
        <v>30</v>
      </c>
      <c r="K1" s="69" t="s">
        <v>31</v>
      </c>
      <c r="L1" s="42" t="s">
        <v>32</v>
      </c>
      <c r="M1" s="43" t="s">
        <v>33</v>
      </c>
      <c r="N1" s="42" t="s">
        <v>34</v>
      </c>
      <c r="O1" s="44" t="s">
        <v>35</v>
      </c>
      <c r="P1" s="42" t="s">
        <v>36</v>
      </c>
      <c r="Q1" s="43" t="s">
        <v>37</v>
      </c>
      <c r="R1" s="42" t="s">
        <v>38</v>
      </c>
    </row>
    <row r="2" spans="1:18" s="30" customFormat="1" ht="15" customHeight="1">
      <c r="A2" s="37" t="s">
        <v>39</v>
      </c>
      <c r="B2" s="26" t="s">
        <v>40</v>
      </c>
      <c r="C2" s="39" t="s">
        <v>41</v>
      </c>
      <c r="D2" s="40" t="s">
        <v>42</v>
      </c>
      <c r="E2" s="38" t="s">
        <v>3</v>
      </c>
      <c r="F2" s="38" t="s">
        <v>12</v>
      </c>
      <c r="G2" s="32">
        <v>76447354</v>
      </c>
      <c r="H2" s="32">
        <v>242745203</v>
      </c>
      <c r="I2" s="32">
        <v>814529295</v>
      </c>
      <c r="J2" s="35">
        <f>+G2-H2+I2</f>
        <v>648231446</v>
      </c>
      <c r="K2" s="28">
        <v>0</v>
      </c>
      <c r="L2" s="32">
        <v>0</v>
      </c>
      <c r="M2" s="35">
        <f>+J2+L2</f>
        <v>648231446</v>
      </c>
      <c r="N2" s="28" t="s">
        <v>43</v>
      </c>
      <c r="O2" s="29">
        <v>2259</v>
      </c>
      <c r="P2" s="36">
        <v>44718</v>
      </c>
      <c r="Q2" s="31">
        <v>32767.599999999999</v>
      </c>
      <c r="R2" s="33">
        <f>M2/Q2</f>
        <v>19782.695284366266</v>
      </c>
    </row>
    <row r="3" spans="1:18" s="30" customFormat="1" ht="15" customHeight="1">
      <c r="A3" s="37" t="s">
        <v>39</v>
      </c>
      <c r="B3" s="26" t="s">
        <v>40</v>
      </c>
      <c r="C3" s="39" t="s">
        <v>44</v>
      </c>
      <c r="D3" s="40" t="s">
        <v>45</v>
      </c>
      <c r="E3" s="38" t="s">
        <v>3</v>
      </c>
      <c r="F3" s="38" t="s">
        <v>12</v>
      </c>
      <c r="G3" s="32">
        <v>17818702</v>
      </c>
      <c r="H3" s="32">
        <v>439856261</v>
      </c>
      <c r="I3" s="32">
        <v>826624974</v>
      </c>
      <c r="J3" s="35">
        <f>+G3-H3+I3</f>
        <v>404587415</v>
      </c>
      <c r="K3" s="28">
        <v>0</v>
      </c>
      <c r="L3" s="32">
        <v>0</v>
      </c>
      <c r="M3" s="35">
        <f>+J3+L3</f>
        <v>404587415</v>
      </c>
      <c r="N3" s="28" t="s">
        <v>43</v>
      </c>
      <c r="O3" s="29">
        <v>2259</v>
      </c>
      <c r="P3" s="36">
        <v>44718</v>
      </c>
      <c r="Q3" s="31">
        <v>32767.599999999999</v>
      </c>
      <c r="R3" s="33">
        <f>M3/Q3</f>
        <v>12347.178768051368</v>
      </c>
    </row>
    <row r="4" spans="1:18" s="30" customFormat="1" ht="15" customHeight="1">
      <c r="A4" s="37" t="s">
        <v>39</v>
      </c>
      <c r="B4" s="26" t="s">
        <v>40</v>
      </c>
      <c r="C4" s="39" t="s">
        <v>44</v>
      </c>
      <c r="D4" s="40" t="s">
        <v>46</v>
      </c>
      <c r="E4" s="38" t="s">
        <v>3</v>
      </c>
      <c r="F4" s="38" t="s">
        <v>12</v>
      </c>
      <c r="G4" s="32">
        <v>61301441</v>
      </c>
      <c r="H4" s="32">
        <v>324174468</v>
      </c>
      <c r="I4" s="32">
        <v>1334055899</v>
      </c>
      <c r="J4" s="35">
        <f>+G4-H4+I4</f>
        <v>1071182872</v>
      </c>
      <c r="K4" s="28">
        <v>0</v>
      </c>
      <c r="L4" s="32">
        <v>0</v>
      </c>
      <c r="M4" s="35">
        <f>+J4+L4</f>
        <v>1071182872</v>
      </c>
      <c r="N4" s="28" t="s">
        <v>43</v>
      </c>
      <c r="O4" s="29">
        <v>2259</v>
      </c>
      <c r="P4" s="36">
        <v>44718</v>
      </c>
      <c r="Q4" s="31">
        <v>32767.599999999999</v>
      </c>
      <c r="R4" s="33">
        <f>M4/Q4</f>
        <v>32690.306034009205</v>
      </c>
    </row>
    <row r="5" spans="1:18" s="30" customFormat="1" ht="15" customHeight="1">
      <c r="A5" s="37" t="s">
        <v>39</v>
      </c>
      <c r="B5" s="26" t="s">
        <v>40</v>
      </c>
      <c r="C5" s="39" t="s">
        <v>47</v>
      </c>
      <c r="D5" s="40" t="s">
        <v>48</v>
      </c>
      <c r="E5" s="38" t="s">
        <v>6</v>
      </c>
      <c r="F5" s="38" t="s">
        <v>11</v>
      </c>
      <c r="G5" s="32">
        <v>25292754</v>
      </c>
      <c r="H5" s="32">
        <v>0</v>
      </c>
      <c r="I5" s="32">
        <v>2150407</v>
      </c>
      <c r="J5" s="35">
        <f>+G5-H5+I5</f>
        <v>27443161</v>
      </c>
      <c r="K5" s="28">
        <v>0</v>
      </c>
      <c r="L5" s="32">
        <v>0</v>
      </c>
      <c r="M5" s="35">
        <f>+J5+L5</f>
        <v>27443161</v>
      </c>
      <c r="N5" s="28" t="s">
        <v>49</v>
      </c>
      <c r="O5" s="28">
        <v>273</v>
      </c>
      <c r="P5" s="36">
        <v>44943</v>
      </c>
      <c r="Q5" s="31">
        <v>35239.79</v>
      </c>
      <c r="R5" s="33">
        <f>M5/Q5</f>
        <v>778.75495285301076</v>
      </c>
    </row>
    <row r="6" spans="1:18" s="30" customFormat="1" ht="15" customHeight="1">
      <c r="A6" s="37" t="s">
        <v>39</v>
      </c>
      <c r="B6" s="26" t="s">
        <v>40</v>
      </c>
      <c r="C6" s="39" t="s">
        <v>50</v>
      </c>
      <c r="D6" s="40" t="s">
        <v>51</v>
      </c>
      <c r="E6" s="38" t="s">
        <v>6</v>
      </c>
      <c r="F6" s="38" t="s">
        <v>11</v>
      </c>
      <c r="G6" s="32">
        <v>5564804</v>
      </c>
      <c r="H6" s="32">
        <v>0</v>
      </c>
      <c r="I6" s="32">
        <v>1044525</v>
      </c>
      <c r="J6" s="35">
        <f>+G6-H6+I6</f>
        <v>6609329</v>
      </c>
      <c r="K6" s="28">
        <v>0</v>
      </c>
      <c r="L6" s="32">
        <v>0</v>
      </c>
      <c r="M6" s="35">
        <f>+J6+L6</f>
        <v>6609329</v>
      </c>
      <c r="N6" s="28" t="s">
        <v>49</v>
      </c>
      <c r="O6" s="28">
        <v>273</v>
      </c>
      <c r="P6" s="36">
        <v>44943</v>
      </c>
      <c r="Q6" s="31">
        <v>35239.79</v>
      </c>
      <c r="R6" s="33">
        <f>M6/Q6</f>
        <v>187.55301890278005</v>
      </c>
    </row>
    <row r="7" spans="1:18" s="30" customFormat="1" ht="15" customHeight="1">
      <c r="A7" s="37" t="s">
        <v>52</v>
      </c>
      <c r="B7" s="26" t="s">
        <v>53</v>
      </c>
      <c r="C7" s="39" t="s">
        <v>54</v>
      </c>
      <c r="D7" s="40" t="s">
        <v>55</v>
      </c>
      <c r="E7" s="38" t="s">
        <v>6</v>
      </c>
      <c r="F7" s="38" t="s">
        <v>13</v>
      </c>
      <c r="G7" s="32">
        <v>0</v>
      </c>
      <c r="H7" s="32">
        <v>0</v>
      </c>
      <c r="I7" s="52">
        <v>0</v>
      </c>
      <c r="J7" s="35">
        <f>+G7-H7+I7</f>
        <v>0</v>
      </c>
      <c r="K7" s="27"/>
      <c r="L7" s="32">
        <v>0</v>
      </c>
      <c r="M7" s="35">
        <f>+J7+L7</f>
        <v>0</v>
      </c>
      <c r="N7" s="28" t="s">
        <v>56</v>
      </c>
      <c r="O7" s="29" t="s">
        <v>57</v>
      </c>
      <c r="P7" s="36">
        <v>42884</v>
      </c>
      <c r="Q7" s="31">
        <v>26627.55</v>
      </c>
      <c r="R7" s="33">
        <f>M7/Q7</f>
        <v>0</v>
      </c>
    </row>
    <row r="8" spans="1:18" s="30" customFormat="1" ht="15" customHeight="1">
      <c r="A8" s="37" t="s">
        <v>52</v>
      </c>
      <c r="B8" s="26" t="s">
        <v>53</v>
      </c>
      <c r="C8" s="39" t="s">
        <v>58</v>
      </c>
      <c r="D8" s="40" t="s">
        <v>59</v>
      </c>
      <c r="E8" s="38" t="s">
        <v>6</v>
      </c>
      <c r="F8" s="38" t="s">
        <v>15</v>
      </c>
      <c r="G8" s="32">
        <v>0</v>
      </c>
      <c r="H8" s="32">
        <v>0</v>
      </c>
      <c r="I8" s="52">
        <v>0</v>
      </c>
      <c r="J8" s="35">
        <f>+G8-H8+I8</f>
        <v>0</v>
      </c>
      <c r="K8" s="27">
        <v>20</v>
      </c>
      <c r="L8" s="32">
        <v>0</v>
      </c>
      <c r="M8" s="35">
        <f>+J8+L8</f>
        <v>0</v>
      </c>
      <c r="N8" s="28" t="s">
        <v>56</v>
      </c>
      <c r="O8" s="29" t="s">
        <v>57</v>
      </c>
      <c r="P8" s="36">
        <v>42884</v>
      </c>
      <c r="Q8" s="31">
        <v>26627.55</v>
      </c>
      <c r="R8" s="33">
        <f>M8/Q8</f>
        <v>0</v>
      </c>
    </row>
    <row r="9" spans="1:18" s="30" customFormat="1" ht="15" customHeight="1">
      <c r="A9" s="37" t="s">
        <v>39</v>
      </c>
      <c r="B9" s="26" t="s">
        <v>40</v>
      </c>
      <c r="C9" s="39" t="s">
        <v>60</v>
      </c>
      <c r="D9" s="40" t="s">
        <v>61</v>
      </c>
      <c r="E9" s="38" t="s">
        <v>6</v>
      </c>
      <c r="F9" s="38" t="s">
        <v>11</v>
      </c>
      <c r="G9" s="32">
        <v>15897894</v>
      </c>
      <c r="H9" s="32">
        <v>0</v>
      </c>
      <c r="I9" s="32">
        <v>3329307</v>
      </c>
      <c r="J9" s="35">
        <f>+G9-H9+I9</f>
        <v>19227201</v>
      </c>
      <c r="K9" s="28">
        <v>0</v>
      </c>
      <c r="L9" s="32">
        <v>0</v>
      </c>
      <c r="M9" s="35">
        <f>+J9+L9</f>
        <v>19227201</v>
      </c>
      <c r="N9" s="28" t="s">
        <v>49</v>
      </c>
      <c r="O9" s="28">
        <v>273</v>
      </c>
      <c r="P9" s="36">
        <v>44943</v>
      </c>
      <c r="Q9" s="31">
        <v>35239.79</v>
      </c>
      <c r="R9" s="33">
        <f>M9/Q9</f>
        <v>545.61054421720451</v>
      </c>
    </row>
    <row r="10" spans="1:18" s="30" customFormat="1" ht="15" customHeight="1">
      <c r="A10" s="37" t="s">
        <v>39</v>
      </c>
      <c r="B10" s="26" t="s">
        <v>40</v>
      </c>
      <c r="C10" s="39" t="s">
        <v>62</v>
      </c>
      <c r="D10" s="40" t="s">
        <v>63</v>
      </c>
      <c r="E10" s="38" t="s">
        <v>6</v>
      </c>
      <c r="F10" s="38" t="s">
        <v>11</v>
      </c>
      <c r="G10" s="32">
        <v>1053313</v>
      </c>
      <c r="H10" s="32">
        <v>0</v>
      </c>
      <c r="I10" s="32">
        <v>883807</v>
      </c>
      <c r="J10" s="35">
        <f>+G10-H10+I10</f>
        <v>1937120</v>
      </c>
      <c r="K10" s="28">
        <v>0</v>
      </c>
      <c r="L10" s="32">
        <v>0</v>
      </c>
      <c r="M10" s="35">
        <f>+J10+L10</f>
        <v>1937120</v>
      </c>
      <c r="N10" s="28" t="s">
        <v>49</v>
      </c>
      <c r="O10" s="28">
        <v>273</v>
      </c>
      <c r="P10" s="36">
        <v>44943</v>
      </c>
      <c r="Q10" s="31">
        <v>35239.79</v>
      </c>
      <c r="R10" s="33">
        <f>M10/Q10</f>
        <v>54.969680579821841</v>
      </c>
    </row>
    <row r="11" spans="1:18" s="30" customFormat="1" ht="15" customHeight="1">
      <c r="A11" s="37" t="s">
        <v>39</v>
      </c>
      <c r="B11" s="26" t="s">
        <v>40</v>
      </c>
      <c r="C11" s="39" t="s">
        <v>64</v>
      </c>
      <c r="D11" s="40" t="s">
        <v>65</v>
      </c>
      <c r="E11" s="38" t="s">
        <v>6</v>
      </c>
      <c r="F11" s="38" t="s">
        <v>11</v>
      </c>
      <c r="G11" s="32">
        <v>1226081</v>
      </c>
      <c r="H11" s="32">
        <v>0</v>
      </c>
      <c r="I11" s="32">
        <v>294415</v>
      </c>
      <c r="J11" s="35">
        <f>+G11-H11+I11</f>
        <v>1520496</v>
      </c>
      <c r="K11" s="28">
        <v>0</v>
      </c>
      <c r="L11" s="32">
        <v>0</v>
      </c>
      <c r="M11" s="35">
        <f>+J11+L11</f>
        <v>1520496</v>
      </c>
      <c r="N11" s="28" t="s">
        <v>49</v>
      </c>
      <c r="O11" s="28">
        <v>273</v>
      </c>
      <c r="P11" s="36">
        <v>44943</v>
      </c>
      <c r="Q11" s="31">
        <v>35239.79</v>
      </c>
      <c r="R11" s="33">
        <f>M11/Q11</f>
        <v>43.147135666813</v>
      </c>
    </row>
    <row r="12" spans="1:18" s="30" customFormat="1" ht="15" customHeight="1">
      <c r="A12" s="37" t="s">
        <v>39</v>
      </c>
      <c r="B12" s="26" t="s">
        <v>40</v>
      </c>
      <c r="C12" s="39" t="s">
        <v>66</v>
      </c>
      <c r="D12" s="40" t="s">
        <v>67</v>
      </c>
      <c r="E12" s="38" t="s">
        <v>6</v>
      </c>
      <c r="F12" s="38" t="s">
        <v>11</v>
      </c>
      <c r="G12" s="32">
        <v>0</v>
      </c>
      <c r="H12" s="32">
        <v>0</v>
      </c>
      <c r="I12" s="32">
        <v>12938405</v>
      </c>
      <c r="J12" s="35">
        <f>+G12-H12+I12</f>
        <v>12938405</v>
      </c>
      <c r="K12" s="28">
        <v>0</v>
      </c>
      <c r="L12" s="32">
        <v>0</v>
      </c>
      <c r="M12" s="35">
        <f>+J12+L12</f>
        <v>12938405</v>
      </c>
      <c r="N12" s="28" t="s">
        <v>49</v>
      </c>
      <c r="O12" s="28">
        <v>273</v>
      </c>
      <c r="P12" s="36">
        <v>44943</v>
      </c>
      <c r="Q12" s="31">
        <v>35239.79</v>
      </c>
      <c r="R12" s="33">
        <f>M12/Q12</f>
        <v>367.1532946138442</v>
      </c>
    </row>
    <row r="13" spans="1:18" s="30" customFormat="1" ht="15" customHeight="1">
      <c r="A13" s="37" t="s">
        <v>39</v>
      </c>
      <c r="B13" s="26" t="s">
        <v>40</v>
      </c>
      <c r="C13" s="39" t="s">
        <v>68</v>
      </c>
      <c r="D13" s="40" t="s">
        <v>69</v>
      </c>
      <c r="E13" s="38" t="s">
        <v>3</v>
      </c>
      <c r="F13" s="38" t="s">
        <v>11</v>
      </c>
      <c r="G13" s="32">
        <v>614787</v>
      </c>
      <c r="H13" s="32">
        <v>0</v>
      </c>
      <c r="I13" s="32">
        <v>14139511</v>
      </c>
      <c r="J13" s="35">
        <f>+G13-H13+I13</f>
        <v>14754298</v>
      </c>
      <c r="K13" s="28">
        <v>0</v>
      </c>
      <c r="L13" s="32">
        <v>0</v>
      </c>
      <c r="M13" s="35">
        <f>+J13+L13</f>
        <v>14754298</v>
      </c>
      <c r="N13" s="28" t="s">
        <v>49</v>
      </c>
      <c r="O13" s="28">
        <v>273</v>
      </c>
      <c r="P13" s="36">
        <v>44943</v>
      </c>
      <c r="Q13" s="31">
        <v>35239.79</v>
      </c>
      <c r="R13" s="33">
        <f>M13/Q13</f>
        <v>418.68291496629234</v>
      </c>
    </row>
    <row r="14" spans="1:18" s="30" customFormat="1" ht="15" customHeight="1">
      <c r="A14" s="37" t="s">
        <v>39</v>
      </c>
      <c r="B14" s="26" t="s">
        <v>40</v>
      </c>
      <c r="C14" s="39" t="s">
        <v>70</v>
      </c>
      <c r="D14" s="40" t="s">
        <v>71</v>
      </c>
      <c r="E14" s="38" t="s">
        <v>3</v>
      </c>
      <c r="F14" s="38" t="s">
        <v>11</v>
      </c>
      <c r="G14" s="32">
        <v>0</v>
      </c>
      <c r="H14" s="32">
        <v>1163368</v>
      </c>
      <c r="I14" s="32">
        <v>12264633</v>
      </c>
      <c r="J14" s="35">
        <f>+G14-H14+I14</f>
        <v>11101265</v>
      </c>
      <c r="K14" s="28">
        <v>0</v>
      </c>
      <c r="L14" s="32">
        <v>0</v>
      </c>
      <c r="M14" s="35">
        <f>+J14+L14</f>
        <v>11101265</v>
      </c>
      <c r="N14" s="28" t="s">
        <v>49</v>
      </c>
      <c r="O14" s="28">
        <v>273</v>
      </c>
      <c r="P14" s="36">
        <v>44943</v>
      </c>
      <c r="Q14" s="31">
        <v>35239.79</v>
      </c>
      <c r="R14" s="33">
        <f>M14/Q14</f>
        <v>315.02074785349174</v>
      </c>
    </row>
    <row r="15" spans="1:18" s="30" customFormat="1" ht="15" customHeight="1">
      <c r="A15" s="37" t="s">
        <v>39</v>
      </c>
      <c r="B15" s="26" t="s">
        <v>40</v>
      </c>
      <c r="C15" s="39" t="s">
        <v>72</v>
      </c>
      <c r="D15" s="40" t="s">
        <v>73</v>
      </c>
      <c r="E15" s="38" t="s">
        <v>4</v>
      </c>
      <c r="F15" s="38" t="s">
        <v>10</v>
      </c>
      <c r="G15" s="32">
        <v>88136732</v>
      </c>
      <c r="H15" s="32">
        <v>3030990</v>
      </c>
      <c r="I15" s="32">
        <v>77526755</v>
      </c>
      <c r="J15" s="35">
        <f>+G15-H15+I15</f>
        <v>162632497</v>
      </c>
      <c r="K15" s="28">
        <v>0</v>
      </c>
      <c r="L15" s="32">
        <v>0</v>
      </c>
      <c r="M15" s="35">
        <f>+J15+L15</f>
        <v>162632497</v>
      </c>
      <c r="N15" s="28" t="s">
        <v>74</v>
      </c>
      <c r="O15" s="28">
        <v>4036</v>
      </c>
      <c r="P15" s="36">
        <v>44816</v>
      </c>
      <c r="Q15" s="31">
        <v>34013.910000000003</v>
      </c>
      <c r="R15" s="33">
        <f>M15/Q15</f>
        <v>4781.3525995688233</v>
      </c>
    </row>
    <row r="16" spans="1:18" s="30" customFormat="1" ht="15" customHeight="1">
      <c r="A16" s="37" t="s">
        <v>39</v>
      </c>
      <c r="B16" s="26" t="s">
        <v>40</v>
      </c>
      <c r="C16" s="39" t="s">
        <v>75</v>
      </c>
      <c r="D16" s="40" t="s">
        <v>76</v>
      </c>
      <c r="E16" s="38" t="s">
        <v>6</v>
      </c>
      <c r="F16" s="38" t="s">
        <v>11</v>
      </c>
      <c r="G16" s="32"/>
      <c r="H16" s="32">
        <v>6132888</v>
      </c>
      <c r="I16" s="32"/>
      <c r="J16" s="35">
        <f>+G16-H16+I16</f>
        <v>-6132888</v>
      </c>
      <c r="K16" s="28">
        <v>0</v>
      </c>
      <c r="L16" s="32">
        <v>0</v>
      </c>
      <c r="M16" s="35">
        <f>+J16+L16</f>
        <v>-6132888</v>
      </c>
      <c r="N16" s="28" t="s">
        <v>77</v>
      </c>
      <c r="O16" s="29">
        <v>3997</v>
      </c>
      <c r="P16" s="36">
        <v>44477</v>
      </c>
      <c r="Q16" s="31">
        <v>30120.42</v>
      </c>
      <c r="R16" s="33">
        <f>M16/Q16</f>
        <v>-203.61230022688929</v>
      </c>
    </row>
    <row r="17" spans="1:18" s="30" customFormat="1" ht="15" customHeight="1">
      <c r="A17" s="37" t="s">
        <v>39</v>
      </c>
      <c r="B17" s="26" t="s">
        <v>40</v>
      </c>
      <c r="C17" s="39" t="s">
        <v>78</v>
      </c>
      <c r="D17" s="40" t="s">
        <v>79</v>
      </c>
      <c r="E17" s="38" t="s">
        <v>6</v>
      </c>
      <c r="F17" s="38" t="s">
        <v>11</v>
      </c>
      <c r="G17" s="32"/>
      <c r="H17" s="32"/>
      <c r="I17" s="32"/>
      <c r="J17" s="35">
        <f>+G17-H17+I17</f>
        <v>0</v>
      </c>
      <c r="K17" s="28">
        <v>0</v>
      </c>
      <c r="L17" s="32">
        <v>0</v>
      </c>
      <c r="M17" s="35">
        <f>+J17+L17</f>
        <v>0</v>
      </c>
      <c r="N17" s="28" t="s">
        <v>77</v>
      </c>
      <c r="O17" s="29">
        <v>3997</v>
      </c>
      <c r="P17" s="36">
        <v>44477</v>
      </c>
      <c r="Q17" s="31">
        <v>30120.42</v>
      </c>
      <c r="R17" s="33">
        <f>M17/Q17</f>
        <v>0</v>
      </c>
    </row>
    <row r="18" spans="1:18" s="30" customFormat="1" ht="15" customHeight="1">
      <c r="A18" s="37" t="s">
        <v>39</v>
      </c>
      <c r="B18" s="26" t="s">
        <v>40</v>
      </c>
      <c r="C18" s="39" t="s">
        <v>80</v>
      </c>
      <c r="D18" s="40" t="s">
        <v>81</v>
      </c>
      <c r="E18" s="38" t="s">
        <v>6</v>
      </c>
      <c r="F18" s="38" t="s">
        <v>11</v>
      </c>
      <c r="G18" s="32">
        <v>2906579</v>
      </c>
      <c r="H18" s="32">
        <v>0</v>
      </c>
      <c r="I18" s="32">
        <v>4518987</v>
      </c>
      <c r="J18" s="35">
        <f>+G18-H18+I18</f>
        <v>7425566</v>
      </c>
      <c r="K18" s="28">
        <v>0</v>
      </c>
      <c r="L18" s="32">
        <v>0</v>
      </c>
      <c r="M18" s="35">
        <f>+J18+L18</f>
        <v>7425566</v>
      </c>
      <c r="N18" s="28" t="s">
        <v>49</v>
      </c>
      <c r="O18" s="28">
        <v>273</v>
      </c>
      <c r="P18" s="36">
        <v>44943</v>
      </c>
      <c r="Q18" s="31">
        <v>35239.79</v>
      </c>
      <c r="R18" s="33">
        <f>M18/Q18</f>
        <v>210.71538735049216</v>
      </c>
    </row>
    <row r="19" spans="1:18" s="30" customFormat="1" ht="15" customHeight="1">
      <c r="A19" s="37" t="s">
        <v>39</v>
      </c>
      <c r="B19" s="26" t="s">
        <v>40</v>
      </c>
      <c r="C19" s="39" t="s">
        <v>82</v>
      </c>
      <c r="D19" s="40" t="s">
        <v>83</v>
      </c>
      <c r="E19" s="38" t="s">
        <v>6</v>
      </c>
      <c r="F19" s="38" t="s">
        <v>11</v>
      </c>
      <c r="G19" s="32">
        <v>0</v>
      </c>
      <c r="H19" s="32">
        <v>0</v>
      </c>
      <c r="I19" s="32">
        <v>23510205</v>
      </c>
      <c r="J19" s="35">
        <f>+G19-H19+I19</f>
        <v>23510205</v>
      </c>
      <c r="K19" s="28">
        <v>0</v>
      </c>
      <c r="L19" s="32">
        <v>0</v>
      </c>
      <c r="M19" s="35">
        <f>+J19+L19</f>
        <v>23510205</v>
      </c>
      <c r="N19" s="28" t="s">
        <v>49</v>
      </c>
      <c r="O19" s="28">
        <v>273</v>
      </c>
      <c r="P19" s="36">
        <v>44943</v>
      </c>
      <c r="Q19" s="31">
        <v>35239.79</v>
      </c>
      <c r="R19" s="33">
        <f>M19/Q19</f>
        <v>667.14940696298129</v>
      </c>
    </row>
    <row r="20" spans="1:18" s="30" customFormat="1" ht="15" customHeight="1">
      <c r="A20" s="37" t="s">
        <v>39</v>
      </c>
      <c r="B20" s="26" t="s">
        <v>40</v>
      </c>
      <c r="C20" s="39" t="s">
        <v>84</v>
      </c>
      <c r="D20" s="40" t="s">
        <v>85</v>
      </c>
      <c r="E20" s="38" t="s">
        <v>6</v>
      </c>
      <c r="F20" s="38" t="s">
        <v>11</v>
      </c>
      <c r="G20" s="32">
        <v>2819198</v>
      </c>
      <c r="H20" s="32">
        <v>0</v>
      </c>
      <c r="I20" s="32">
        <v>2407344</v>
      </c>
      <c r="J20" s="35">
        <f>+G20-H20+I20</f>
        <v>5226542</v>
      </c>
      <c r="K20" s="28">
        <v>0</v>
      </c>
      <c r="L20" s="32">
        <v>0</v>
      </c>
      <c r="M20" s="35">
        <f>+J20+L20</f>
        <v>5226542</v>
      </c>
      <c r="N20" s="28" t="s">
        <v>49</v>
      </c>
      <c r="O20" s="28">
        <v>273</v>
      </c>
      <c r="P20" s="36">
        <v>44943</v>
      </c>
      <c r="Q20" s="31">
        <v>35239.79</v>
      </c>
      <c r="R20" s="33">
        <f>M20/Q20</f>
        <v>148.31365340145331</v>
      </c>
    </row>
    <row r="21" spans="1:18" s="30" customFormat="1" ht="15" customHeight="1">
      <c r="A21" s="37" t="s">
        <v>39</v>
      </c>
      <c r="B21" s="26" t="s">
        <v>40</v>
      </c>
      <c r="C21" s="39" t="s">
        <v>86</v>
      </c>
      <c r="D21" s="40" t="s">
        <v>87</v>
      </c>
      <c r="E21" s="38" t="s">
        <v>6</v>
      </c>
      <c r="F21" s="38" t="s">
        <v>11</v>
      </c>
      <c r="G21" s="32">
        <v>8103146</v>
      </c>
      <c r="H21" s="32">
        <v>0</v>
      </c>
      <c r="I21" s="32">
        <v>8032405</v>
      </c>
      <c r="J21" s="35">
        <f>+G21-H21+I21</f>
        <v>16135551</v>
      </c>
      <c r="K21" s="28">
        <v>0</v>
      </c>
      <c r="L21" s="32">
        <v>0</v>
      </c>
      <c r="M21" s="35">
        <f>+J21+L21</f>
        <v>16135551</v>
      </c>
      <c r="N21" s="28" t="s">
        <v>49</v>
      </c>
      <c r="O21" s="28">
        <v>273</v>
      </c>
      <c r="P21" s="36">
        <v>44943</v>
      </c>
      <c r="Q21" s="31">
        <v>35239.79</v>
      </c>
      <c r="R21" s="33">
        <f>M21/Q21</f>
        <v>457.87875012876071</v>
      </c>
    </row>
    <row r="22" spans="1:18" s="30" customFormat="1" ht="15" customHeight="1">
      <c r="A22" s="37" t="s">
        <v>39</v>
      </c>
      <c r="B22" s="26" t="s">
        <v>40</v>
      </c>
      <c r="C22" s="39" t="s">
        <v>88</v>
      </c>
      <c r="D22" s="40" t="s">
        <v>89</v>
      </c>
      <c r="E22" s="38" t="s">
        <v>6</v>
      </c>
      <c r="F22" s="38" t="s">
        <v>11</v>
      </c>
      <c r="G22" s="32">
        <v>6478542</v>
      </c>
      <c r="H22" s="32">
        <v>0</v>
      </c>
      <c r="I22" s="32">
        <v>5841408</v>
      </c>
      <c r="J22" s="35">
        <f>+G22-H22+I22</f>
        <v>12319950</v>
      </c>
      <c r="K22" s="28">
        <v>0</v>
      </c>
      <c r="L22" s="32">
        <v>0</v>
      </c>
      <c r="M22" s="35">
        <f>+J22+L22</f>
        <v>12319950</v>
      </c>
      <c r="N22" s="28" t="s">
        <v>49</v>
      </c>
      <c r="O22" s="28">
        <v>273</v>
      </c>
      <c r="P22" s="36">
        <v>44943</v>
      </c>
      <c r="Q22" s="31">
        <v>35239.79</v>
      </c>
      <c r="R22" s="33">
        <f>M22/Q22</f>
        <v>349.60338866945574</v>
      </c>
    </row>
    <row r="23" spans="1:18" s="30" customFormat="1" ht="15" customHeight="1">
      <c r="A23" s="37" t="s">
        <v>39</v>
      </c>
      <c r="B23" s="26" t="s">
        <v>40</v>
      </c>
      <c r="C23" s="39" t="s">
        <v>90</v>
      </c>
      <c r="D23" s="40" t="s">
        <v>91</v>
      </c>
      <c r="E23" s="38" t="s">
        <v>6</v>
      </c>
      <c r="F23" s="38" t="s">
        <v>11</v>
      </c>
      <c r="G23" s="32">
        <v>2183621</v>
      </c>
      <c r="H23" s="32">
        <v>0</v>
      </c>
      <c r="I23" s="32">
        <v>553662</v>
      </c>
      <c r="J23" s="35">
        <f>+G23-H23+I23</f>
        <v>2737283</v>
      </c>
      <c r="K23" s="28">
        <v>0</v>
      </c>
      <c r="L23" s="32">
        <v>0</v>
      </c>
      <c r="M23" s="35">
        <f>+J23+L23</f>
        <v>2737283</v>
      </c>
      <c r="N23" s="28" t="s">
        <v>49</v>
      </c>
      <c r="O23" s="28">
        <v>273</v>
      </c>
      <c r="P23" s="36">
        <v>44943</v>
      </c>
      <c r="Q23" s="31">
        <v>35239.79</v>
      </c>
      <c r="R23" s="33">
        <f>M23/Q23</f>
        <v>77.675916910969107</v>
      </c>
    </row>
    <row r="24" spans="1:18" s="30" customFormat="1" ht="15" customHeight="1">
      <c r="A24" s="37" t="s">
        <v>39</v>
      </c>
      <c r="B24" s="26" t="s">
        <v>40</v>
      </c>
      <c r="C24" s="39" t="s">
        <v>92</v>
      </c>
      <c r="D24" s="40" t="s">
        <v>93</v>
      </c>
      <c r="E24" s="38" t="s">
        <v>6</v>
      </c>
      <c r="F24" s="38" t="s">
        <v>11</v>
      </c>
      <c r="G24" s="32">
        <v>3866375</v>
      </c>
      <c r="H24" s="32">
        <v>0</v>
      </c>
      <c r="I24" s="32">
        <v>2951680</v>
      </c>
      <c r="J24" s="35">
        <f>+G24-H24+I24</f>
        <v>6818055</v>
      </c>
      <c r="K24" s="28">
        <v>0</v>
      </c>
      <c r="L24" s="32">
        <v>0</v>
      </c>
      <c r="M24" s="35">
        <f>+J24+L24</f>
        <v>6818055</v>
      </c>
      <c r="N24" s="28" t="s">
        <v>49</v>
      </c>
      <c r="O24" s="28">
        <v>273</v>
      </c>
      <c r="P24" s="36">
        <v>44943</v>
      </c>
      <c r="Q24" s="31">
        <v>35239.79</v>
      </c>
      <c r="R24" s="33">
        <f>M24/Q24</f>
        <v>193.47603944291382</v>
      </c>
    </row>
    <row r="25" spans="1:18" s="30" customFormat="1" ht="15" customHeight="1">
      <c r="A25" s="37" t="s">
        <v>39</v>
      </c>
      <c r="B25" s="26" t="s">
        <v>40</v>
      </c>
      <c r="C25" s="39" t="s">
        <v>94</v>
      </c>
      <c r="D25" s="40" t="s">
        <v>95</v>
      </c>
      <c r="E25" s="38" t="s">
        <v>6</v>
      </c>
      <c r="F25" s="38" t="s">
        <v>11</v>
      </c>
      <c r="G25" s="32"/>
      <c r="H25" s="32"/>
      <c r="I25" s="32"/>
      <c r="J25" s="35">
        <f>+G25-H25+I25</f>
        <v>0</v>
      </c>
      <c r="K25" s="28">
        <v>0</v>
      </c>
      <c r="L25" s="32">
        <v>0</v>
      </c>
      <c r="M25" s="35">
        <f>+J25+L25</f>
        <v>0</v>
      </c>
      <c r="N25" s="28" t="s">
        <v>77</v>
      </c>
      <c r="O25" s="29">
        <v>3997</v>
      </c>
      <c r="P25" s="36">
        <v>44477</v>
      </c>
      <c r="Q25" s="31">
        <v>30120.42</v>
      </c>
      <c r="R25" s="33">
        <f>M25/Q25</f>
        <v>0</v>
      </c>
    </row>
    <row r="26" spans="1:18" s="30" customFormat="1" ht="15" customHeight="1">
      <c r="A26" s="37" t="s">
        <v>39</v>
      </c>
      <c r="B26" s="26" t="s">
        <v>40</v>
      </c>
      <c r="C26" s="39" t="s">
        <v>96</v>
      </c>
      <c r="D26" s="40" t="s">
        <v>97</v>
      </c>
      <c r="E26" s="38" t="s">
        <v>6</v>
      </c>
      <c r="F26" s="38" t="s">
        <v>11</v>
      </c>
      <c r="G26" s="32">
        <v>132773</v>
      </c>
      <c r="H26" s="32">
        <v>0</v>
      </c>
      <c r="I26" s="32">
        <v>1287549</v>
      </c>
      <c r="J26" s="35">
        <f>+G26-H26+I26</f>
        <v>1420322</v>
      </c>
      <c r="K26" s="28">
        <v>0</v>
      </c>
      <c r="L26" s="32">
        <v>0</v>
      </c>
      <c r="M26" s="35">
        <f>+J26+L26</f>
        <v>1420322</v>
      </c>
      <c r="N26" s="28" t="s">
        <v>49</v>
      </c>
      <c r="O26" s="28">
        <v>273</v>
      </c>
      <c r="P26" s="36">
        <v>44943</v>
      </c>
      <c r="Q26" s="31">
        <v>35239.79</v>
      </c>
      <c r="R26" s="33">
        <f>M26/Q26</f>
        <v>40.304496706705685</v>
      </c>
    </row>
    <row r="27" spans="1:18" s="30" customFormat="1" ht="15" customHeight="1">
      <c r="A27" s="37" t="s">
        <v>39</v>
      </c>
      <c r="B27" s="26" t="s">
        <v>40</v>
      </c>
      <c r="C27" s="39" t="s">
        <v>98</v>
      </c>
      <c r="D27" s="40" t="s">
        <v>99</v>
      </c>
      <c r="E27" s="38" t="s">
        <v>6</v>
      </c>
      <c r="F27" s="38" t="s">
        <v>11</v>
      </c>
      <c r="G27" s="32">
        <v>10684208</v>
      </c>
      <c r="H27" s="32">
        <v>0</v>
      </c>
      <c r="I27" s="32">
        <v>12731434</v>
      </c>
      <c r="J27" s="35">
        <f>+G27-H27+I27</f>
        <v>23415642</v>
      </c>
      <c r="K27" s="28">
        <v>0</v>
      </c>
      <c r="L27" s="32">
        <v>0</v>
      </c>
      <c r="M27" s="35">
        <f>+J27+L27</f>
        <v>23415642</v>
      </c>
      <c r="N27" s="28" t="s">
        <v>49</v>
      </c>
      <c r="O27" s="28">
        <v>273</v>
      </c>
      <c r="P27" s="36">
        <v>44943</v>
      </c>
      <c r="Q27" s="31">
        <v>35239.79</v>
      </c>
      <c r="R27" s="33">
        <f>M27/Q27</f>
        <v>664.46599142616913</v>
      </c>
    </row>
    <row r="28" spans="1:18" s="30" customFormat="1" ht="15" customHeight="1">
      <c r="A28" s="37" t="s">
        <v>39</v>
      </c>
      <c r="B28" s="26" t="s">
        <v>40</v>
      </c>
      <c r="C28" s="39" t="s">
        <v>100</v>
      </c>
      <c r="D28" s="40" t="s">
        <v>101</v>
      </c>
      <c r="E28" s="38" t="s">
        <v>6</v>
      </c>
      <c r="F28" s="38" t="s">
        <v>12</v>
      </c>
      <c r="G28" s="32">
        <v>0</v>
      </c>
      <c r="H28" s="32">
        <v>0</v>
      </c>
      <c r="I28" s="32">
        <v>1753112</v>
      </c>
      <c r="J28" s="35">
        <f>+G28-H28+I28</f>
        <v>1753112</v>
      </c>
      <c r="K28" s="28">
        <v>0</v>
      </c>
      <c r="L28" s="32">
        <v>0</v>
      </c>
      <c r="M28" s="35">
        <f>+J28+L28</f>
        <v>1753112</v>
      </c>
      <c r="N28" s="28" t="s">
        <v>49</v>
      </c>
      <c r="O28" s="28">
        <v>273</v>
      </c>
      <c r="P28" s="36">
        <v>44943</v>
      </c>
      <c r="Q28" s="31">
        <v>35239.79</v>
      </c>
      <c r="R28" s="33">
        <f>M28/Q28</f>
        <v>49.748083061788961</v>
      </c>
    </row>
    <row r="29" spans="1:18" s="30" customFormat="1" ht="15" customHeight="1">
      <c r="A29" s="37" t="s">
        <v>39</v>
      </c>
      <c r="B29" s="26" t="s">
        <v>40</v>
      </c>
      <c r="C29" s="39" t="s">
        <v>102</v>
      </c>
      <c r="D29" s="40" t="s">
        <v>103</v>
      </c>
      <c r="E29" s="38" t="s">
        <v>6</v>
      </c>
      <c r="F29" s="38" t="s">
        <v>11</v>
      </c>
      <c r="G29" s="32"/>
      <c r="H29" s="32">
        <v>2507993</v>
      </c>
      <c r="I29" s="32"/>
      <c r="J29" s="35">
        <f>+G29-H29+I29</f>
        <v>-2507993</v>
      </c>
      <c r="K29" s="28">
        <v>0</v>
      </c>
      <c r="L29" s="32">
        <v>0</v>
      </c>
      <c r="M29" s="35">
        <f>+J29+L29</f>
        <v>-2507993</v>
      </c>
      <c r="N29" s="28" t="s">
        <v>77</v>
      </c>
      <c r="O29" s="29">
        <v>3997</v>
      </c>
      <c r="P29" s="36">
        <v>44477</v>
      </c>
      <c r="Q29" s="31">
        <v>30120.42</v>
      </c>
      <c r="R29" s="33">
        <f>M29/Q29</f>
        <v>-83.265538793947769</v>
      </c>
    </row>
    <row r="30" spans="1:18" s="30" customFormat="1" ht="15" customHeight="1">
      <c r="A30" s="37" t="s">
        <v>39</v>
      </c>
      <c r="B30" s="26" t="s">
        <v>40</v>
      </c>
      <c r="C30" s="39" t="s">
        <v>104</v>
      </c>
      <c r="D30" s="40" t="s">
        <v>105</v>
      </c>
      <c r="E30" s="38" t="s">
        <v>6</v>
      </c>
      <c r="F30" s="38" t="s">
        <v>12</v>
      </c>
      <c r="G30" s="32">
        <v>10886540</v>
      </c>
      <c r="H30" s="32">
        <v>0</v>
      </c>
      <c r="I30" s="32">
        <v>7815153</v>
      </c>
      <c r="J30" s="35">
        <f>+G30-H30+I30</f>
        <v>18701693</v>
      </c>
      <c r="K30" s="28">
        <v>0</v>
      </c>
      <c r="L30" s="32">
        <v>0</v>
      </c>
      <c r="M30" s="35">
        <f>+J30+L30</f>
        <v>18701693</v>
      </c>
      <c r="N30" s="28" t="s">
        <v>49</v>
      </c>
      <c r="O30" s="28">
        <v>273</v>
      </c>
      <c r="P30" s="36">
        <v>44943</v>
      </c>
      <c r="Q30" s="31">
        <v>35239.79</v>
      </c>
      <c r="R30" s="33">
        <f>M30/Q30</f>
        <v>530.69819655565482</v>
      </c>
    </row>
    <row r="31" spans="1:18" s="30" customFormat="1" ht="15" customHeight="1">
      <c r="A31" s="37" t="s">
        <v>39</v>
      </c>
      <c r="B31" s="26" t="s">
        <v>40</v>
      </c>
      <c r="C31" s="39" t="s">
        <v>106</v>
      </c>
      <c r="D31" s="40" t="s">
        <v>107</v>
      </c>
      <c r="E31" s="38" t="s">
        <v>6</v>
      </c>
      <c r="F31" s="38" t="s">
        <v>11</v>
      </c>
      <c r="G31" s="32"/>
      <c r="H31" s="32"/>
      <c r="I31" s="32"/>
      <c r="J31" s="35">
        <f>+G31-H31+I31</f>
        <v>0</v>
      </c>
      <c r="K31" s="28">
        <v>0</v>
      </c>
      <c r="L31" s="32">
        <v>0</v>
      </c>
      <c r="M31" s="35">
        <f>+J31+L31</f>
        <v>0</v>
      </c>
      <c r="N31" s="28" t="s">
        <v>77</v>
      </c>
      <c r="O31" s="29">
        <v>3997</v>
      </c>
      <c r="P31" s="36">
        <v>44477</v>
      </c>
      <c r="Q31" s="31">
        <v>30120.42</v>
      </c>
      <c r="R31" s="33">
        <f>M31/Q31</f>
        <v>0</v>
      </c>
    </row>
    <row r="32" spans="1:18" s="30" customFormat="1" ht="15" customHeight="1">
      <c r="A32" s="37" t="s">
        <v>39</v>
      </c>
      <c r="B32" s="26" t="s">
        <v>40</v>
      </c>
      <c r="C32" s="39" t="s">
        <v>108</v>
      </c>
      <c r="D32" s="40" t="s">
        <v>109</v>
      </c>
      <c r="E32" s="38" t="s">
        <v>6</v>
      </c>
      <c r="F32" s="38" t="s">
        <v>11</v>
      </c>
      <c r="G32" s="32"/>
      <c r="H32" s="32">
        <v>414209</v>
      </c>
      <c r="I32" s="32"/>
      <c r="J32" s="35">
        <f>+G32-H32+I32</f>
        <v>-414209</v>
      </c>
      <c r="K32" s="28">
        <v>0</v>
      </c>
      <c r="L32" s="32">
        <v>0</v>
      </c>
      <c r="M32" s="35">
        <f>+J32+L32</f>
        <v>-414209</v>
      </c>
      <c r="N32" s="28" t="s">
        <v>77</v>
      </c>
      <c r="O32" s="29">
        <v>3997</v>
      </c>
      <c r="P32" s="36">
        <v>44477</v>
      </c>
      <c r="Q32" s="31">
        <v>30120.42</v>
      </c>
      <c r="R32" s="33">
        <f>M32/Q32</f>
        <v>-13.751767073633104</v>
      </c>
    </row>
    <row r="33" spans="1:18" s="30" customFormat="1" ht="15" customHeight="1">
      <c r="A33" s="37" t="s">
        <v>39</v>
      </c>
      <c r="B33" s="26" t="s">
        <v>40</v>
      </c>
      <c r="C33" s="39" t="s">
        <v>110</v>
      </c>
      <c r="D33" s="40" t="s">
        <v>111</v>
      </c>
      <c r="E33" s="38" t="s">
        <v>6</v>
      </c>
      <c r="F33" s="38" t="s">
        <v>11</v>
      </c>
      <c r="G33" s="32"/>
      <c r="H33" s="32">
        <v>5022846</v>
      </c>
      <c r="I33" s="32"/>
      <c r="J33" s="35">
        <f>+G33-H33+I33</f>
        <v>-5022846</v>
      </c>
      <c r="K33" s="28">
        <v>0</v>
      </c>
      <c r="L33" s="32">
        <v>0</v>
      </c>
      <c r="M33" s="35">
        <f>+J33+L33</f>
        <v>-5022846</v>
      </c>
      <c r="N33" s="28" t="s">
        <v>77</v>
      </c>
      <c r="O33" s="29">
        <v>3997</v>
      </c>
      <c r="P33" s="36">
        <v>44477</v>
      </c>
      <c r="Q33" s="31">
        <v>30120.42</v>
      </c>
      <c r="R33" s="33">
        <f>M33/Q33</f>
        <v>-166.75883005615461</v>
      </c>
    </row>
    <row r="34" spans="1:18" s="30" customFormat="1" ht="15" customHeight="1">
      <c r="A34" s="37" t="s">
        <v>39</v>
      </c>
      <c r="B34" s="26" t="s">
        <v>40</v>
      </c>
      <c r="C34" s="39" t="s">
        <v>112</v>
      </c>
      <c r="D34" s="40" t="s">
        <v>113</v>
      </c>
      <c r="E34" s="38" t="s">
        <v>6</v>
      </c>
      <c r="F34" s="38" t="s">
        <v>11</v>
      </c>
      <c r="G34" s="32"/>
      <c r="H34" s="32"/>
      <c r="I34" s="32"/>
      <c r="J34" s="35">
        <f>+G34-H34+I34</f>
        <v>0</v>
      </c>
      <c r="K34" s="28">
        <v>0</v>
      </c>
      <c r="L34" s="32">
        <v>0</v>
      </c>
      <c r="M34" s="35">
        <f>+J34+L34</f>
        <v>0</v>
      </c>
      <c r="N34" s="28" t="s">
        <v>77</v>
      </c>
      <c r="O34" s="29">
        <v>3997</v>
      </c>
      <c r="P34" s="36">
        <v>44477</v>
      </c>
      <c r="Q34" s="31">
        <v>30120.42</v>
      </c>
      <c r="R34" s="33">
        <f>M34/Q34</f>
        <v>0</v>
      </c>
    </row>
    <row r="35" spans="1:18" s="30" customFormat="1" ht="15" customHeight="1">
      <c r="A35" s="37" t="s">
        <v>39</v>
      </c>
      <c r="B35" s="26" t="s">
        <v>40</v>
      </c>
      <c r="C35" s="39" t="s">
        <v>114</v>
      </c>
      <c r="D35" s="40" t="s">
        <v>115</v>
      </c>
      <c r="E35" s="38" t="s">
        <v>6</v>
      </c>
      <c r="F35" s="38" t="s">
        <v>11</v>
      </c>
      <c r="G35" s="32">
        <v>18548019</v>
      </c>
      <c r="H35" s="32">
        <v>0</v>
      </c>
      <c r="I35" s="32">
        <v>7716281</v>
      </c>
      <c r="J35" s="35">
        <f>+G35-H35+I35</f>
        <v>26264300</v>
      </c>
      <c r="K35" s="28">
        <v>0</v>
      </c>
      <c r="L35" s="32">
        <v>0</v>
      </c>
      <c r="M35" s="35">
        <f>+J35+L35</f>
        <v>26264300</v>
      </c>
      <c r="N35" s="28" t="s">
        <v>74</v>
      </c>
      <c r="O35" s="28">
        <v>4036</v>
      </c>
      <c r="P35" s="36">
        <v>44816</v>
      </c>
      <c r="Q35" s="31">
        <v>34013.910000000003</v>
      </c>
      <c r="R35" s="33">
        <f>M35/Q35</f>
        <v>772.16350604796673</v>
      </c>
    </row>
    <row r="36" spans="1:18" s="30" customFormat="1" ht="15" customHeight="1">
      <c r="A36" s="37" t="s">
        <v>39</v>
      </c>
      <c r="B36" s="26" t="s">
        <v>40</v>
      </c>
      <c r="C36" s="39" t="s">
        <v>116</v>
      </c>
      <c r="D36" s="40" t="s">
        <v>117</v>
      </c>
      <c r="E36" s="38" t="s">
        <v>6</v>
      </c>
      <c r="F36" s="38" t="s">
        <v>11</v>
      </c>
      <c r="G36" s="32">
        <v>1497479</v>
      </c>
      <c r="H36" s="32">
        <v>186851</v>
      </c>
      <c r="I36" s="32">
        <v>321043</v>
      </c>
      <c r="J36" s="35">
        <f>+G36-H36+I36</f>
        <v>1631671</v>
      </c>
      <c r="K36" s="28">
        <v>0</v>
      </c>
      <c r="L36" s="32">
        <v>0</v>
      </c>
      <c r="M36" s="35">
        <f>+J36+L36</f>
        <v>1631671</v>
      </c>
      <c r="N36" s="28" t="s">
        <v>74</v>
      </c>
      <c r="O36" s="28">
        <v>4036</v>
      </c>
      <c r="P36" s="36">
        <v>44816</v>
      </c>
      <c r="Q36" s="31">
        <v>34013.910000000003</v>
      </c>
      <c r="R36" s="33">
        <f>M36/Q36</f>
        <v>47.970697870371261</v>
      </c>
    </row>
    <row r="37" spans="1:18" s="30" customFormat="1" ht="15" customHeight="1">
      <c r="A37" s="37" t="s">
        <v>39</v>
      </c>
      <c r="B37" s="26" t="s">
        <v>40</v>
      </c>
      <c r="C37" s="39" t="s">
        <v>118</v>
      </c>
      <c r="D37" s="40" t="s">
        <v>119</v>
      </c>
      <c r="E37" s="38" t="s">
        <v>6</v>
      </c>
      <c r="F37" s="38" t="s">
        <v>11</v>
      </c>
      <c r="G37" s="32">
        <v>2319796</v>
      </c>
      <c r="H37" s="32">
        <v>0</v>
      </c>
      <c r="I37" s="32">
        <v>0</v>
      </c>
      <c r="J37" s="35">
        <f>+G37-H37+I37</f>
        <v>2319796</v>
      </c>
      <c r="K37" s="28">
        <v>0</v>
      </c>
      <c r="L37" s="32">
        <v>0</v>
      </c>
      <c r="M37" s="35">
        <f>+J37+L37</f>
        <v>2319796</v>
      </c>
      <c r="N37" s="28" t="s">
        <v>74</v>
      </c>
      <c r="O37" s="28">
        <v>4036</v>
      </c>
      <c r="P37" s="36">
        <v>44816</v>
      </c>
      <c r="Q37" s="31">
        <v>34013.910000000003</v>
      </c>
      <c r="R37" s="33">
        <f>M37/Q37</f>
        <v>68.201391724738485</v>
      </c>
    </row>
    <row r="38" spans="1:18" s="30" customFormat="1" ht="15" customHeight="1">
      <c r="A38" s="37" t="s">
        <v>39</v>
      </c>
      <c r="B38" s="26" t="s">
        <v>40</v>
      </c>
      <c r="C38" s="39" t="s">
        <v>120</v>
      </c>
      <c r="D38" s="40" t="s">
        <v>121</v>
      </c>
      <c r="E38" s="38" t="s">
        <v>6</v>
      </c>
      <c r="F38" s="38" t="s">
        <v>11</v>
      </c>
      <c r="G38" s="32">
        <v>2557957</v>
      </c>
      <c r="H38" s="32">
        <v>0</v>
      </c>
      <c r="I38" s="32">
        <v>1963755</v>
      </c>
      <c r="J38" s="35">
        <f>+G38-H38+I38</f>
        <v>4521712</v>
      </c>
      <c r="K38" s="28">
        <v>0</v>
      </c>
      <c r="L38" s="32">
        <v>0</v>
      </c>
      <c r="M38" s="35">
        <f>+J38+L38</f>
        <v>4521712</v>
      </c>
      <c r="N38" s="28" t="s">
        <v>74</v>
      </c>
      <c r="O38" s="28">
        <v>4036</v>
      </c>
      <c r="P38" s="36">
        <v>44816</v>
      </c>
      <c r="Q38" s="31">
        <v>34013.910000000003</v>
      </c>
      <c r="R38" s="33">
        <f>M38/Q38</f>
        <v>132.93714248082622</v>
      </c>
    </row>
    <row r="39" spans="1:18" s="30" customFormat="1" ht="15" customHeight="1">
      <c r="A39" s="37" t="s">
        <v>39</v>
      </c>
      <c r="B39" s="26" t="s">
        <v>40</v>
      </c>
      <c r="C39" s="39" t="s">
        <v>122</v>
      </c>
      <c r="D39" s="40" t="s">
        <v>123</v>
      </c>
      <c r="E39" s="38" t="s">
        <v>6</v>
      </c>
      <c r="F39" s="38" t="s">
        <v>11</v>
      </c>
      <c r="G39" s="32">
        <v>2736783</v>
      </c>
      <c r="H39" s="32">
        <v>0</v>
      </c>
      <c r="I39" s="32">
        <v>1312186</v>
      </c>
      <c r="J39" s="35">
        <f>+G39-H39+I39</f>
        <v>4048969</v>
      </c>
      <c r="K39" s="28">
        <v>0</v>
      </c>
      <c r="L39" s="32">
        <v>0</v>
      </c>
      <c r="M39" s="35">
        <f>+J39+L39</f>
        <v>4048969</v>
      </c>
      <c r="N39" s="28" t="s">
        <v>74</v>
      </c>
      <c r="O39" s="28">
        <v>4036</v>
      </c>
      <c r="P39" s="36">
        <v>44816</v>
      </c>
      <c r="Q39" s="31">
        <v>34013.910000000003</v>
      </c>
      <c r="R39" s="33">
        <f>M39/Q39</f>
        <v>119.03862272817209</v>
      </c>
    </row>
    <row r="40" spans="1:18" s="30" customFormat="1" ht="15" customHeight="1">
      <c r="A40" s="37" t="s">
        <v>39</v>
      </c>
      <c r="B40" s="26" t="s">
        <v>40</v>
      </c>
      <c r="C40" s="39" t="s">
        <v>124</v>
      </c>
      <c r="D40" s="40" t="s">
        <v>125</v>
      </c>
      <c r="E40" s="38" t="s">
        <v>6</v>
      </c>
      <c r="F40" s="38" t="s">
        <v>11</v>
      </c>
      <c r="G40" s="32">
        <v>0</v>
      </c>
      <c r="H40" s="32">
        <v>0</v>
      </c>
      <c r="I40" s="32">
        <v>746610</v>
      </c>
      <c r="J40" s="35">
        <f>+G40-H40+I40</f>
        <v>746610</v>
      </c>
      <c r="K40" s="28">
        <v>0</v>
      </c>
      <c r="L40" s="32">
        <v>0</v>
      </c>
      <c r="M40" s="35">
        <f>+J40+L40</f>
        <v>746610</v>
      </c>
      <c r="N40" s="28" t="s">
        <v>74</v>
      </c>
      <c r="O40" s="28">
        <v>4036</v>
      </c>
      <c r="P40" s="36">
        <v>44816</v>
      </c>
      <c r="Q40" s="31">
        <v>34013.910000000003</v>
      </c>
      <c r="R40" s="33">
        <f>M40/Q40</f>
        <v>21.950137458469193</v>
      </c>
    </row>
    <row r="41" spans="1:18" s="30" customFormat="1" ht="15" customHeight="1">
      <c r="A41" s="37" t="s">
        <v>39</v>
      </c>
      <c r="B41" s="26" t="s">
        <v>40</v>
      </c>
      <c r="C41" s="39" t="s">
        <v>126</v>
      </c>
      <c r="D41" s="40" t="s">
        <v>127</v>
      </c>
      <c r="E41" s="38" t="s">
        <v>6</v>
      </c>
      <c r="F41" s="38" t="s">
        <v>11</v>
      </c>
      <c r="G41" s="32">
        <v>1275754</v>
      </c>
      <c r="H41" s="32">
        <v>5412841</v>
      </c>
      <c r="I41" s="32">
        <v>3460944</v>
      </c>
      <c r="J41" s="35">
        <f>+G41-H41+I41</f>
        <v>-676143</v>
      </c>
      <c r="K41" s="28">
        <v>0</v>
      </c>
      <c r="L41" s="32">
        <v>0</v>
      </c>
      <c r="M41" s="35">
        <f>+J41+L41</f>
        <v>-676143</v>
      </c>
      <c r="N41" s="28" t="s">
        <v>74</v>
      </c>
      <c r="O41" s="28">
        <v>4036</v>
      </c>
      <c r="P41" s="36">
        <v>44816</v>
      </c>
      <c r="Q41" s="31">
        <v>34013.910000000003</v>
      </c>
      <c r="R41" s="33">
        <f>M41/Q41</f>
        <v>-19.878426208571728</v>
      </c>
    </row>
    <row r="42" spans="1:18" s="30" customFormat="1" ht="15" customHeight="1">
      <c r="A42" s="37" t="s">
        <v>39</v>
      </c>
      <c r="B42" s="26" t="s">
        <v>40</v>
      </c>
      <c r="C42" s="39" t="s">
        <v>128</v>
      </c>
      <c r="D42" s="40" t="s">
        <v>129</v>
      </c>
      <c r="E42" s="38" t="s">
        <v>6</v>
      </c>
      <c r="F42" s="38" t="s">
        <v>11</v>
      </c>
      <c r="G42" s="32">
        <v>2038413</v>
      </c>
      <c r="H42" s="32">
        <v>0</v>
      </c>
      <c r="I42" s="32">
        <v>7158625</v>
      </c>
      <c r="J42" s="35">
        <f>+G42-H42+I42</f>
        <v>9197038</v>
      </c>
      <c r="K42" s="28">
        <v>0</v>
      </c>
      <c r="L42" s="32">
        <v>0</v>
      </c>
      <c r="M42" s="35">
        <f>+J42+L42</f>
        <v>9197038</v>
      </c>
      <c r="N42" s="28" t="s">
        <v>74</v>
      </c>
      <c r="O42" s="28">
        <v>4036</v>
      </c>
      <c r="P42" s="36">
        <v>44816</v>
      </c>
      <c r="Q42" s="31">
        <v>34013.910000000003</v>
      </c>
      <c r="R42" s="33">
        <f>M42/Q42</f>
        <v>270.39049612349766</v>
      </c>
    </row>
    <row r="43" spans="1:18" s="30" customFormat="1" ht="15" customHeight="1">
      <c r="A43" s="37" t="s">
        <v>39</v>
      </c>
      <c r="B43" s="26" t="s">
        <v>40</v>
      </c>
      <c r="C43" s="39" t="s">
        <v>130</v>
      </c>
      <c r="D43" s="40" t="s">
        <v>131</v>
      </c>
      <c r="E43" s="38" t="s">
        <v>6</v>
      </c>
      <c r="F43" s="38" t="s">
        <v>11</v>
      </c>
      <c r="G43" s="32">
        <v>1779973</v>
      </c>
      <c r="H43" s="32">
        <v>0</v>
      </c>
      <c r="I43" s="32">
        <v>12543754</v>
      </c>
      <c r="J43" s="35">
        <f>+G43-H43+I43</f>
        <v>14323727</v>
      </c>
      <c r="K43" s="28">
        <v>0</v>
      </c>
      <c r="L43" s="32">
        <v>0</v>
      </c>
      <c r="M43" s="35">
        <f>+J43+L43</f>
        <v>14323727</v>
      </c>
      <c r="N43" s="28" t="s">
        <v>74</v>
      </c>
      <c r="O43" s="28">
        <v>4036</v>
      </c>
      <c r="P43" s="36">
        <v>44816</v>
      </c>
      <c r="Q43" s="31">
        <v>34013.910000000003</v>
      </c>
      <c r="R43" s="33">
        <f>M43/Q43</f>
        <v>421.11380314700659</v>
      </c>
    </row>
    <row r="44" spans="1:18" s="30" customFormat="1" ht="15" customHeight="1">
      <c r="A44" s="37" t="s">
        <v>39</v>
      </c>
      <c r="B44" s="26" t="s">
        <v>40</v>
      </c>
      <c r="C44" s="39" t="s">
        <v>132</v>
      </c>
      <c r="D44" s="40" t="s">
        <v>133</v>
      </c>
      <c r="E44" s="38" t="s">
        <v>6</v>
      </c>
      <c r="F44" s="38" t="s">
        <v>11</v>
      </c>
      <c r="G44" s="32">
        <v>6153112</v>
      </c>
      <c r="H44" s="32">
        <v>0</v>
      </c>
      <c r="I44" s="32">
        <v>43855529</v>
      </c>
      <c r="J44" s="35">
        <f>+G44-H44+I44</f>
        <v>50008641</v>
      </c>
      <c r="K44" s="28">
        <v>0</v>
      </c>
      <c r="L44" s="32">
        <v>0</v>
      </c>
      <c r="M44" s="35">
        <f>+J44+L44</f>
        <v>50008641</v>
      </c>
      <c r="N44" s="28" t="s">
        <v>74</v>
      </c>
      <c r="O44" s="28">
        <v>4036</v>
      </c>
      <c r="P44" s="36">
        <v>44816</v>
      </c>
      <c r="Q44" s="31">
        <v>34013.910000000003</v>
      </c>
      <c r="R44" s="33">
        <f>M44/Q44</f>
        <v>1470.2408808631526</v>
      </c>
    </row>
    <row r="45" spans="1:18" s="30" customFormat="1" ht="15" customHeight="1">
      <c r="A45" s="37" t="s">
        <v>39</v>
      </c>
      <c r="B45" s="26" t="s">
        <v>40</v>
      </c>
      <c r="C45" s="39" t="s">
        <v>134</v>
      </c>
      <c r="D45" s="40" t="s">
        <v>135</v>
      </c>
      <c r="E45" s="38" t="s">
        <v>6</v>
      </c>
      <c r="F45" s="38" t="s">
        <v>11</v>
      </c>
      <c r="G45" s="32">
        <v>0</v>
      </c>
      <c r="H45" s="32">
        <v>0</v>
      </c>
      <c r="I45" s="32">
        <v>2862487</v>
      </c>
      <c r="J45" s="35">
        <f>+G45-H45+I45</f>
        <v>2862487</v>
      </c>
      <c r="K45" s="28">
        <v>0</v>
      </c>
      <c r="L45" s="32">
        <v>0</v>
      </c>
      <c r="M45" s="35">
        <f>+J45+L45</f>
        <v>2862487</v>
      </c>
      <c r="N45" s="28" t="s">
        <v>74</v>
      </c>
      <c r="O45" s="28">
        <v>4036</v>
      </c>
      <c r="P45" s="36">
        <v>44816</v>
      </c>
      <c r="Q45" s="31">
        <v>34013.910000000003</v>
      </c>
      <c r="R45" s="33">
        <f>M45/Q45</f>
        <v>84.156364263914369</v>
      </c>
    </row>
    <row r="46" spans="1:18" s="30" customFormat="1" ht="15" customHeight="1">
      <c r="A46" s="37" t="s">
        <v>39</v>
      </c>
      <c r="B46" s="26" t="s">
        <v>40</v>
      </c>
      <c r="C46" s="39" t="s">
        <v>136</v>
      </c>
      <c r="D46" s="40" t="s">
        <v>137</v>
      </c>
      <c r="E46" s="38" t="s">
        <v>6</v>
      </c>
      <c r="F46" s="38" t="s">
        <v>11</v>
      </c>
      <c r="G46" s="32">
        <v>938215</v>
      </c>
      <c r="H46" s="32">
        <v>6405262</v>
      </c>
      <c r="I46" s="32">
        <v>8325958</v>
      </c>
      <c r="J46" s="35">
        <f>+G46-H46+I46</f>
        <v>2858911</v>
      </c>
      <c r="K46" s="28">
        <v>0</v>
      </c>
      <c r="L46" s="32">
        <v>0</v>
      </c>
      <c r="M46" s="35">
        <f>+J46+L46</f>
        <v>2858911</v>
      </c>
      <c r="N46" s="28" t="s">
        <v>74</v>
      </c>
      <c r="O46" s="28">
        <v>4036</v>
      </c>
      <c r="P46" s="36">
        <v>44816</v>
      </c>
      <c r="Q46" s="31">
        <v>34013.910000000003</v>
      </c>
      <c r="R46" s="33">
        <f>M46/Q46</f>
        <v>84.05123080527936</v>
      </c>
    </row>
    <row r="47" spans="1:18" s="30" customFormat="1" ht="15" customHeight="1">
      <c r="A47" s="37" t="s">
        <v>39</v>
      </c>
      <c r="B47" s="26" t="s">
        <v>40</v>
      </c>
      <c r="C47" s="39" t="s">
        <v>138</v>
      </c>
      <c r="D47" s="40" t="s">
        <v>139</v>
      </c>
      <c r="E47" s="38" t="s">
        <v>6</v>
      </c>
      <c r="F47" s="38" t="s">
        <v>11</v>
      </c>
      <c r="G47" s="32">
        <v>1750983</v>
      </c>
      <c r="H47" s="32">
        <v>5680720</v>
      </c>
      <c r="I47" s="32">
        <v>7386154</v>
      </c>
      <c r="J47" s="35">
        <f>+G47-H47+I47</f>
        <v>3456417</v>
      </c>
      <c r="K47" s="28">
        <v>0</v>
      </c>
      <c r="L47" s="32">
        <v>0</v>
      </c>
      <c r="M47" s="35">
        <f>+J47+L47</f>
        <v>3456417</v>
      </c>
      <c r="N47" s="28" t="s">
        <v>74</v>
      </c>
      <c r="O47" s="28">
        <v>4036</v>
      </c>
      <c r="P47" s="36">
        <v>44816</v>
      </c>
      <c r="Q47" s="31">
        <v>34013.910000000003</v>
      </c>
      <c r="R47" s="33">
        <f>M47/Q47</f>
        <v>101.61774991466726</v>
      </c>
    </row>
    <row r="48" spans="1:18" s="30" customFormat="1" ht="15" customHeight="1">
      <c r="A48" s="37" t="s">
        <v>39</v>
      </c>
      <c r="B48" s="26" t="s">
        <v>40</v>
      </c>
      <c r="C48" s="39" t="s">
        <v>140</v>
      </c>
      <c r="D48" s="40" t="s">
        <v>141</v>
      </c>
      <c r="E48" s="38" t="s">
        <v>6</v>
      </c>
      <c r="F48" s="38" t="s">
        <v>11</v>
      </c>
      <c r="G48" s="32">
        <v>962881</v>
      </c>
      <c r="H48" s="32">
        <v>6135489</v>
      </c>
      <c r="I48" s="32">
        <v>7988017</v>
      </c>
      <c r="J48" s="35">
        <f>+G48-H48+I48</f>
        <v>2815409</v>
      </c>
      <c r="K48" s="28">
        <v>0</v>
      </c>
      <c r="L48" s="32">
        <v>0</v>
      </c>
      <c r="M48" s="35">
        <f>+J48+L48</f>
        <v>2815409</v>
      </c>
      <c r="N48" s="28" t="s">
        <v>74</v>
      </c>
      <c r="O48" s="28">
        <v>4036</v>
      </c>
      <c r="P48" s="36">
        <v>44816</v>
      </c>
      <c r="Q48" s="31">
        <v>34013.910000000003</v>
      </c>
      <c r="R48" s="33">
        <f>M48/Q48</f>
        <v>82.772283456973923</v>
      </c>
    </row>
    <row r="49" spans="1:18" s="30" customFormat="1" ht="15" customHeight="1">
      <c r="A49" s="37" t="s">
        <v>39</v>
      </c>
      <c r="B49" s="26" t="s">
        <v>40</v>
      </c>
      <c r="C49" s="39" t="s">
        <v>142</v>
      </c>
      <c r="D49" s="40" t="s">
        <v>143</v>
      </c>
      <c r="E49" s="38" t="s">
        <v>6</v>
      </c>
      <c r="F49" s="38" t="s">
        <v>11</v>
      </c>
      <c r="G49" s="32">
        <v>1944130</v>
      </c>
      <c r="H49" s="32">
        <v>5680720</v>
      </c>
      <c r="I49" s="32">
        <v>7380628</v>
      </c>
      <c r="J49" s="35">
        <f>+G49-H49+I49</f>
        <v>3644038</v>
      </c>
      <c r="K49" s="28">
        <v>0</v>
      </c>
      <c r="L49" s="32">
        <v>0</v>
      </c>
      <c r="M49" s="35">
        <f>+J49+L49</f>
        <v>3644038</v>
      </c>
      <c r="N49" s="28" t="s">
        <v>74</v>
      </c>
      <c r="O49" s="28">
        <v>4036</v>
      </c>
      <c r="P49" s="36">
        <v>44816</v>
      </c>
      <c r="Q49" s="31">
        <v>34013.910000000003</v>
      </c>
      <c r="R49" s="33">
        <f>M49/Q49</f>
        <v>107.13375792433153</v>
      </c>
    </row>
    <row r="50" spans="1:18" s="30" customFormat="1" ht="15" customHeight="1">
      <c r="A50" s="37" t="s">
        <v>39</v>
      </c>
      <c r="B50" s="26" t="s">
        <v>40</v>
      </c>
      <c r="C50" s="39" t="s">
        <v>144</v>
      </c>
      <c r="D50" s="40" t="s">
        <v>145</v>
      </c>
      <c r="E50" s="38" t="s">
        <v>6</v>
      </c>
      <c r="F50" s="38" t="s">
        <v>11</v>
      </c>
      <c r="G50" s="32">
        <v>1511236</v>
      </c>
      <c r="H50" s="32">
        <v>4578492</v>
      </c>
      <c r="I50" s="32">
        <v>5951522</v>
      </c>
      <c r="J50" s="35">
        <f>+G50-H50+I50</f>
        <v>2884266</v>
      </c>
      <c r="K50" s="28">
        <v>0</v>
      </c>
      <c r="L50" s="32">
        <v>0</v>
      </c>
      <c r="M50" s="35">
        <f>+J50+L50</f>
        <v>2884266</v>
      </c>
      <c r="N50" s="28" t="s">
        <v>74</v>
      </c>
      <c r="O50" s="28">
        <v>4036</v>
      </c>
      <c r="P50" s="36">
        <v>44816</v>
      </c>
      <c r="Q50" s="31">
        <v>34013.910000000003</v>
      </c>
      <c r="R50" s="33">
        <f>M50/Q50</f>
        <v>84.796661130696222</v>
      </c>
    </row>
    <row r="51" spans="1:18" s="30" customFormat="1" ht="15" customHeight="1">
      <c r="A51" s="37" t="s">
        <v>39</v>
      </c>
      <c r="B51" s="26" t="s">
        <v>40</v>
      </c>
      <c r="C51" s="39" t="s">
        <v>146</v>
      </c>
      <c r="D51" s="40" t="s">
        <v>147</v>
      </c>
      <c r="E51" s="38" t="s">
        <v>6</v>
      </c>
      <c r="F51" s="38" t="s">
        <v>11</v>
      </c>
      <c r="G51" s="32">
        <v>1683789</v>
      </c>
      <c r="H51" s="32">
        <v>6135489</v>
      </c>
      <c r="I51" s="32">
        <v>7977785</v>
      </c>
      <c r="J51" s="35">
        <f>+G51-H51+I51</f>
        <v>3526085</v>
      </c>
      <c r="K51" s="28">
        <v>0</v>
      </c>
      <c r="L51" s="32">
        <v>0</v>
      </c>
      <c r="M51" s="35">
        <f>+J51+L51</f>
        <v>3526085</v>
      </c>
      <c r="N51" s="28" t="s">
        <v>74</v>
      </c>
      <c r="O51" s="28">
        <v>4036</v>
      </c>
      <c r="P51" s="36">
        <v>44816</v>
      </c>
      <c r="Q51" s="31">
        <v>34013.910000000003</v>
      </c>
      <c r="R51" s="33">
        <f>M51/Q51</f>
        <v>103.66597077489767</v>
      </c>
    </row>
    <row r="52" spans="1:18" s="30" customFormat="1" ht="15" customHeight="1">
      <c r="A52" s="37" t="s">
        <v>39</v>
      </c>
      <c r="B52" s="26" t="s">
        <v>40</v>
      </c>
      <c r="C52" s="39" t="s">
        <v>148</v>
      </c>
      <c r="D52" s="40" t="s">
        <v>149</v>
      </c>
      <c r="E52" s="38" t="s">
        <v>6</v>
      </c>
      <c r="F52" s="38" t="s">
        <v>12</v>
      </c>
      <c r="G52" s="32">
        <v>7413896</v>
      </c>
      <c r="H52" s="32">
        <v>0</v>
      </c>
      <c r="I52" s="32">
        <v>663163</v>
      </c>
      <c r="J52" s="35">
        <f>+G52-H52+I52</f>
        <v>8077059</v>
      </c>
      <c r="K52" s="28">
        <v>0</v>
      </c>
      <c r="L52" s="32">
        <v>0</v>
      </c>
      <c r="M52" s="35">
        <f>+J52+L52</f>
        <v>8077059</v>
      </c>
      <c r="N52" s="28" t="s">
        <v>74</v>
      </c>
      <c r="O52" s="28">
        <v>4036</v>
      </c>
      <c r="P52" s="36">
        <v>44816</v>
      </c>
      <c r="Q52" s="31">
        <v>34013.910000000003</v>
      </c>
      <c r="R52" s="33">
        <f>M52/Q52</f>
        <v>237.46340835264158</v>
      </c>
    </row>
    <row r="53" spans="1:18" s="30" customFormat="1" ht="15" customHeight="1">
      <c r="A53" s="37" t="s">
        <v>39</v>
      </c>
      <c r="B53" s="26" t="s">
        <v>40</v>
      </c>
      <c r="C53" s="39" t="s">
        <v>150</v>
      </c>
      <c r="D53" s="40" t="s">
        <v>151</v>
      </c>
      <c r="E53" s="38" t="s">
        <v>6</v>
      </c>
      <c r="F53" s="38" t="s">
        <v>12</v>
      </c>
      <c r="G53" s="32">
        <v>7569535</v>
      </c>
      <c r="H53" s="32">
        <v>0</v>
      </c>
      <c r="I53" s="32">
        <v>958944</v>
      </c>
      <c r="J53" s="35">
        <f>+G53-H53+I53</f>
        <v>8528479</v>
      </c>
      <c r="K53" s="28">
        <v>0</v>
      </c>
      <c r="L53" s="32">
        <v>0</v>
      </c>
      <c r="M53" s="35">
        <f>+J53+L53</f>
        <v>8528479</v>
      </c>
      <c r="N53" s="28" t="s">
        <v>74</v>
      </c>
      <c r="O53" s="28">
        <v>4036</v>
      </c>
      <c r="P53" s="36">
        <v>44816</v>
      </c>
      <c r="Q53" s="31">
        <v>34013.910000000003</v>
      </c>
      <c r="R53" s="33">
        <f>M53/Q53</f>
        <v>250.73503751847403</v>
      </c>
    </row>
    <row r="54" spans="1:18" s="30" customFormat="1" ht="15" customHeight="1">
      <c r="A54" s="37" t="s">
        <v>39</v>
      </c>
      <c r="B54" s="26" t="s">
        <v>40</v>
      </c>
      <c r="C54" s="39" t="s">
        <v>152</v>
      </c>
      <c r="D54" s="40" t="s">
        <v>153</v>
      </c>
      <c r="E54" s="38" t="s">
        <v>6</v>
      </c>
      <c r="F54" s="38" t="s">
        <v>12</v>
      </c>
      <c r="G54" s="32">
        <v>1605956</v>
      </c>
      <c r="H54" s="32">
        <v>0</v>
      </c>
      <c r="I54" s="32">
        <v>485832</v>
      </c>
      <c r="J54" s="35">
        <f>+G54-H54+I54</f>
        <v>2091788</v>
      </c>
      <c r="K54" s="28">
        <v>0</v>
      </c>
      <c r="L54" s="32">
        <v>0</v>
      </c>
      <c r="M54" s="35">
        <f>+J54+L54</f>
        <v>2091788</v>
      </c>
      <c r="N54" s="28" t="s">
        <v>74</v>
      </c>
      <c r="O54" s="28">
        <v>4036</v>
      </c>
      <c r="P54" s="36">
        <v>44816</v>
      </c>
      <c r="Q54" s="31">
        <v>34013.910000000003</v>
      </c>
      <c r="R54" s="33">
        <f>M54/Q54</f>
        <v>61.498016546759835</v>
      </c>
    </row>
    <row r="55" spans="1:18" s="30" customFormat="1" ht="15" customHeight="1">
      <c r="A55" s="37" t="s">
        <v>39</v>
      </c>
      <c r="B55" s="26" t="s">
        <v>40</v>
      </c>
      <c r="C55" s="39" t="s">
        <v>154</v>
      </c>
      <c r="D55" s="40" t="s">
        <v>155</v>
      </c>
      <c r="E55" s="38" t="s">
        <v>6</v>
      </c>
      <c r="F55" s="38" t="s">
        <v>12</v>
      </c>
      <c r="G55" s="32">
        <v>2736288</v>
      </c>
      <c r="H55" s="32">
        <v>0</v>
      </c>
      <c r="I55" s="32">
        <v>221054</v>
      </c>
      <c r="J55" s="35">
        <f>+G55-H55+I55</f>
        <v>2957342</v>
      </c>
      <c r="K55" s="28">
        <v>0</v>
      </c>
      <c r="L55" s="32">
        <v>0</v>
      </c>
      <c r="M55" s="35">
        <f>+J55+L55</f>
        <v>2957342</v>
      </c>
      <c r="N55" s="28" t="s">
        <v>74</v>
      </c>
      <c r="O55" s="28">
        <v>4036</v>
      </c>
      <c r="P55" s="36">
        <v>44816</v>
      </c>
      <c r="Q55" s="31">
        <v>34013.910000000003</v>
      </c>
      <c r="R55" s="33">
        <f>M55/Q55</f>
        <v>86.945076293786855</v>
      </c>
    </row>
    <row r="56" spans="1:18" s="30" customFormat="1" ht="15" customHeight="1">
      <c r="A56" s="37" t="s">
        <v>39</v>
      </c>
      <c r="B56" s="26" t="s">
        <v>40</v>
      </c>
      <c r="C56" s="39" t="s">
        <v>156</v>
      </c>
      <c r="D56" s="40" t="s">
        <v>157</v>
      </c>
      <c r="E56" s="38" t="s">
        <v>6</v>
      </c>
      <c r="F56" s="38" t="s">
        <v>12</v>
      </c>
      <c r="G56" s="32">
        <v>5780533</v>
      </c>
      <c r="H56" s="32">
        <v>0</v>
      </c>
      <c r="I56" s="32">
        <v>552636</v>
      </c>
      <c r="J56" s="35">
        <f>+G56-H56+I56</f>
        <v>6333169</v>
      </c>
      <c r="K56" s="28">
        <v>0</v>
      </c>
      <c r="L56" s="32">
        <v>0</v>
      </c>
      <c r="M56" s="35">
        <f>+J56+L56</f>
        <v>6333169</v>
      </c>
      <c r="N56" s="28" t="s">
        <v>74</v>
      </c>
      <c r="O56" s="28">
        <v>4036</v>
      </c>
      <c r="P56" s="36">
        <v>44816</v>
      </c>
      <c r="Q56" s="31">
        <v>34013.910000000003</v>
      </c>
      <c r="R56" s="33">
        <f>M56/Q56</f>
        <v>186.19350142338823</v>
      </c>
    </row>
    <row r="57" spans="1:18" s="30" customFormat="1" ht="15" customHeight="1">
      <c r="A57" s="37" t="s">
        <v>39</v>
      </c>
      <c r="B57" s="26" t="s">
        <v>40</v>
      </c>
      <c r="C57" s="39" t="s">
        <v>158</v>
      </c>
      <c r="D57" s="40" t="s">
        <v>159</v>
      </c>
      <c r="E57" s="38" t="s">
        <v>6</v>
      </c>
      <c r="F57" s="38" t="s">
        <v>12</v>
      </c>
      <c r="G57" s="32">
        <v>936461</v>
      </c>
      <c r="H57" s="32">
        <v>0</v>
      </c>
      <c r="I57" s="32">
        <v>0</v>
      </c>
      <c r="J57" s="35">
        <f>+G57-H57+I57</f>
        <v>936461</v>
      </c>
      <c r="K57" s="28">
        <v>0</v>
      </c>
      <c r="L57" s="32">
        <v>0</v>
      </c>
      <c r="M57" s="35">
        <f>+J57+L57</f>
        <v>936461</v>
      </c>
      <c r="N57" s="28" t="s">
        <v>74</v>
      </c>
      <c r="O57" s="28">
        <v>4036</v>
      </c>
      <c r="P57" s="36">
        <v>44816</v>
      </c>
      <c r="Q57" s="31">
        <v>34013.910000000003</v>
      </c>
      <c r="R57" s="33">
        <f>M57/Q57</f>
        <v>27.531706881096582</v>
      </c>
    </row>
    <row r="58" spans="1:18" s="30" customFormat="1" ht="15" customHeight="1">
      <c r="A58" s="37" t="s">
        <v>39</v>
      </c>
      <c r="B58" s="26" t="s">
        <v>40</v>
      </c>
      <c r="C58" s="39" t="s">
        <v>160</v>
      </c>
      <c r="D58" s="40" t="s">
        <v>161</v>
      </c>
      <c r="E58" s="38" t="s">
        <v>6</v>
      </c>
      <c r="F58" s="38" t="s">
        <v>12</v>
      </c>
      <c r="G58" s="32">
        <v>950765</v>
      </c>
      <c r="H58" s="32">
        <v>0</v>
      </c>
      <c r="I58" s="32">
        <v>0</v>
      </c>
      <c r="J58" s="35">
        <f>+G58-H58+I58</f>
        <v>950765</v>
      </c>
      <c r="K58" s="28">
        <v>0</v>
      </c>
      <c r="L58" s="32">
        <v>0</v>
      </c>
      <c r="M58" s="35">
        <f>+J58+L58</f>
        <v>950765</v>
      </c>
      <c r="N58" s="28" t="s">
        <v>74</v>
      </c>
      <c r="O58" s="28">
        <v>4036</v>
      </c>
      <c r="P58" s="36">
        <v>44816</v>
      </c>
      <c r="Q58" s="31">
        <v>34013.910000000003</v>
      </c>
      <c r="R58" s="33">
        <f>M58/Q58</f>
        <v>27.952240715636631</v>
      </c>
    </row>
    <row r="59" spans="1:18" s="30" customFormat="1" ht="15" customHeight="1">
      <c r="A59" s="37" t="s">
        <v>39</v>
      </c>
      <c r="B59" s="26" t="s">
        <v>40</v>
      </c>
      <c r="C59" s="39" t="s">
        <v>162</v>
      </c>
      <c r="D59" s="40" t="s">
        <v>163</v>
      </c>
      <c r="E59" s="38" t="s">
        <v>6</v>
      </c>
      <c r="F59" s="38" t="s">
        <v>12</v>
      </c>
      <c r="G59" s="32">
        <v>4458854</v>
      </c>
      <c r="H59" s="32">
        <v>0</v>
      </c>
      <c r="I59" s="32">
        <v>485832</v>
      </c>
      <c r="J59" s="35">
        <f>+G59-H59+I59</f>
        <v>4944686</v>
      </c>
      <c r="K59" s="28">
        <v>0</v>
      </c>
      <c r="L59" s="32">
        <v>0</v>
      </c>
      <c r="M59" s="35">
        <f>+J59+L59</f>
        <v>4944686</v>
      </c>
      <c r="N59" s="28" t="s">
        <v>74</v>
      </c>
      <c r="O59" s="28">
        <v>4036</v>
      </c>
      <c r="P59" s="36">
        <v>44816</v>
      </c>
      <c r="Q59" s="31">
        <v>34013.910000000003</v>
      </c>
      <c r="R59" s="33">
        <f>M59/Q59</f>
        <v>145.37246673493283</v>
      </c>
    </row>
    <row r="60" spans="1:18" s="30" customFormat="1" ht="15" customHeight="1">
      <c r="A60" s="37" t="s">
        <v>39</v>
      </c>
      <c r="B60" s="26" t="s">
        <v>40</v>
      </c>
      <c r="C60" s="39" t="s">
        <v>164</v>
      </c>
      <c r="D60" s="40" t="s">
        <v>165</v>
      </c>
      <c r="E60" s="38" t="s">
        <v>6</v>
      </c>
      <c r="F60" s="38" t="s">
        <v>12</v>
      </c>
      <c r="G60" s="32">
        <v>970897</v>
      </c>
      <c r="H60" s="32">
        <v>0</v>
      </c>
      <c r="I60" s="32">
        <v>0</v>
      </c>
      <c r="J60" s="35">
        <f>+G60-H60+I60</f>
        <v>970897</v>
      </c>
      <c r="K60" s="28">
        <v>0</v>
      </c>
      <c r="L60" s="32">
        <v>0</v>
      </c>
      <c r="M60" s="35">
        <f>+J60+L60</f>
        <v>970897</v>
      </c>
      <c r="N60" s="28" t="s">
        <v>74</v>
      </c>
      <c r="O60" s="28">
        <v>4036</v>
      </c>
      <c r="P60" s="36">
        <v>44816</v>
      </c>
      <c r="Q60" s="31">
        <v>34013.910000000003</v>
      </c>
      <c r="R60" s="33">
        <f>M60/Q60</f>
        <v>28.544116215983401</v>
      </c>
    </row>
    <row r="61" spans="1:18" s="30" customFormat="1" ht="15" customHeight="1">
      <c r="A61" s="37" t="s">
        <v>166</v>
      </c>
      <c r="B61" s="26" t="s">
        <v>167</v>
      </c>
      <c r="C61" s="39" t="s">
        <v>168</v>
      </c>
      <c r="D61" s="40" t="s">
        <v>169</v>
      </c>
      <c r="E61" s="38" t="s">
        <v>3</v>
      </c>
      <c r="F61" s="38" t="s">
        <v>10</v>
      </c>
      <c r="G61" s="32">
        <v>0</v>
      </c>
      <c r="H61" s="32">
        <v>4739963</v>
      </c>
      <c r="I61" s="52">
        <v>0</v>
      </c>
      <c r="J61" s="35">
        <f>+G61-H61+I61</f>
        <v>-4739963</v>
      </c>
      <c r="K61" s="27" t="s">
        <v>170</v>
      </c>
      <c r="L61" s="32">
        <v>0</v>
      </c>
      <c r="M61" s="35">
        <f>+J61+L61</f>
        <v>-4739963</v>
      </c>
      <c r="N61" s="28" t="s">
        <v>171</v>
      </c>
      <c r="O61" s="29" t="s">
        <v>172</v>
      </c>
      <c r="P61" s="36">
        <v>44341</v>
      </c>
      <c r="Q61" s="31">
        <v>29513.759999999998</v>
      </c>
      <c r="R61" s="33">
        <v>-161</v>
      </c>
    </row>
    <row r="62" spans="1:18" s="30" customFormat="1" ht="15" customHeight="1">
      <c r="A62" s="37" t="s">
        <v>39</v>
      </c>
      <c r="B62" s="26" t="s">
        <v>40</v>
      </c>
      <c r="C62" s="39" t="s">
        <v>173</v>
      </c>
      <c r="D62" s="40" t="s">
        <v>174</v>
      </c>
      <c r="E62" s="38" t="s">
        <v>6</v>
      </c>
      <c r="F62" s="38" t="s">
        <v>12</v>
      </c>
      <c r="G62" s="32">
        <v>2951420</v>
      </c>
      <c r="H62" s="32">
        <v>0</v>
      </c>
      <c r="I62" s="32">
        <v>110527</v>
      </c>
      <c r="J62" s="35">
        <f>+G62-H62+I62</f>
        <v>3061947</v>
      </c>
      <c r="K62" s="28">
        <v>0</v>
      </c>
      <c r="L62" s="32">
        <v>0</v>
      </c>
      <c r="M62" s="35">
        <f>+J62+L62</f>
        <v>3061947</v>
      </c>
      <c r="N62" s="28" t="s">
        <v>74</v>
      </c>
      <c r="O62" s="28">
        <v>4036</v>
      </c>
      <c r="P62" s="36">
        <v>44816</v>
      </c>
      <c r="Q62" s="31">
        <v>34013.910000000003</v>
      </c>
      <c r="R62" s="33">
        <f>M62/Q62</f>
        <v>90.02043575701822</v>
      </c>
    </row>
    <row r="63" spans="1:18" s="30" customFormat="1" ht="15" customHeight="1">
      <c r="A63" s="37" t="s">
        <v>39</v>
      </c>
      <c r="B63" s="26" t="s">
        <v>40</v>
      </c>
      <c r="C63" s="39" t="s">
        <v>175</v>
      </c>
      <c r="D63" s="40" t="s">
        <v>176</v>
      </c>
      <c r="E63" s="38" t="s">
        <v>6</v>
      </c>
      <c r="F63" s="38" t="s">
        <v>12</v>
      </c>
      <c r="G63" s="32">
        <v>5717419</v>
      </c>
      <c r="H63" s="32">
        <v>0</v>
      </c>
      <c r="I63" s="32">
        <v>331582</v>
      </c>
      <c r="J63" s="35">
        <f>+G63-H63+I63</f>
        <v>6049001</v>
      </c>
      <c r="K63" s="28">
        <v>0</v>
      </c>
      <c r="L63" s="32">
        <v>0</v>
      </c>
      <c r="M63" s="35">
        <f>+J63+L63</f>
        <v>6049001</v>
      </c>
      <c r="N63" s="28" t="s">
        <v>74</v>
      </c>
      <c r="O63" s="28">
        <v>4036</v>
      </c>
      <c r="P63" s="36">
        <v>44816</v>
      </c>
      <c r="Q63" s="31">
        <v>34013.910000000003</v>
      </c>
      <c r="R63" s="33">
        <f>M63/Q63</f>
        <v>177.83903702926241</v>
      </c>
    </row>
    <row r="64" spans="1:18" s="30" customFormat="1" ht="15" customHeight="1">
      <c r="A64" s="37" t="s">
        <v>39</v>
      </c>
      <c r="B64" s="26" t="s">
        <v>40</v>
      </c>
      <c r="C64" s="39" t="s">
        <v>177</v>
      </c>
      <c r="D64" s="40" t="s">
        <v>178</v>
      </c>
      <c r="E64" s="38" t="s">
        <v>6</v>
      </c>
      <c r="F64" s="38" t="s">
        <v>11</v>
      </c>
      <c r="G64" s="32"/>
      <c r="H64" s="32"/>
      <c r="I64" s="32">
        <v>16977422</v>
      </c>
      <c r="J64" s="35">
        <f>+G64-H64+I64</f>
        <v>16977422</v>
      </c>
      <c r="K64" s="28">
        <v>0</v>
      </c>
      <c r="L64" s="32">
        <v>0</v>
      </c>
      <c r="M64" s="35">
        <f>+J64+L64</f>
        <v>16977422</v>
      </c>
      <c r="N64" s="28" t="s">
        <v>179</v>
      </c>
      <c r="O64" s="29">
        <v>774</v>
      </c>
      <c r="P64" s="36">
        <v>44594</v>
      </c>
      <c r="Q64" s="31">
        <v>31228.7</v>
      </c>
      <c r="R64" s="33">
        <f>M64/Q64</f>
        <v>543.64805451395671</v>
      </c>
    </row>
    <row r="65" spans="1:18" s="30" customFormat="1" ht="15" customHeight="1">
      <c r="A65" s="37" t="s">
        <v>39</v>
      </c>
      <c r="B65" s="26" t="s">
        <v>40</v>
      </c>
      <c r="C65" s="39" t="s">
        <v>180</v>
      </c>
      <c r="D65" s="40" t="s">
        <v>181</v>
      </c>
      <c r="E65" s="38" t="s">
        <v>6</v>
      </c>
      <c r="F65" s="38" t="s">
        <v>11</v>
      </c>
      <c r="G65" s="32"/>
      <c r="H65" s="32">
        <v>3217274</v>
      </c>
      <c r="I65" s="32"/>
      <c r="J65" s="35">
        <f>+G65-H65+I65</f>
        <v>-3217274</v>
      </c>
      <c r="K65" s="28">
        <v>0</v>
      </c>
      <c r="L65" s="32">
        <v>0</v>
      </c>
      <c r="M65" s="35">
        <f>+J65+L65</f>
        <v>-3217274</v>
      </c>
      <c r="N65" s="28" t="s">
        <v>179</v>
      </c>
      <c r="O65" s="29">
        <v>774</v>
      </c>
      <c r="P65" s="36">
        <v>44594</v>
      </c>
      <c r="Q65" s="31">
        <v>31228.7</v>
      </c>
      <c r="R65" s="33">
        <f>M65/Q65</f>
        <v>-103.02298846894043</v>
      </c>
    </row>
    <row r="66" spans="1:18" s="30" customFormat="1" ht="15" customHeight="1">
      <c r="A66" s="37" t="s">
        <v>39</v>
      </c>
      <c r="B66" s="26" t="s">
        <v>40</v>
      </c>
      <c r="C66" s="39" t="s">
        <v>182</v>
      </c>
      <c r="D66" s="40" t="s">
        <v>183</v>
      </c>
      <c r="E66" s="38" t="s">
        <v>6</v>
      </c>
      <c r="F66" s="38" t="s">
        <v>12</v>
      </c>
      <c r="G66" s="32">
        <v>10676615</v>
      </c>
      <c r="H66" s="32">
        <v>0</v>
      </c>
      <c r="I66" s="32">
        <v>16926402</v>
      </c>
      <c r="J66" s="35">
        <f>+G66-H66+I66</f>
        <v>27603017</v>
      </c>
      <c r="K66" s="28">
        <v>0</v>
      </c>
      <c r="L66" s="32">
        <v>0</v>
      </c>
      <c r="M66" s="35">
        <f>+J66+L66</f>
        <v>27603017</v>
      </c>
      <c r="N66" s="28" t="s">
        <v>49</v>
      </c>
      <c r="O66" s="28">
        <v>273</v>
      </c>
      <c r="P66" s="36">
        <v>44943</v>
      </c>
      <c r="Q66" s="31">
        <v>35239.79</v>
      </c>
      <c r="R66" s="33">
        <f>M66/Q66</f>
        <v>783.29118873863888</v>
      </c>
    </row>
    <row r="67" spans="1:18" s="30" customFormat="1" ht="15" customHeight="1">
      <c r="A67" s="37" t="s">
        <v>184</v>
      </c>
      <c r="B67" s="26" t="s">
        <v>185</v>
      </c>
      <c r="C67" s="39">
        <v>11</v>
      </c>
      <c r="D67" s="40" t="s">
        <v>186</v>
      </c>
      <c r="E67" s="38" t="s">
        <v>4</v>
      </c>
      <c r="F67" s="38" t="s">
        <v>20</v>
      </c>
      <c r="G67" s="32">
        <v>0</v>
      </c>
      <c r="H67" s="32">
        <v>6693750</v>
      </c>
      <c r="I67" s="52">
        <v>0</v>
      </c>
      <c r="J67" s="35">
        <f>+G67-H67+I67</f>
        <v>-6693750</v>
      </c>
      <c r="K67" s="27"/>
      <c r="L67" s="32">
        <v>0</v>
      </c>
      <c r="M67" s="35">
        <f>+J67+L67</f>
        <v>-6693750</v>
      </c>
      <c r="N67" s="28" t="s">
        <v>187</v>
      </c>
      <c r="O67" s="29" t="s">
        <v>188</v>
      </c>
      <c r="P67" s="36">
        <v>44166</v>
      </c>
      <c r="Q67" s="31">
        <v>29036.92</v>
      </c>
      <c r="R67" s="33">
        <f>M67/Q67</f>
        <v>-230.52548273026204</v>
      </c>
    </row>
    <row r="68" spans="1:18" s="30" customFormat="1" ht="15" customHeight="1">
      <c r="A68" s="37" t="s">
        <v>189</v>
      </c>
      <c r="B68" s="26" t="s">
        <v>190</v>
      </c>
      <c r="C68" s="39" t="s">
        <v>191</v>
      </c>
      <c r="D68" s="40" t="s">
        <v>192</v>
      </c>
      <c r="E68" s="38" t="s">
        <v>3</v>
      </c>
      <c r="F68" s="38" t="s">
        <v>11</v>
      </c>
      <c r="G68" s="32">
        <v>934082</v>
      </c>
      <c r="H68" s="32"/>
      <c r="I68" s="32">
        <v>52907</v>
      </c>
      <c r="J68" s="35">
        <f>+G68-H68+I68</f>
        <v>986989</v>
      </c>
      <c r="K68" s="28">
        <v>0</v>
      </c>
      <c r="L68" s="32">
        <v>0</v>
      </c>
      <c r="M68" s="35">
        <f>+J68+L68</f>
        <v>986989</v>
      </c>
      <c r="N68" s="28" t="s">
        <v>193</v>
      </c>
      <c r="O68" s="29" t="s">
        <v>194</v>
      </c>
      <c r="P68" s="36">
        <v>44383</v>
      </c>
      <c r="Q68" s="31">
        <v>29981.279999999999</v>
      </c>
      <c r="R68" s="33">
        <f>M68/Q68</f>
        <v>32.920175522859601</v>
      </c>
    </row>
    <row r="69" spans="1:18" s="30" customFormat="1" ht="15" customHeight="1">
      <c r="A69" s="37" t="s">
        <v>52</v>
      </c>
      <c r="B69" s="26" t="s">
        <v>195</v>
      </c>
      <c r="C69" s="65" t="s">
        <v>196</v>
      </c>
      <c r="D69" s="51" t="s">
        <v>197</v>
      </c>
      <c r="E69" s="38" t="s">
        <v>198</v>
      </c>
      <c r="F69" s="38" t="s">
        <v>199</v>
      </c>
      <c r="G69" s="52">
        <v>1265459</v>
      </c>
      <c r="H69" s="32">
        <v>0</v>
      </c>
      <c r="I69" s="52">
        <v>4419337</v>
      </c>
      <c r="J69" s="53">
        <f>+G69-H69+I69</f>
        <v>5684796</v>
      </c>
      <c r="K69" s="28">
        <v>0</v>
      </c>
      <c r="L69" s="32">
        <v>0</v>
      </c>
      <c r="M69" s="53">
        <f>+J69+L69</f>
        <v>5684796</v>
      </c>
      <c r="N69" s="55" t="s">
        <v>200</v>
      </c>
      <c r="O69" s="29" t="s">
        <v>201</v>
      </c>
      <c r="P69" s="36">
        <v>44932</v>
      </c>
      <c r="Q69" s="49">
        <v>35178.67</v>
      </c>
      <c r="R69" s="33">
        <f>M69/Q69</f>
        <v>161.59780912695109</v>
      </c>
    </row>
    <row r="70" spans="1:18" s="30" customFormat="1" ht="15" customHeight="1">
      <c r="A70" s="37" t="s">
        <v>189</v>
      </c>
      <c r="B70" s="26" t="s">
        <v>190</v>
      </c>
      <c r="C70" s="39" t="s">
        <v>202</v>
      </c>
      <c r="D70" s="40" t="s">
        <v>203</v>
      </c>
      <c r="E70" s="38" t="s">
        <v>3</v>
      </c>
      <c r="F70" s="38" t="s">
        <v>12</v>
      </c>
      <c r="G70" s="32">
        <v>0</v>
      </c>
      <c r="H70" s="32">
        <v>0</v>
      </c>
      <c r="I70" s="32">
        <v>23914172</v>
      </c>
      <c r="J70" s="35">
        <f>+G70-H70+I70</f>
        <v>23914172</v>
      </c>
      <c r="K70" s="28">
        <v>0</v>
      </c>
      <c r="L70" s="32">
        <v>0</v>
      </c>
      <c r="M70" s="35">
        <f>+J70+L70</f>
        <v>23914172</v>
      </c>
      <c r="N70" s="28" t="s">
        <v>204</v>
      </c>
      <c r="O70" s="29" t="s">
        <v>205</v>
      </c>
      <c r="P70" s="36">
        <v>44335</v>
      </c>
      <c r="Q70" s="31">
        <v>29567.53</v>
      </c>
      <c r="R70" s="33">
        <f>M70/Q70</f>
        <v>808.79843531062625</v>
      </c>
    </row>
    <row r="71" spans="1:18" s="30" customFormat="1" ht="15" customHeight="1">
      <c r="A71" s="37" t="s">
        <v>52</v>
      </c>
      <c r="B71" s="26" t="s">
        <v>195</v>
      </c>
      <c r="C71" s="65" t="s">
        <v>206</v>
      </c>
      <c r="D71" s="51" t="s">
        <v>207</v>
      </c>
      <c r="E71" s="38" t="s">
        <v>198</v>
      </c>
      <c r="F71" s="38" t="s">
        <v>199</v>
      </c>
      <c r="G71" s="52">
        <v>371477</v>
      </c>
      <c r="H71" s="32">
        <v>0</v>
      </c>
      <c r="I71" s="52">
        <v>8623736</v>
      </c>
      <c r="J71" s="53">
        <f>+G71-H71+I71</f>
        <v>8995213</v>
      </c>
      <c r="K71" s="28">
        <v>0</v>
      </c>
      <c r="L71" s="32">
        <v>0</v>
      </c>
      <c r="M71" s="53">
        <f>+J71+L71</f>
        <v>8995213</v>
      </c>
      <c r="N71" s="55" t="s">
        <v>200</v>
      </c>
      <c r="O71" s="29" t="s">
        <v>201</v>
      </c>
      <c r="P71" s="36">
        <v>44932</v>
      </c>
      <c r="Q71" s="49">
        <v>35178.67</v>
      </c>
      <c r="R71" s="33">
        <f>M71/Q71</f>
        <v>255.70076981307139</v>
      </c>
    </row>
    <row r="72" spans="1:18" s="30" customFormat="1" ht="15" customHeight="1">
      <c r="A72" s="37" t="s">
        <v>189</v>
      </c>
      <c r="B72" s="26" t="s">
        <v>190</v>
      </c>
      <c r="C72" s="39" t="s">
        <v>208</v>
      </c>
      <c r="D72" s="40" t="s">
        <v>209</v>
      </c>
      <c r="E72" s="38" t="s">
        <v>3</v>
      </c>
      <c r="F72" s="38" t="s">
        <v>10</v>
      </c>
      <c r="G72" s="32">
        <v>8317617</v>
      </c>
      <c r="H72" s="32">
        <v>0</v>
      </c>
      <c r="I72" s="32">
        <v>765500</v>
      </c>
      <c r="J72" s="35">
        <f>+G72-H72+I72</f>
        <v>9083117</v>
      </c>
      <c r="K72" s="28">
        <v>0</v>
      </c>
      <c r="L72" s="32">
        <v>0</v>
      </c>
      <c r="M72" s="35">
        <f>+J72+L72</f>
        <v>9083117</v>
      </c>
      <c r="N72" s="28" t="s">
        <v>204</v>
      </c>
      <c r="O72" s="29" t="s">
        <v>205</v>
      </c>
      <c r="P72" s="36">
        <v>44335</v>
      </c>
      <c r="Q72" s="31">
        <v>29567.53</v>
      </c>
      <c r="R72" s="33">
        <f>M72/Q72</f>
        <v>307.19904570993924</v>
      </c>
    </row>
    <row r="73" spans="1:18" s="30" customFormat="1" ht="15" customHeight="1">
      <c r="A73" s="37" t="s">
        <v>52</v>
      </c>
      <c r="B73" s="26" t="s">
        <v>195</v>
      </c>
      <c r="C73" s="65" t="s">
        <v>210</v>
      </c>
      <c r="D73" s="51" t="s">
        <v>211</v>
      </c>
      <c r="E73" s="38" t="s">
        <v>3</v>
      </c>
      <c r="F73" s="38" t="s">
        <v>199</v>
      </c>
      <c r="G73" s="32">
        <v>0</v>
      </c>
      <c r="H73" s="32">
        <v>0</v>
      </c>
      <c r="I73" s="52">
        <v>3026383</v>
      </c>
      <c r="J73" s="53">
        <f>+G73-H73+I73</f>
        <v>3026383</v>
      </c>
      <c r="K73" s="28">
        <v>0</v>
      </c>
      <c r="L73" s="32">
        <v>0</v>
      </c>
      <c r="M73" s="53">
        <f>+J73+L73</f>
        <v>3026383</v>
      </c>
      <c r="N73" s="55" t="s">
        <v>200</v>
      </c>
      <c r="O73" s="29" t="s">
        <v>201</v>
      </c>
      <c r="P73" s="36">
        <v>44932</v>
      </c>
      <c r="Q73" s="49">
        <v>35178.67</v>
      </c>
      <c r="R73" s="33">
        <f>M73/Q73</f>
        <v>86.02892036566476</v>
      </c>
    </row>
    <row r="74" spans="1:18" s="30" customFormat="1" ht="15" customHeight="1">
      <c r="A74" s="37" t="s">
        <v>189</v>
      </c>
      <c r="B74" s="26" t="s">
        <v>190</v>
      </c>
      <c r="C74" s="39" t="s">
        <v>212</v>
      </c>
      <c r="D74" s="40" t="s">
        <v>213</v>
      </c>
      <c r="E74" s="38" t="s">
        <v>3</v>
      </c>
      <c r="F74" s="38" t="s">
        <v>14</v>
      </c>
      <c r="G74" s="32">
        <v>12037834</v>
      </c>
      <c r="H74" s="32">
        <v>416300053</v>
      </c>
      <c r="I74" s="32">
        <v>752621431</v>
      </c>
      <c r="J74" s="35">
        <f>+G74-H74+I74</f>
        <v>348359212</v>
      </c>
      <c r="K74" s="28">
        <v>0</v>
      </c>
      <c r="L74" s="32">
        <v>0</v>
      </c>
      <c r="M74" s="35">
        <f>+J74+L74</f>
        <v>348359212</v>
      </c>
      <c r="N74" s="28" t="s">
        <v>204</v>
      </c>
      <c r="O74" s="29" t="s">
        <v>205</v>
      </c>
      <c r="P74" s="36">
        <v>44335</v>
      </c>
      <c r="Q74" s="31">
        <v>29567.53</v>
      </c>
      <c r="R74" s="33">
        <f>M74/Q74</f>
        <v>11781.816472326231</v>
      </c>
    </row>
    <row r="75" spans="1:18" s="30" customFormat="1" ht="15" customHeight="1">
      <c r="A75" s="37" t="s">
        <v>189</v>
      </c>
      <c r="B75" s="26" t="s">
        <v>190</v>
      </c>
      <c r="C75" s="39" t="s">
        <v>214</v>
      </c>
      <c r="D75" s="40" t="s">
        <v>215</v>
      </c>
      <c r="E75" s="38" t="s">
        <v>3</v>
      </c>
      <c r="F75" s="38" t="s">
        <v>10</v>
      </c>
      <c r="G75" s="32">
        <v>6501346</v>
      </c>
      <c r="H75" s="32">
        <v>0</v>
      </c>
      <c r="I75" s="32">
        <v>5411358</v>
      </c>
      <c r="J75" s="35">
        <f>+G75-H75+I75</f>
        <v>11912704</v>
      </c>
      <c r="K75" s="28">
        <v>0</v>
      </c>
      <c r="L75" s="32">
        <v>0</v>
      </c>
      <c r="M75" s="35">
        <f>+J75+L75</f>
        <v>11912704</v>
      </c>
      <c r="N75" s="28" t="s">
        <v>204</v>
      </c>
      <c r="O75" s="29" t="s">
        <v>205</v>
      </c>
      <c r="P75" s="36">
        <v>44335</v>
      </c>
      <c r="Q75" s="31">
        <v>29567.53</v>
      </c>
      <c r="R75" s="33">
        <f>M75/Q75</f>
        <v>402.89817918507231</v>
      </c>
    </row>
    <row r="76" spans="1:18" s="30" customFormat="1" ht="15" customHeight="1">
      <c r="A76" s="46" t="s">
        <v>189</v>
      </c>
      <c r="B76" s="26" t="s">
        <v>190</v>
      </c>
      <c r="C76" s="65" t="s">
        <v>216</v>
      </c>
      <c r="D76" s="51" t="s">
        <v>217</v>
      </c>
      <c r="E76" s="38" t="s">
        <v>3</v>
      </c>
      <c r="F76" s="48" t="s">
        <v>11</v>
      </c>
      <c r="G76" s="52">
        <v>6113445</v>
      </c>
      <c r="H76" s="52">
        <v>3785796</v>
      </c>
      <c r="I76" s="52"/>
      <c r="J76" s="53">
        <f>+G76-H76+I76</f>
        <v>2327649</v>
      </c>
      <c r="K76" s="70">
        <v>0</v>
      </c>
      <c r="L76" s="52">
        <v>0</v>
      </c>
      <c r="M76" s="53">
        <f>+J76+L76</f>
        <v>2327649</v>
      </c>
      <c r="N76" s="55" t="s">
        <v>218</v>
      </c>
      <c r="O76" s="56" t="s">
        <v>219</v>
      </c>
      <c r="P76" s="56">
        <v>44531</v>
      </c>
      <c r="Q76" s="49">
        <v>30776.05</v>
      </c>
      <c r="R76" s="57">
        <f>M76/Q76</f>
        <v>75.631830595544258</v>
      </c>
    </row>
    <row r="77" spans="1:18" s="30" customFormat="1" ht="15" customHeight="1">
      <c r="A77" s="37" t="s">
        <v>52</v>
      </c>
      <c r="B77" s="26" t="s">
        <v>195</v>
      </c>
      <c r="C77" s="65" t="s">
        <v>216</v>
      </c>
      <c r="D77" s="51" t="s">
        <v>220</v>
      </c>
      <c r="E77" s="38" t="s">
        <v>3</v>
      </c>
      <c r="F77" s="38" t="s">
        <v>199</v>
      </c>
      <c r="G77" s="32">
        <v>0</v>
      </c>
      <c r="H77" s="32">
        <v>0</v>
      </c>
      <c r="I77" s="52">
        <v>1057498</v>
      </c>
      <c r="J77" s="53">
        <f>+G77-H77+I77</f>
        <v>1057498</v>
      </c>
      <c r="K77" s="28">
        <v>0</v>
      </c>
      <c r="L77" s="32">
        <v>0</v>
      </c>
      <c r="M77" s="53">
        <f>+J77+L77</f>
        <v>1057498</v>
      </c>
      <c r="N77" s="55" t="s">
        <v>200</v>
      </c>
      <c r="O77" s="29" t="s">
        <v>201</v>
      </c>
      <c r="P77" s="36">
        <v>44932</v>
      </c>
      <c r="Q77" s="49">
        <v>35178.67</v>
      </c>
      <c r="R77" s="33">
        <f>M77/Q77</f>
        <v>30.060772621591436</v>
      </c>
    </row>
    <row r="78" spans="1:18" s="30" customFormat="1" ht="15" customHeight="1">
      <c r="A78" s="37" t="s">
        <v>189</v>
      </c>
      <c r="B78" s="26" t="s">
        <v>190</v>
      </c>
      <c r="C78" s="39" t="s">
        <v>221</v>
      </c>
      <c r="D78" s="40" t="s">
        <v>222</v>
      </c>
      <c r="E78" s="38" t="s">
        <v>3</v>
      </c>
      <c r="F78" s="38" t="s">
        <v>10</v>
      </c>
      <c r="G78" s="32">
        <v>30937422</v>
      </c>
      <c r="H78" s="32">
        <v>13200052</v>
      </c>
      <c r="I78" s="32">
        <v>26085452</v>
      </c>
      <c r="J78" s="35">
        <f>+G78-H78+I78</f>
        <v>43822822</v>
      </c>
      <c r="K78" s="28">
        <v>0</v>
      </c>
      <c r="L78" s="32">
        <v>0</v>
      </c>
      <c r="M78" s="35">
        <f>+J78+L78</f>
        <v>43822822</v>
      </c>
      <c r="N78" s="28" t="s">
        <v>223</v>
      </c>
      <c r="O78" s="29" t="s">
        <v>224</v>
      </c>
      <c r="P78" s="36">
        <v>44265</v>
      </c>
      <c r="Q78" s="31">
        <v>29355.01</v>
      </c>
      <c r="R78" s="33">
        <f>M78/Q78</f>
        <v>1492.8566537705149</v>
      </c>
    </row>
    <row r="79" spans="1:18" s="30" customFormat="1" ht="15" customHeight="1">
      <c r="A79" s="37" t="s">
        <v>189</v>
      </c>
      <c r="B79" s="26" t="s">
        <v>225</v>
      </c>
      <c r="C79" s="39" t="s">
        <v>226</v>
      </c>
      <c r="D79" s="40" t="s">
        <v>227</v>
      </c>
      <c r="E79" s="38" t="s">
        <v>3</v>
      </c>
      <c r="F79" s="38" t="s">
        <v>11</v>
      </c>
      <c r="G79" s="32">
        <v>0</v>
      </c>
      <c r="H79" s="32">
        <v>18065315</v>
      </c>
      <c r="I79" s="32">
        <v>19640712</v>
      </c>
      <c r="J79" s="35">
        <f>+G79-H79+I79</f>
        <v>1575397</v>
      </c>
      <c r="K79" s="28">
        <v>0</v>
      </c>
      <c r="L79" s="32">
        <v>0</v>
      </c>
      <c r="M79" s="35">
        <f>+J79+L79</f>
        <v>1575397</v>
      </c>
      <c r="N79" s="28" t="s">
        <v>228</v>
      </c>
      <c r="O79" s="29" t="s">
        <v>229</v>
      </c>
      <c r="P79" s="36">
        <v>44280</v>
      </c>
      <c r="Q79" s="31">
        <v>29383.41</v>
      </c>
      <c r="R79" s="33">
        <f>M79/Q79</f>
        <v>53.615186256462408</v>
      </c>
    </row>
    <row r="80" spans="1:18" s="30" customFormat="1" ht="15" customHeight="1">
      <c r="A80" s="37" t="s">
        <v>189</v>
      </c>
      <c r="B80" s="26" t="s">
        <v>225</v>
      </c>
      <c r="C80" s="39" t="s">
        <v>230</v>
      </c>
      <c r="D80" s="40" t="s">
        <v>231</v>
      </c>
      <c r="E80" s="38" t="s">
        <v>3</v>
      </c>
      <c r="F80" s="38" t="s">
        <v>12</v>
      </c>
      <c r="G80" s="32">
        <v>4499341</v>
      </c>
      <c r="H80" s="32">
        <v>69169464</v>
      </c>
      <c r="I80" s="32">
        <v>74756573</v>
      </c>
      <c r="J80" s="35">
        <f>+G80-H80+I80</f>
        <v>10086450</v>
      </c>
      <c r="K80" s="28">
        <v>0</v>
      </c>
      <c r="L80" s="32">
        <v>0</v>
      </c>
      <c r="M80" s="35">
        <f>+J80+L80</f>
        <v>10086450</v>
      </c>
      <c r="N80" s="28" t="s">
        <v>232</v>
      </c>
      <c r="O80" s="29" t="s">
        <v>233</v>
      </c>
      <c r="P80" s="36">
        <v>44250</v>
      </c>
      <c r="Q80" s="31">
        <v>29250.92</v>
      </c>
      <c r="R80" s="33">
        <f>M80/Q80</f>
        <v>344.82505165649491</v>
      </c>
    </row>
    <row r="81" spans="1:18" s="30" customFormat="1" ht="15" customHeight="1">
      <c r="A81" s="37" t="s">
        <v>52</v>
      </c>
      <c r="B81" s="26" t="s">
        <v>195</v>
      </c>
      <c r="C81" s="65" t="s">
        <v>234</v>
      </c>
      <c r="D81" s="51" t="s">
        <v>235</v>
      </c>
      <c r="E81" s="38" t="s">
        <v>3</v>
      </c>
      <c r="F81" s="38" t="s">
        <v>10</v>
      </c>
      <c r="G81" s="52">
        <v>3075451</v>
      </c>
      <c r="H81" s="32">
        <v>0</v>
      </c>
      <c r="I81" s="52">
        <v>269892</v>
      </c>
      <c r="J81" s="53">
        <f>+G81-H81+I81</f>
        <v>3345343</v>
      </c>
      <c r="K81" s="28">
        <v>0</v>
      </c>
      <c r="L81" s="32">
        <v>0</v>
      </c>
      <c r="M81" s="53">
        <f>+J81+L81</f>
        <v>3345343</v>
      </c>
      <c r="N81" s="55" t="s">
        <v>200</v>
      </c>
      <c r="O81" s="29" t="s">
        <v>201</v>
      </c>
      <c r="P81" s="36">
        <v>44932</v>
      </c>
      <c r="Q81" s="49">
        <v>35178.67</v>
      </c>
      <c r="R81" s="33">
        <f>M81/Q81</f>
        <v>95.095778208783912</v>
      </c>
    </row>
    <row r="82" spans="1:18" s="30" customFormat="1" ht="15" customHeight="1">
      <c r="A82" s="37" t="s">
        <v>236</v>
      </c>
      <c r="B82" s="26" t="s">
        <v>237</v>
      </c>
      <c r="C82" s="39" t="s">
        <v>238</v>
      </c>
      <c r="D82" s="40" t="s">
        <v>239</v>
      </c>
      <c r="E82" s="38" t="s">
        <v>3</v>
      </c>
      <c r="F82" s="38" t="s">
        <v>9</v>
      </c>
      <c r="G82" s="32">
        <v>0</v>
      </c>
      <c r="H82" s="32">
        <v>0</v>
      </c>
      <c r="I82" s="32">
        <v>4084790</v>
      </c>
      <c r="J82" s="35">
        <f>+G82-H82+I82</f>
        <v>4084790</v>
      </c>
      <c r="K82" s="28">
        <v>0</v>
      </c>
      <c r="L82" s="32">
        <v>0</v>
      </c>
      <c r="M82" s="35">
        <f>+J82+L82</f>
        <v>4084790</v>
      </c>
      <c r="N82" s="28" t="s">
        <v>240</v>
      </c>
      <c r="O82" s="29" t="s">
        <v>241</v>
      </c>
      <c r="P82" s="36">
        <v>44294</v>
      </c>
      <c r="Q82" s="31">
        <v>29409.93</v>
      </c>
      <c r="R82" s="33">
        <f>M82/Q82</f>
        <v>138.89152405327044</v>
      </c>
    </row>
    <row r="83" spans="1:18" s="30" customFormat="1" ht="15" customHeight="1">
      <c r="A83" s="37" t="s">
        <v>189</v>
      </c>
      <c r="B83" s="26" t="s">
        <v>225</v>
      </c>
      <c r="C83" s="39" t="s">
        <v>238</v>
      </c>
      <c r="D83" s="40" t="s">
        <v>242</v>
      </c>
      <c r="E83" s="38" t="s">
        <v>3</v>
      </c>
      <c r="F83" s="38" t="s">
        <v>10</v>
      </c>
      <c r="G83" s="32">
        <v>455170</v>
      </c>
      <c r="H83" s="32">
        <v>0</v>
      </c>
      <c r="I83" s="52">
        <v>0</v>
      </c>
      <c r="J83" s="35">
        <f>+G83-H83+I83</f>
        <v>455170</v>
      </c>
      <c r="K83" s="28">
        <v>0</v>
      </c>
      <c r="L83" s="32">
        <v>0</v>
      </c>
      <c r="M83" s="35">
        <f>+J83+L83</f>
        <v>455170</v>
      </c>
      <c r="N83" s="28" t="s">
        <v>243</v>
      </c>
      <c r="O83" s="29" t="s">
        <v>244</v>
      </c>
      <c r="P83" s="36">
        <v>43993</v>
      </c>
      <c r="Q83" s="31">
        <v>28714.6</v>
      </c>
      <c r="R83" s="33">
        <f>M83/Q83</f>
        <v>15.851518043086097</v>
      </c>
    </row>
    <row r="84" spans="1:18" s="30" customFormat="1" ht="15" customHeight="1">
      <c r="A84" s="37" t="s">
        <v>189</v>
      </c>
      <c r="B84" s="26" t="s">
        <v>225</v>
      </c>
      <c r="C84" s="39" t="s">
        <v>245</v>
      </c>
      <c r="D84" s="40" t="s">
        <v>246</v>
      </c>
      <c r="E84" s="38" t="s">
        <v>3</v>
      </c>
      <c r="F84" s="38" t="s">
        <v>12</v>
      </c>
      <c r="G84" s="32">
        <v>0</v>
      </c>
      <c r="H84" s="32">
        <v>0</v>
      </c>
      <c r="I84" s="32">
        <v>3256181</v>
      </c>
      <c r="J84" s="35">
        <f>+G84-H84+I84</f>
        <v>3256181</v>
      </c>
      <c r="K84" s="28">
        <v>0</v>
      </c>
      <c r="L84" s="32">
        <v>0</v>
      </c>
      <c r="M84" s="35">
        <f>+J84+L84</f>
        <v>3256181</v>
      </c>
      <c r="N84" s="28" t="s">
        <v>247</v>
      </c>
      <c r="O84" s="29" t="s">
        <v>248</v>
      </c>
      <c r="P84" s="36">
        <v>44257</v>
      </c>
      <c r="Q84" s="31">
        <v>29301.98</v>
      </c>
      <c r="R84" s="33">
        <f>M84/Q84</f>
        <v>111.12494787041695</v>
      </c>
    </row>
    <row r="85" spans="1:18" s="30" customFormat="1" ht="15" customHeight="1">
      <c r="A85" s="37" t="s">
        <v>52</v>
      </c>
      <c r="B85" s="26" t="s">
        <v>195</v>
      </c>
      <c r="C85" s="65" t="s">
        <v>249</v>
      </c>
      <c r="D85" s="51" t="s">
        <v>250</v>
      </c>
      <c r="E85" s="38" t="s">
        <v>198</v>
      </c>
      <c r="F85" s="38" t="s">
        <v>199</v>
      </c>
      <c r="G85" s="32">
        <v>0</v>
      </c>
      <c r="H85" s="32">
        <v>0</v>
      </c>
      <c r="I85" s="52">
        <v>14087916</v>
      </c>
      <c r="J85" s="53">
        <f>+G85-H85+I85</f>
        <v>14087916</v>
      </c>
      <c r="K85" s="28">
        <v>0</v>
      </c>
      <c r="L85" s="32">
        <v>0</v>
      </c>
      <c r="M85" s="53">
        <f>+J85+L85</f>
        <v>14087916</v>
      </c>
      <c r="N85" s="55" t="s">
        <v>200</v>
      </c>
      <c r="O85" s="29" t="s">
        <v>201</v>
      </c>
      <c r="P85" s="36">
        <v>44932</v>
      </c>
      <c r="Q85" s="49">
        <v>35178.67</v>
      </c>
      <c r="R85" s="33">
        <f>M85/Q85</f>
        <v>400.46755605029983</v>
      </c>
    </row>
    <row r="86" spans="1:18" s="30" customFormat="1" ht="15" customHeight="1">
      <c r="A86" s="37" t="s">
        <v>189</v>
      </c>
      <c r="B86" s="26" t="s">
        <v>190</v>
      </c>
      <c r="C86" s="39" t="s">
        <v>251</v>
      </c>
      <c r="D86" s="40" t="s">
        <v>252</v>
      </c>
      <c r="E86" s="38" t="s">
        <v>3</v>
      </c>
      <c r="F86" s="38" t="s">
        <v>10</v>
      </c>
      <c r="G86" s="32">
        <v>589261</v>
      </c>
      <c r="H86" s="32">
        <v>0</v>
      </c>
      <c r="I86" s="32">
        <v>28006740</v>
      </c>
      <c r="J86" s="35">
        <f>+G86-H86+I86</f>
        <v>28596001</v>
      </c>
      <c r="K86" s="28">
        <v>0</v>
      </c>
      <c r="L86" s="32">
        <v>0</v>
      </c>
      <c r="M86" s="35">
        <f>+J86+L86</f>
        <v>28596001</v>
      </c>
      <c r="N86" s="28" t="s">
        <v>204</v>
      </c>
      <c r="O86" s="29" t="s">
        <v>205</v>
      </c>
      <c r="P86" s="36">
        <v>44335</v>
      </c>
      <c r="Q86" s="31">
        <v>29567.53</v>
      </c>
      <c r="R86" s="33">
        <f>M86/Q86</f>
        <v>967.14203046382306</v>
      </c>
    </row>
    <row r="87" spans="1:18" s="30" customFormat="1" ht="15" customHeight="1">
      <c r="A87" s="37" t="s">
        <v>52</v>
      </c>
      <c r="B87" s="26" t="s">
        <v>195</v>
      </c>
      <c r="C87" s="65" t="s">
        <v>251</v>
      </c>
      <c r="D87" s="51" t="s">
        <v>253</v>
      </c>
      <c r="E87" s="38" t="s">
        <v>4</v>
      </c>
      <c r="F87" s="38" t="s">
        <v>199</v>
      </c>
      <c r="G87" s="52">
        <v>31545</v>
      </c>
      <c r="H87" s="32">
        <v>0</v>
      </c>
      <c r="I87" s="52">
        <v>8505188</v>
      </c>
      <c r="J87" s="53">
        <f>+G87-H87+I87</f>
        <v>8536733</v>
      </c>
      <c r="K87" s="28">
        <v>0</v>
      </c>
      <c r="L87" s="32">
        <v>0</v>
      </c>
      <c r="M87" s="53">
        <f>+J87+L87</f>
        <v>8536733</v>
      </c>
      <c r="N87" s="55" t="s">
        <v>200</v>
      </c>
      <c r="O87" s="29" t="s">
        <v>201</v>
      </c>
      <c r="P87" s="36">
        <v>44932</v>
      </c>
      <c r="Q87" s="49">
        <v>35178.67</v>
      </c>
      <c r="R87" s="33">
        <f>M87/Q87</f>
        <v>242.66787232149483</v>
      </c>
    </row>
    <row r="88" spans="1:18" s="30" customFormat="1" ht="15" customHeight="1">
      <c r="A88" s="37" t="s">
        <v>52</v>
      </c>
      <c r="B88" s="26" t="s">
        <v>195</v>
      </c>
      <c r="C88" s="65" t="s">
        <v>254</v>
      </c>
      <c r="D88" s="51" t="s">
        <v>255</v>
      </c>
      <c r="E88" s="38" t="s">
        <v>4</v>
      </c>
      <c r="F88" s="38" t="s">
        <v>13</v>
      </c>
      <c r="G88" s="32">
        <v>0</v>
      </c>
      <c r="H88" s="32">
        <v>0</v>
      </c>
      <c r="I88" s="52">
        <v>5948870</v>
      </c>
      <c r="J88" s="53">
        <f>+G88-H88+I88</f>
        <v>5948870</v>
      </c>
      <c r="K88" s="28">
        <v>0</v>
      </c>
      <c r="L88" s="32">
        <v>0</v>
      </c>
      <c r="M88" s="53">
        <f>+J88+L88</f>
        <v>5948870</v>
      </c>
      <c r="N88" s="55" t="s">
        <v>200</v>
      </c>
      <c r="O88" s="29" t="s">
        <v>201</v>
      </c>
      <c r="P88" s="36">
        <v>44932</v>
      </c>
      <c r="Q88" s="49">
        <v>35178.67</v>
      </c>
      <c r="R88" s="33">
        <f>M88/Q88</f>
        <v>169.10446017430451</v>
      </c>
    </row>
    <row r="89" spans="1:18" s="30" customFormat="1" ht="15" customHeight="1">
      <c r="A89" s="37" t="s">
        <v>52</v>
      </c>
      <c r="B89" s="26" t="s">
        <v>195</v>
      </c>
      <c r="C89" s="65" t="s">
        <v>256</v>
      </c>
      <c r="D89" s="51" t="s">
        <v>257</v>
      </c>
      <c r="E89" s="38" t="s">
        <v>198</v>
      </c>
      <c r="F89" s="38" t="s">
        <v>10</v>
      </c>
      <c r="G89" s="32">
        <v>0</v>
      </c>
      <c r="H89" s="32">
        <v>0</v>
      </c>
      <c r="I89" s="52">
        <v>9306378</v>
      </c>
      <c r="J89" s="53">
        <f>+G89-H89+I89</f>
        <v>9306378</v>
      </c>
      <c r="K89" s="28">
        <v>0</v>
      </c>
      <c r="L89" s="32">
        <v>0</v>
      </c>
      <c r="M89" s="53">
        <f>+J89+L89</f>
        <v>9306378</v>
      </c>
      <c r="N89" s="55" t="s">
        <v>200</v>
      </c>
      <c r="O89" s="29" t="s">
        <v>201</v>
      </c>
      <c r="P89" s="36">
        <v>44932</v>
      </c>
      <c r="Q89" s="49">
        <v>35178.67</v>
      </c>
      <c r="R89" s="33">
        <f>M89/Q89</f>
        <v>264.54604452072806</v>
      </c>
    </row>
    <row r="90" spans="1:18" s="30" customFormat="1" ht="15" customHeight="1">
      <c r="A90" s="37" t="s">
        <v>189</v>
      </c>
      <c r="B90" s="26" t="s">
        <v>190</v>
      </c>
      <c r="C90" s="39" t="s">
        <v>258</v>
      </c>
      <c r="D90" s="40" t="s">
        <v>259</v>
      </c>
      <c r="E90" s="38" t="s">
        <v>3</v>
      </c>
      <c r="F90" s="38" t="s">
        <v>10</v>
      </c>
      <c r="G90" s="32">
        <v>83419945</v>
      </c>
      <c r="H90" s="32">
        <v>47405386</v>
      </c>
      <c r="I90" s="32">
        <v>72971604</v>
      </c>
      <c r="J90" s="35">
        <f>+G90-H90+I90</f>
        <v>108986163</v>
      </c>
      <c r="K90" s="28">
        <v>0</v>
      </c>
      <c r="L90" s="32">
        <v>0</v>
      </c>
      <c r="M90" s="35">
        <f>+J90+L90</f>
        <v>108986163</v>
      </c>
      <c r="N90" s="28" t="s">
        <v>204</v>
      </c>
      <c r="O90" s="29" t="s">
        <v>205</v>
      </c>
      <c r="P90" s="36">
        <v>44335</v>
      </c>
      <c r="Q90" s="31">
        <v>29567.53</v>
      </c>
      <c r="R90" s="33">
        <f>M90/Q90</f>
        <v>3686.0083679631002</v>
      </c>
    </row>
    <row r="91" spans="1:18" s="30" customFormat="1" ht="15" customHeight="1">
      <c r="A91" s="37" t="s">
        <v>189</v>
      </c>
      <c r="B91" s="26" t="s">
        <v>225</v>
      </c>
      <c r="C91" s="39" t="s">
        <v>260</v>
      </c>
      <c r="D91" s="40" t="s">
        <v>261</v>
      </c>
      <c r="E91" s="38" t="s">
        <v>3</v>
      </c>
      <c r="F91" s="38" t="s">
        <v>11</v>
      </c>
      <c r="G91" s="32">
        <v>19828448</v>
      </c>
      <c r="H91" s="32">
        <v>12531628</v>
      </c>
      <c r="I91" s="32">
        <v>15732276</v>
      </c>
      <c r="J91" s="35">
        <f>+G91-H91+I91</f>
        <v>23029096</v>
      </c>
      <c r="K91" s="28">
        <v>0</v>
      </c>
      <c r="L91" s="32">
        <v>0</v>
      </c>
      <c r="M91" s="35">
        <f>+J91+L91</f>
        <v>23029096</v>
      </c>
      <c r="N91" s="28" t="s">
        <v>247</v>
      </c>
      <c r="O91" s="29" t="s">
        <v>248</v>
      </c>
      <c r="P91" s="36">
        <v>44257</v>
      </c>
      <c r="Q91" s="31">
        <v>29301.98</v>
      </c>
      <c r="R91" s="33">
        <f>M91/Q91</f>
        <v>785.92286255058536</v>
      </c>
    </row>
    <row r="92" spans="1:18" s="30" customFormat="1" ht="15" customHeight="1">
      <c r="A92" s="37" t="s">
        <v>52</v>
      </c>
      <c r="B92" s="26" t="s">
        <v>262</v>
      </c>
      <c r="C92" s="39" t="s">
        <v>263</v>
      </c>
      <c r="D92" s="40" t="s">
        <v>264</v>
      </c>
      <c r="E92" s="38" t="s">
        <v>4</v>
      </c>
      <c r="F92" s="38" t="s">
        <v>18</v>
      </c>
      <c r="G92" s="32">
        <v>204753</v>
      </c>
      <c r="H92" s="32">
        <v>0</v>
      </c>
      <c r="I92" s="32">
        <v>18145197</v>
      </c>
      <c r="J92" s="35">
        <f>+G92-H92+I92</f>
        <v>18349950</v>
      </c>
      <c r="K92" s="28">
        <v>0</v>
      </c>
      <c r="L92" s="32">
        <v>0</v>
      </c>
      <c r="M92" s="35">
        <f>+J92+L92</f>
        <v>18349950</v>
      </c>
      <c r="N92" s="28" t="s">
        <v>265</v>
      </c>
      <c r="O92" s="29" t="s">
        <v>266</v>
      </c>
      <c r="P92" s="36">
        <v>43846</v>
      </c>
      <c r="Q92" s="31">
        <v>28324.55</v>
      </c>
      <c r="R92" s="33">
        <f>M92/Q92</f>
        <v>647.84612641683634</v>
      </c>
    </row>
    <row r="93" spans="1:18" s="30" customFormat="1" ht="15" customHeight="1">
      <c r="A93" s="37" t="s">
        <v>166</v>
      </c>
      <c r="B93" s="26" t="s">
        <v>167</v>
      </c>
      <c r="C93" s="39" t="s">
        <v>267</v>
      </c>
      <c r="D93" s="40" t="s">
        <v>268</v>
      </c>
      <c r="E93" s="38" t="s">
        <v>3</v>
      </c>
      <c r="F93" s="38" t="s">
        <v>11</v>
      </c>
      <c r="G93" s="32">
        <v>0</v>
      </c>
      <c r="H93" s="32">
        <v>18862867</v>
      </c>
      <c r="I93" s="52">
        <v>0</v>
      </c>
      <c r="J93" s="35">
        <f>+G93-H93+I93</f>
        <v>-18862867</v>
      </c>
      <c r="K93" s="27" t="s">
        <v>170</v>
      </c>
      <c r="L93" s="32">
        <v>0</v>
      </c>
      <c r="M93" s="35">
        <f>+J93+L93</f>
        <v>-18862867</v>
      </c>
      <c r="N93" s="28" t="s">
        <v>171</v>
      </c>
      <c r="O93" s="29" t="s">
        <v>269</v>
      </c>
      <c r="P93" s="36">
        <v>44341</v>
      </c>
      <c r="Q93" s="31">
        <v>29513.759999999998</v>
      </c>
      <c r="R93" s="33">
        <v>-639</v>
      </c>
    </row>
    <row r="94" spans="1:18" s="30" customFormat="1" ht="15" customHeight="1">
      <c r="A94" s="37" t="s">
        <v>52</v>
      </c>
      <c r="B94" s="26" t="s">
        <v>195</v>
      </c>
      <c r="C94" s="65" t="s">
        <v>263</v>
      </c>
      <c r="D94" s="51" t="s">
        <v>270</v>
      </c>
      <c r="E94" s="38" t="s">
        <v>6</v>
      </c>
      <c r="F94" s="38" t="s">
        <v>199</v>
      </c>
      <c r="G94" s="52">
        <v>1657279</v>
      </c>
      <c r="H94" s="32">
        <v>0</v>
      </c>
      <c r="I94" s="52">
        <v>9610672</v>
      </c>
      <c r="J94" s="53">
        <f>+G94-H94+I94</f>
        <v>11267951</v>
      </c>
      <c r="K94" s="28">
        <v>0</v>
      </c>
      <c r="L94" s="32">
        <v>0</v>
      </c>
      <c r="M94" s="53">
        <f>+J94+L94</f>
        <v>11267951</v>
      </c>
      <c r="N94" s="55" t="s">
        <v>200</v>
      </c>
      <c r="O94" s="29" t="s">
        <v>201</v>
      </c>
      <c r="P94" s="36">
        <v>44932</v>
      </c>
      <c r="Q94" s="49">
        <v>35178.67</v>
      </c>
      <c r="R94" s="33">
        <f>M94/Q94</f>
        <v>320.30633904010585</v>
      </c>
    </row>
    <row r="95" spans="1:18" s="30" customFormat="1" ht="15" customHeight="1">
      <c r="A95" s="37" t="s">
        <v>52</v>
      </c>
      <c r="B95" s="26" t="s">
        <v>262</v>
      </c>
      <c r="C95" s="39" t="s">
        <v>271</v>
      </c>
      <c r="D95" s="40" t="s">
        <v>272</v>
      </c>
      <c r="E95" s="38" t="s">
        <v>3</v>
      </c>
      <c r="F95" s="38" t="s">
        <v>13</v>
      </c>
      <c r="G95" s="32">
        <v>13002110</v>
      </c>
      <c r="H95" s="32">
        <v>0</v>
      </c>
      <c r="I95" s="32">
        <v>9154170</v>
      </c>
      <c r="J95" s="35">
        <f>+G95-H95+I95</f>
        <v>22156280</v>
      </c>
      <c r="K95" s="28">
        <v>0</v>
      </c>
      <c r="L95" s="32">
        <v>0</v>
      </c>
      <c r="M95" s="35">
        <f>+J95+L95</f>
        <v>22156280</v>
      </c>
      <c r="N95" s="28" t="s">
        <v>265</v>
      </c>
      <c r="O95" s="29" t="s">
        <v>266</v>
      </c>
      <c r="P95" s="36">
        <v>43846</v>
      </c>
      <c r="Q95" s="31">
        <v>28324.55</v>
      </c>
      <c r="R95" s="33">
        <f>M95/Q95</f>
        <v>782.2288438827801</v>
      </c>
    </row>
    <row r="96" spans="1:18" s="30" customFormat="1" ht="15" customHeight="1">
      <c r="A96" s="37" t="s">
        <v>189</v>
      </c>
      <c r="B96" s="26" t="s">
        <v>190</v>
      </c>
      <c r="C96" s="39" t="s">
        <v>271</v>
      </c>
      <c r="D96" s="40" t="s">
        <v>273</v>
      </c>
      <c r="E96" s="38" t="s">
        <v>3</v>
      </c>
      <c r="F96" s="38" t="s">
        <v>10</v>
      </c>
      <c r="G96" s="32">
        <v>779130</v>
      </c>
      <c r="H96" s="32">
        <v>114803</v>
      </c>
      <c r="I96" s="32"/>
      <c r="J96" s="35">
        <f>+G96-H96+I96</f>
        <v>664327</v>
      </c>
      <c r="K96" s="28">
        <v>0</v>
      </c>
      <c r="L96" s="32">
        <v>0</v>
      </c>
      <c r="M96" s="35">
        <f>+J96+L96</f>
        <v>664327</v>
      </c>
      <c r="N96" s="28" t="s">
        <v>193</v>
      </c>
      <c r="O96" s="29" t="s">
        <v>194</v>
      </c>
      <c r="P96" s="36">
        <v>44383</v>
      </c>
      <c r="Q96" s="31">
        <v>29981.279999999999</v>
      </c>
      <c r="R96" s="33">
        <f>M96/Q96</f>
        <v>22.158059962750091</v>
      </c>
    </row>
    <row r="97" spans="1:18" s="30" customFormat="1" ht="15" customHeight="1">
      <c r="A97" s="37" t="s">
        <v>52</v>
      </c>
      <c r="B97" s="26" t="s">
        <v>195</v>
      </c>
      <c r="C97" s="65" t="s">
        <v>271</v>
      </c>
      <c r="D97" s="51" t="s">
        <v>274</v>
      </c>
      <c r="E97" s="38" t="s">
        <v>4</v>
      </c>
      <c r="F97" s="38" t="s">
        <v>199</v>
      </c>
      <c r="G97" s="32">
        <v>0</v>
      </c>
      <c r="H97" s="32">
        <v>0</v>
      </c>
      <c r="I97" s="52">
        <v>20347868</v>
      </c>
      <c r="J97" s="53">
        <f>+G97-H97+I97</f>
        <v>20347868</v>
      </c>
      <c r="K97" s="28">
        <v>0</v>
      </c>
      <c r="L97" s="32">
        <v>0</v>
      </c>
      <c r="M97" s="53">
        <f>+J97+L97</f>
        <v>20347868</v>
      </c>
      <c r="N97" s="55" t="s">
        <v>200</v>
      </c>
      <c r="O97" s="29" t="s">
        <v>201</v>
      </c>
      <c r="P97" s="36">
        <v>44932</v>
      </c>
      <c r="Q97" s="49">
        <v>35178.67</v>
      </c>
      <c r="R97" s="33">
        <f>M97/Q97</f>
        <v>578.41493154800912</v>
      </c>
    </row>
    <row r="98" spans="1:18" s="30" customFormat="1" ht="15" customHeight="1">
      <c r="A98" s="37" t="s">
        <v>189</v>
      </c>
      <c r="B98" s="26" t="s">
        <v>190</v>
      </c>
      <c r="C98" s="39" t="s">
        <v>275</v>
      </c>
      <c r="D98" s="40" t="s">
        <v>276</v>
      </c>
      <c r="E98" s="38" t="s">
        <v>3</v>
      </c>
      <c r="F98" s="38" t="s">
        <v>10</v>
      </c>
      <c r="G98" s="32">
        <v>56893849</v>
      </c>
      <c r="H98" s="32">
        <v>0</v>
      </c>
      <c r="I98" s="52">
        <v>0</v>
      </c>
      <c r="J98" s="35">
        <f>+G98-H98+I98</f>
        <v>56893849</v>
      </c>
      <c r="K98" s="28">
        <v>0</v>
      </c>
      <c r="L98" s="32">
        <v>0</v>
      </c>
      <c r="M98" s="35">
        <f>+J98+L98</f>
        <v>56893849</v>
      </c>
      <c r="N98" s="28" t="s">
        <v>223</v>
      </c>
      <c r="O98" s="29" t="s">
        <v>224</v>
      </c>
      <c r="P98" s="36">
        <v>44265</v>
      </c>
      <c r="Q98" s="31">
        <v>29355.01</v>
      </c>
      <c r="R98" s="33">
        <f>M98/Q98</f>
        <v>1938.1307994785218</v>
      </c>
    </row>
    <row r="99" spans="1:18" s="30" customFormat="1" ht="15" customHeight="1">
      <c r="A99" s="37" t="s">
        <v>189</v>
      </c>
      <c r="B99" s="26" t="s">
        <v>225</v>
      </c>
      <c r="C99" s="39" t="s">
        <v>277</v>
      </c>
      <c r="D99" s="40" t="s">
        <v>278</v>
      </c>
      <c r="E99" s="38" t="s">
        <v>3</v>
      </c>
      <c r="F99" s="38" t="s">
        <v>11</v>
      </c>
      <c r="G99" s="32">
        <v>57297935</v>
      </c>
      <c r="H99" s="32">
        <v>50033859</v>
      </c>
      <c r="I99" s="52">
        <v>0</v>
      </c>
      <c r="J99" s="35">
        <f>+G99-H99+I99</f>
        <v>7264076</v>
      </c>
      <c r="K99" s="28">
        <v>0</v>
      </c>
      <c r="L99" s="32">
        <v>0</v>
      </c>
      <c r="M99" s="35">
        <f>+J99+L99</f>
        <v>7264076</v>
      </c>
      <c r="N99" s="28" t="s">
        <v>247</v>
      </c>
      <c r="O99" s="29" t="s">
        <v>248</v>
      </c>
      <c r="P99" s="36">
        <v>44257</v>
      </c>
      <c r="Q99" s="31">
        <v>29301.98</v>
      </c>
      <c r="R99" s="33">
        <f>M99/Q99</f>
        <v>247.90393004158764</v>
      </c>
    </row>
    <row r="100" spans="1:18" s="30" customFormat="1" ht="15" customHeight="1">
      <c r="A100" s="37" t="s">
        <v>52</v>
      </c>
      <c r="B100" s="26" t="s">
        <v>262</v>
      </c>
      <c r="C100" s="39" t="s">
        <v>279</v>
      </c>
      <c r="D100" s="40" t="s">
        <v>280</v>
      </c>
      <c r="E100" s="38" t="s">
        <v>4</v>
      </c>
      <c r="F100" s="38" t="s">
        <v>12</v>
      </c>
      <c r="G100" s="32">
        <v>10630890</v>
      </c>
      <c r="H100" s="32">
        <v>32313029</v>
      </c>
      <c r="I100" s="32">
        <v>22306707</v>
      </c>
      <c r="J100" s="35">
        <f>+G100-H100+I100</f>
        <v>624568</v>
      </c>
      <c r="K100" s="28">
        <v>0</v>
      </c>
      <c r="L100" s="32">
        <v>0</v>
      </c>
      <c r="M100" s="35">
        <f>+J100+L100</f>
        <v>624568</v>
      </c>
      <c r="N100" s="28" t="s">
        <v>265</v>
      </c>
      <c r="O100" s="29" t="s">
        <v>266</v>
      </c>
      <c r="P100" s="36">
        <v>43846</v>
      </c>
      <c r="Q100" s="31">
        <v>28324.55</v>
      </c>
      <c r="R100" s="33">
        <f>M100/Q100</f>
        <v>22.050412098338722</v>
      </c>
    </row>
    <row r="101" spans="1:18" s="30" customFormat="1" ht="15" customHeight="1">
      <c r="A101" s="37" t="s">
        <v>52</v>
      </c>
      <c r="B101" s="26" t="s">
        <v>195</v>
      </c>
      <c r="C101" s="65" t="s">
        <v>279</v>
      </c>
      <c r="D101" s="51" t="s">
        <v>281</v>
      </c>
      <c r="E101" s="38" t="s">
        <v>198</v>
      </c>
      <c r="F101" s="38" t="s">
        <v>13</v>
      </c>
      <c r="G101" s="32">
        <v>0</v>
      </c>
      <c r="H101" s="32">
        <v>0</v>
      </c>
      <c r="I101" s="52">
        <v>44516856</v>
      </c>
      <c r="J101" s="53">
        <f>+G101-H101+I101</f>
        <v>44516856</v>
      </c>
      <c r="K101" s="28">
        <v>0</v>
      </c>
      <c r="L101" s="32">
        <v>0</v>
      </c>
      <c r="M101" s="53">
        <f>+J101+L101</f>
        <v>44516856</v>
      </c>
      <c r="N101" s="55" t="s">
        <v>200</v>
      </c>
      <c r="O101" s="29" t="s">
        <v>201</v>
      </c>
      <c r="P101" s="36">
        <v>44932</v>
      </c>
      <c r="Q101" s="49">
        <v>35178.67</v>
      </c>
      <c r="R101" s="33">
        <f>M101/Q101</f>
        <v>1265.4502287892067</v>
      </c>
    </row>
    <row r="102" spans="1:18" s="30" customFormat="1" ht="15" customHeight="1">
      <c r="A102" s="37" t="s">
        <v>189</v>
      </c>
      <c r="B102" s="26" t="s">
        <v>225</v>
      </c>
      <c r="C102" s="39" t="s">
        <v>282</v>
      </c>
      <c r="D102" s="40" t="s">
        <v>283</v>
      </c>
      <c r="E102" s="38" t="s">
        <v>4</v>
      </c>
      <c r="F102" s="38" t="s">
        <v>11</v>
      </c>
      <c r="G102" s="32">
        <v>0</v>
      </c>
      <c r="H102" s="32">
        <v>12230861</v>
      </c>
      <c r="I102" s="52">
        <v>0</v>
      </c>
      <c r="J102" s="35">
        <f>+G102-H102+I102</f>
        <v>-12230861</v>
      </c>
      <c r="K102" s="28">
        <v>0</v>
      </c>
      <c r="L102" s="32">
        <v>0</v>
      </c>
      <c r="M102" s="35">
        <f>+J102+L102</f>
        <v>-12230861</v>
      </c>
      <c r="N102" s="28" t="s">
        <v>247</v>
      </c>
      <c r="O102" s="29" t="s">
        <v>248</v>
      </c>
      <c r="P102" s="36">
        <v>44257</v>
      </c>
      <c r="Q102" s="31">
        <v>29301.98</v>
      </c>
      <c r="R102" s="33">
        <f>M102/Q102</f>
        <v>-417.40732196254316</v>
      </c>
    </row>
    <row r="103" spans="1:18" s="30" customFormat="1" ht="15" customHeight="1">
      <c r="A103" s="37" t="s">
        <v>52</v>
      </c>
      <c r="B103" s="26" t="s">
        <v>262</v>
      </c>
      <c r="C103" s="39" t="s">
        <v>284</v>
      </c>
      <c r="D103" s="40" t="s">
        <v>285</v>
      </c>
      <c r="E103" s="38" t="s">
        <v>4</v>
      </c>
      <c r="F103" s="38" t="s">
        <v>15</v>
      </c>
      <c r="G103" s="32">
        <v>6034760</v>
      </c>
      <c r="H103" s="32">
        <v>0</v>
      </c>
      <c r="I103" s="32">
        <v>2081617</v>
      </c>
      <c r="J103" s="35">
        <f>+G103-H103+I103</f>
        <v>8116377</v>
      </c>
      <c r="K103" s="28">
        <v>0</v>
      </c>
      <c r="L103" s="32">
        <v>0</v>
      </c>
      <c r="M103" s="35">
        <f>+J103+L103</f>
        <v>8116377</v>
      </c>
      <c r="N103" s="28" t="s">
        <v>265</v>
      </c>
      <c r="O103" s="29" t="s">
        <v>266</v>
      </c>
      <c r="P103" s="36">
        <v>43846</v>
      </c>
      <c r="Q103" s="31">
        <v>28324.55</v>
      </c>
      <c r="R103" s="33">
        <f>M103/Q103</f>
        <v>286.54919495631884</v>
      </c>
    </row>
    <row r="104" spans="1:18" s="30" customFormat="1" ht="15" customHeight="1">
      <c r="A104" s="37" t="s">
        <v>52</v>
      </c>
      <c r="B104" s="26" t="s">
        <v>195</v>
      </c>
      <c r="C104" s="65" t="s">
        <v>284</v>
      </c>
      <c r="D104" s="51" t="s">
        <v>286</v>
      </c>
      <c r="E104" s="38" t="s">
        <v>3</v>
      </c>
      <c r="F104" s="38" t="s">
        <v>199</v>
      </c>
      <c r="G104" s="32">
        <v>0</v>
      </c>
      <c r="H104" s="32">
        <v>0</v>
      </c>
      <c r="I104" s="52">
        <v>2985006</v>
      </c>
      <c r="J104" s="53">
        <f>+G104-H104+I104</f>
        <v>2985006</v>
      </c>
      <c r="K104" s="28">
        <v>0</v>
      </c>
      <c r="L104" s="32">
        <v>0</v>
      </c>
      <c r="M104" s="53">
        <f>+J104+L104</f>
        <v>2985006</v>
      </c>
      <c r="N104" s="55" t="s">
        <v>200</v>
      </c>
      <c r="O104" s="29" t="s">
        <v>201</v>
      </c>
      <c r="P104" s="36">
        <v>44932</v>
      </c>
      <c r="Q104" s="49">
        <v>35178.67</v>
      </c>
      <c r="R104" s="33">
        <f>M104/Q104</f>
        <v>84.852724676629336</v>
      </c>
    </row>
    <row r="105" spans="1:18" s="30" customFormat="1" ht="15" customHeight="1">
      <c r="A105" s="37" t="s">
        <v>52</v>
      </c>
      <c r="B105" s="26" t="s">
        <v>195</v>
      </c>
      <c r="C105" s="65" t="s">
        <v>287</v>
      </c>
      <c r="D105" s="51" t="s">
        <v>288</v>
      </c>
      <c r="E105" s="38" t="s">
        <v>3</v>
      </c>
      <c r="F105" s="38" t="s">
        <v>199</v>
      </c>
      <c r="G105" s="52"/>
      <c r="H105" s="52"/>
      <c r="I105" s="52">
        <v>35295876</v>
      </c>
      <c r="J105" s="53">
        <f>+G105-H105+I105</f>
        <v>35295876</v>
      </c>
      <c r="K105" s="28">
        <v>0</v>
      </c>
      <c r="L105" s="32">
        <v>0</v>
      </c>
      <c r="M105" s="53">
        <f>+J105+L105</f>
        <v>35295876</v>
      </c>
      <c r="N105" s="55" t="s">
        <v>289</v>
      </c>
      <c r="O105" s="29" t="s">
        <v>290</v>
      </c>
      <c r="P105" s="36">
        <v>44764</v>
      </c>
      <c r="Q105" s="49">
        <v>33330.449999999997</v>
      </c>
      <c r="R105" s="33">
        <f>M105/Q105</f>
        <v>1058.9678807216826</v>
      </c>
    </row>
    <row r="106" spans="1:18" s="30" customFormat="1" ht="15" customHeight="1">
      <c r="A106" s="37" t="s">
        <v>52</v>
      </c>
      <c r="B106" s="26" t="s">
        <v>195</v>
      </c>
      <c r="C106" s="65" t="s">
        <v>291</v>
      </c>
      <c r="D106" s="51" t="s">
        <v>292</v>
      </c>
      <c r="E106" s="38" t="s">
        <v>4</v>
      </c>
      <c r="F106" s="38" t="s">
        <v>199</v>
      </c>
      <c r="G106" s="52"/>
      <c r="H106" s="52">
        <v>5929720</v>
      </c>
      <c r="I106" s="52">
        <v>11869996</v>
      </c>
      <c r="J106" s="53">
        <f>+G106-H106+I106</f>
        <v>5940276</v>
      </c>
      <c r="K106" s="28">
        <v>0</v>
      </c>
      <c r="L106" s="32">
        <v>0</v>
      </c>
      <c r="M106" s="53">
        <f>+J106+L106</f>
        <v>5940276</v>
      </c>
      <c r="N106" s="55" t="s">
        <v>289</v>
      </c>
      <c r="O106" s="29" t="s">
        <v>290</v>
      </c>
      <c r="P106" s="36">
        <v>44764</v>
      </c>
      <c r="Q106" s="49">
        <v>33330.449999999997</v>
      </c>
      <c r="R106" s="33">
        <f>M106/Q106</f>
        <v>178.22369634973427</v>
      </c>
    </row>
    <row r="107" spans="1:18" s="30" customFormat="1" ht="15" customHeight="1">
      <c r="A107" s="37" t="s">
        <v>293</v>
      </c>
      <c r="B107" s="26" t="s">
        <v>294</v>
      </c>
      <c r="C107" s="39">
        <v>580</v>
      </c>
      <c r="D107" s="40" t="s">
        <v>295</v>
      </c>
      <c r="E107" s="38" t="s">
        <v>3</v>
      </c>
      <c r="F107" s="38" t="s">
        <v>296</v>
      </c>
      <c r="G107" s="32">
        <v>0</v>
      </c>
      <c r="H107" s="32">
        <v>30876467</v>
      </c>
      <c r="I107" s="52">
        <v>0</v>
      </c>
      <c r="J107" s="35">
        <f>+G107-H107+I107</f>
        <v>-30876467</v>
      </c>
      <c r="K107" s="27" t="s">
        <v>297</v>
      </c>
      <c r="L107" s="32">
        <v>0</v>
      </c>
      <c r="M107" s="35">
        <f>+J107+L107</f>
        <v>-30876467</v>
      </c>
      <c r="N107" s="55" t="s">
        <v>298</v>
      </c>
      <c r="O107" s="56" t="s">
        <v>299</v>
      </c>
      <c r="P107" s="56">
        <v>44502</v>
      </c>
      <c r="Q107" s="49">
        <v>30403.919999999998</v>
      </c>
      <c r="R107" s="57">
        <f>+M107/Q107</f>
        <v>-1015.5423050711883</v>
      </c>
    </row>
    <row r="108" spans="1:18" s="30" customFormat="1" ht="15" customHeight="1">
      <c r="A108" s="37" t="s">
        <v>52</v>
      </c>
      <c r="B108" s="26" t="s">
        <v>195</v>
      </c>
      <c r="C108" s="65" t="s">
        <v>300</v>
      </c>
      <c r="D108" s="51" t="s">
        <v>301</v>
      </c>
      <c r="E108" s="38" t="s">
        <v>4</v>
      </c>
      <c r="F108" s="38" t="s">
        <v>15</v>
      </c>
      <c r="G108" s="52">
        <v>1819693</v>
      </c>
      <c r="H108" s="52"/>
      <c r="I108" s="52">
        <v>152189</v>
      </c>
      <c r="J108" s="53">
        <f>+G108-H108+I108</f>
        <v>1971882</v>
      </c>
      <c r="K108" s="28">
        <v>0</v>
      </c>
      <c r="L108" s="32">
        <v>0</v>
      </c>
      <c r="M108" s="53">
        <f>+J108+L108</f>
        <v>1971882</v>
      </c>
      <c r="N108" s="55" t="s">
        <v>289</v>
      </c>
      <c r="O108" s="29" t="s">
        <v>290</v>
      </c>
      <c r="P108" s="36">
        <v>44764</v>
      </c>
      <c r="Q108" s="49">
        <v>33330.449999999997</v>
      </c>
      <c r="R108" s="33">
        <f>M108/Q108</f>
        <v>59.161577476451718</v>
      </c>
    </row>
    <row r="109" spans="1:18" s="30" customFormat="1" ht="15" customHeight="1">
      <c r="A109" s="37" t="s">
        <v>293</v>
      </c>
      <c r="B109" s="26" t="s">
        <v>294</v>
      </c>
      <c r="C109" s="39">
        <v>591</v>
      </c>
      <c r="D109" s="40" t="s">
        <v>302</v>
      </c>
      <c r="E109" s="38" t="s">
        <v>4</v>
      </c>
      <c r="F109" s="38" t="s">
        <v>296</v>
      </c>
      <c r="G109" s="32">
        <v>0</v>
      </c>
      <c r="H109" s="32">
        <v>31867080</v>
      </c>
      <c r="I109" s="52">
        <v>0</v>
      </c>
      <c r="J109" s="35">
        <f>+G109-H109+I109</f>
        <v>-31867080</v>
      </c>
      <c r="K109" s="27" t="s">
        <v>297</v>
      </c>
      <c r="L109" s="32">
        <v>0</v>
      </c>
      <c r="M109" s="35">
        <f>+J109+L109</f>
        <v>-31867080</v>
      </c>
      <c r="N109" s="55" t="s">
        <v>298</v>
      </c>
      <c r="O109" s="56" t="s">
        <v>299</v>
      </c>
      <c r="P109" s="56">
        <v>44502</v>
      </c>
      <c r="Q109" s="49">
        <v>30403.919999999998</v>
      </c>
      <c r="R109" s="57">
        <f>+M109/Q109</f>
        <v>-1048.1240576872983</v>
      </c>
    </row>
    <row r="110" spans="1:18" s="30" customFormat="1" ht="15" customHeight="1">
      <c r="A110" s="37" t="s">
        <v>52</v>
      </c>
      <c r="B110" s="26" t="s">
        <v>195</v>
      </c>
      <c r="C110" s="65" t="s">
        <v>303</v>
      </c>
      <c r="D110" s="51" t="s">
        <v>304</v>
      </c>
      <c r="E110" s="38" t="s">
        <v>4</v>
      </c>
      <c r="F110" s="38" t="s">
        <v>199</v>
      </c>
      <c r="G110" s="52">
        <v>1268313</v>
      </c>
      <c r="H110" s="52">
        <v>42895</v>
      </c>
      <c r="I110" s="52">
        <v>226807</v>
      </c>
      <c r="J110" s="53">
        <f>+G110-H110+I110</f>
        <v>1452225</v>
      </c>
      <c r="K110" s="28">
        <v>0</v>
      </c>
      <c r="L110" s="32">
        <v>0</v>
      </c>
      <c r="M110" s="53">
        <f>+J110+L110</f>
        <v>1452225</v>
      </c>
      <c r="N110" s="55" t="s">
        <v>289</v>
      </c>
      <c r="O110" s="29" t="s">
        <v>290</v>
      </c>
      <c r="P110" s="36">
        <v>44764</v>
      </c>
      <c r="Q110" s="49">
        <v>33330.449999999997</v>
      </c>
      <c r="R110" s="33">
        <f>M110/Q110</f>
        <v>43.570518849880521</v>
      </c>
    </row>
    <row r="111" spans="1:18" s="30" customFormat="1" ht="15" customHeight="1">
      <c r="A111" s="37" t="s">
        <v>52</v>
      </c>
      <c r="B111" s="26" t="s">
        <v>195</v>
      </c>
      <c r="C111" s="65" t="s">
        <v>305</v>
      </c>
      <c r="D111" s="51" t="s">
        <v>306</v>
      </c>
      <c r="E111" s="38" t="s">
        <v>4</v>
      </c>
      <c r="F111" s="38" t="s">
        <v>13</v>
      </c>
      <c r="G111" s="52">
        <v>696874</v>
      </c>
      <c r="H111" s="52">
        <v>2451412</v>
      </c>
      <c r="I111" s="52">
        <v>2614876</v>
      </c>
      <c r="J111" s="53">
        <f>+G111-H111+I111</f>
        <v>860338</v>
      </c>
      <c r="K111" s="28">
        <v>0</v>
      </c>
      <c r="L111" s="32">
        <v>0</v>
      </c>
      <c r="M111" s="53">
        <f>+J111+L111</f>
        <v>860338</v>
      </c>
      <c r="N111" s="55" t="s">
        <v>289</v>
      </c>
      <c r="O111" s="29" t="s">
        <v>290</v>
      </c>
      <c r="P111" s="36">
        <v>44764</v>
      </c>
      <c r="Q111" s="49">
        <v>33330.449999999997</v>
      </c>
      <c r="R111" s="33">
        <f>M111/Q111</f>
        <v>25.812372770244629</v>
      </c>
    </row>
    <row r="112" spans="1:18" s="30" customFormat="1" ht="15" customHeight="1">
      <c r="A112" s="37" t="s">
        <v>52</v>
      </c>
      <c r="B112" s="26" t="s">
        <v>195</v>
      </c>
      <c r="C112" s="65" t="s">
        <v>307</v>
      </c>
      <c r="D112" s="51" t="s">
        <v>308</v>
      </c>
      <c r="E112" s="38" t="s">
        <v>4</v>
      </c>
      <c r="F112" s="38" t="s">
        <v>13</v>
      </c>
      <c r="G112" s="52">
        <v>5035287</v>
      </c>
      <c r="H112" s="52">
        <v>3935441</v>
      </c>
      <c r="I112" s="52"/>
      <c r="J112" s="53">
        <f>+G112-H112+I112</f>
        <v>1099846</v>
      </c>
      <c r="K112" s="28">
        <v>0</v>
      </c>
      <c r="L112" s="32">
        <v>0</v>
      </c>
      <c r="M112" s="53">
        <f>+J112+L112</f>
        <v>1099846</v>
      </c>
      <c r="N112" s="55" t="s">
        <v>289</v>
      </c>
      <c r="O112" s="29" t="s">
        <v>290</v>
      </c>
      <c r="P112" s="36">
        <v>44764</v>
      </c>
      <c r="Q112" s="49">
        <v>33330.449999999997</v>
      </c>
      <c r="R112" s="33">
        <f>M112/Q112</f>
        <v>32.998234347271044</v>
      </c>
    </row>
    <row r="113" spans="1:18" s="30" customFormat="1" ht="15" customHeight="1">
      <c r="A113" s="37" t="s">
        <v>52</v>
      </c>
      <c r="B113" s="26" t="s">
        <v>195</v>
      </c>
      <c r="C113" s="65" t="s">
        <v>309</v>
      </c>
      <c r="D113" s="51" t="s">
        <v>310</v>
      </c>
      <c r="E113" s="38" t="s">
        <v>4</v>
      </c>
      <c r="F113" s="38" t="s">
        <v>13</v>
      </c>
      <c r="G113" s="52">
        <v>118153</v>
      </c>
      <c r="H113" s="52"/>
      <c r="I113" s="52">
        <v>37327</v>
      </c>
      <c r="J113" s="53">
        <f>+G113-H113+I113</f>
        <v>155480</v>
      </c>
      <c r="K113" s="28">
        <v>0</v>
      </c>
      <c r="L113" s="32">
        <v>0</v>
      </c>
      <c r="M113" s="53">
        <f>+J113+L113</f>
        <v>155480</v>
      </c>
      <c r="N113" s="55" t="s">
        <v>289</v>
      </c>
      <c r="O113" s="29" t="s">
        <v>290</v>
      </c>
      <c r="P113" s="36">
        <v>44764</v>
      </c>
      <c r="Q113" s="49">
        <v>33330.449999999997</v>
      </c>
      <c r="R113" s="33">
        <f>M113/Q113</f>
        <v>4.6648035055032269</v>
      </c>
    </row>
    <row r="114" spans="1:18" s="30" customFormat="1" ht="15" customHeight="1">
      <c r="A114" s="37" t="s">
        <v>52</v>
      </c>
      <c r="B114" s="26" t="s">
        <v>195</v>
      </c>
      <c r="C114" s="65" t="s">
        <v>311</v>
      </c>
      <c r="D114" s="51" t="s">
        <v>312</v>
      </c>
      <c r="E114" s="38" t="s">
        <v>6</v>
      </c>
      <c r="F114" s="38" t="s">
        <v>13</v>
      </c>
      <c r="G114" s="52">
        <v>4373914</v>
      </c>
      <c r="H114" s="52">
        <v>3807099</v>
      </c>
      <c r="I114" s="52"/>
      <c r="J114" s="53">
        <f>+G114-H114+I114</f>
        <v>566815</v>
      </c>
      <c r="K114" s="28">
        <v>0</v>
      </c>
      <c r="L114" s="32">
        <v>0</v>
      </c>
      <c r="M114" s="53">
        <f>+J114+L114</f>
        <v>566815</v>
      </c>
      <c r="N114" s="55" t="s">
        <v>289</v>
      </c>
      <c r="O114" s="29" t="s">
        <v>290</v>
      </c>
      <c r="P114" s="36">
        <v>44764</v>
      </c>
      <c r="Q114" s="49">
        <v>33330.449999999997</v>
      </c>
      <c r="R114" s="33">
        <f>M114/Q114</f>
        <v>17.005921012167555</v>
      </c>
    </row>
    <row r="115" spans="1:18" s="30" customFormat="1" ht="15" customHeight="1">
      <c r="A115" s="37" t="s">
        <v>52</v>
      </c>
      <c r="B115" s="26" t="s">
        <v>195</v>
      </c>
      <c r="C115" s="65" t="s">
        <v>313</v>
      </c>
      <c r="D115" s="51" t="s">
        <v>314</v>
      </c>
      <c r="E115" s="38" t="s">
        <v>6</v>
      </c>
      <c r="F115" s="38" t="s">
        <v>199</v>
      </c>
      <c r="G115" s="52">
        <v>30535</v>
      </c>
      <c r="H115" s="52"/>
      <c r="I115" s="52">
        <v>756036</v>
      </c>
      <c r="J115" s="53">
        <f>+G115-H115+I115</f>
        <v>786571</v>
      </c>
      <c r="K115" s="28">
        <v>0</v>
      </c>
      <c r="L115" s="32">
        <v>0</v>
      </c>
      <c r="M115" s="53">
        <f>+J115+L115</f>
        <v>786571</v>
      </c>
      <c r="N115" s="55" t="s">
        <v>289</v>
      </c>
      <c r="O115" s="29" t="s">
        <v>290</v>
      </c>
      <c r="P115" s="36">
        <v>44764</v>
      </c>
      <c r="Q115" s="49">
        <v>33330.449999999997</v>
      </c>
      <c r="R115" s="33">
        <f>M115/Q115</f>
        <v>23.599171328319901</v>
      </c>
    </row>
    <row r="116" spans="1:18" s="30" customFormat="1" ht="15" customHeight="1">
      <c r="A116" s="37" t="s">
        <v>52</v>
      </c>
      <c r="B116" s="26" t="s">
        <v>195</v>
      </c>
      <c r="C116" s="65" t="s">
        <v>315</v>
      </c>
      <c r="D116" s="51" t="s">
        <v>316</v>
      </c>
      <c r="E116" s="38" t="s">
        <v>3</v>
      </c>
      <c r="F116" s="38" t="s">
        <v>199</v>
      </c>
      <c r="G116" s="52">
        <v>5058943</v>
      </c>
      <c r="H116" s="52">
        <v>1582310</v>
      </c>
      <c r="I116" s="52">
        <v>1132649</v>
      </c>
      <c r="J116" s="53">
        <f>+G116-H116+I116</f>
        <v>4609282</v>
      </c>
      <c r="K116" s="28">
        <v>0</v>
      </c>
      <c r="L116" s="32">
        <v>0</v>
      </c>
      <c r="M116" s="53">
        <f>+J116+L116</f>
        <v>4609282</v>
      </c>
      <c r="N116" s="55" t="s">
        <v>289</v>
      </c>
      <c r="O116" s="29" t="s">
        <v>290</v>
      </c>
      <c r="P116" s="36">
        <v>44764</v>
      </c>
      <c r="Q116" s="49">
        <v>33330.449999999997</v>
      </c>
      <c r="R116" s="33">
        <f>M116/Q116</f>
        <v>138.29042212151353</v>
      </c>
    </row>
    <row r="117" spans="1:18" s="30" customFormat="1" ht="15" customHeight="1">
      <c r="A117" s="37" t="s">
        <v>52</v>
      </c>
      <c r="B117" s="26" t="s">
        <v>195</v>
      </c>
      <c r="C117" s="65" t="s">
        <v>317</v>
      </c>
      <c r="D117" s="51" t="s">
        <v>318</v>
      </c>
      <c r="E117" s="38" t="s">
        <v>3</v>
      </c>
      <c r="F117" s="38" t="s">
        <v>199</v>
      </c>
      <c r="G117" s="52">
        <v>813778</v>
      </c>
      <c r="H117" s="52">
        <v>756604</v>
      </c>
      <c r="I117" s="52">
        <v>440736</v>
      </c>
      <c r="J117" s="53">
        <f>+G117-H117+I117</f>
        <v>497910</v>
      </c>
      <c r="K117" s="28">
        <v>0</v>
      </c>
      <c r="L117" s="32">
        <v>0</v>
      </c>
      <c r="M117" s="53">
        <f>+J117+L117</f>
        <v>497910</v>
      </c>
      <c r="N117" s="55" t="s">
        <v>289</v>
      </c>
      <c r="O117" s="29" t="s">
        <v>290</v>
      </c>
      <c r="P117" s="36">
        <v>44764</v>
      </c>
      <c r="Q117" s="49">
        <v>33330.449999999997</v>
      </c>
      <c r="R117" s="33">
        <f>M117/Q117</f>
        <v>14.938592188224282</v>
      </c>
    </row>
    <row r="118" spans="1:18" s="30" customFormat="1" ht="15" customHeight="1">
      <c r="A118" s="37" t="s">
        <v>52</v>
      </c>
      <c r="B118" s="26" t="s">
        <v>195</v>
      </c>
      <c r="C118" s="65" t="s">
        <v>319</v>
      </c>
      <c r="D118" s="51" t="s">
        <v>320</v>
      </c>
      <c r="E118" s="38" t="s">
        <v>6</v>
      </c>
      <c r="F118" s="38" t="s">
        <v>199</v>
      </c>
      <c r="G118" s="52">
        <v>5431385</v>
      </c>
      <c r="H118" s="52">
        <v>5169583</v>
      </c>
      <c r="I118" s="52"/>
      <c r="J118" s="53">
        <f>+G118-H118+I118</f>
        <v>261802</v>
      </c>
      <c r="K118" s="28">
        <v>0</v>
      </c>
      <c r="L118" s="32">
        <v>0</v>
      </c>
      <c r="M118" s="53">
        <f>+J118+L118</f>
        <v>261802</v>
      </c>
      <c r="N118" s="55" t="s">
        <v>289</v>
      </c>
      <c r="O118" s="29" t="s">
        <v>290</v>
      </c>
      <c r="P118" s="36">
        <v>44764</v>
      </c>
      <c r="Q118" s="49">
        <v>33330.449999999997</v>
      </c>
      <c r="R118" s="33">
        <f>M118/Q118</f>
        <v>7.8547394349611253</v>
      </c>
    </row>
    <row r="119" spans="1:18" s="30" customFormat="1" ht="15" customHeight="1">
      <c r="A119" s="37" t="s">
        <v>321</v>
      </c>
      <c r="B119" s="26" t="s">
        <v>322</v>
      </c>
      <c r="C119" s="39">
        <v>2</v>
      </c>
      <c r="D119" s="40" t="s">
        <v>323</v>
      </c>
      <c r="E119" s="38" t="s">
        <v>4</v>
      </c>
      <c r="F119" s="38" t="s">
        <v>18</v>
      </c>
      <c r="G119" s="32">
        <v>0</v>
      </c>
      <c r="H119" s="32">
        <v>58693824</v>
      </c>
      <c r="I119" s="52">
        <v>0</v>
      </c>
      <c r="J119" s="35">
        <f>+G119-H119+I119</f>
        <v>-58693824</v>
      </c>
      <c r="K119" s="27" t="s">
        <v>170</v>
      </c>
      <c r="L119" s="32">
        <v>0</v>
      </c>
      <c r="M119" s="35">
        <f>+J119+L119</f>
        <v>-58693824</v>
      </c>
      <c r="N119" s="28" t="s">
        <v>324</v>
      </c>
      <c r="O119" s="29" t="s">
        <v>325</v>
      </c>
      <c r="P119" s="36">
        <v>44508</v>
      </c>
      <c r="Q119" s="31">
        <v>30474.19</v>
      </c>
      <c r="R119" s="33">
        <v>-1926</v>
      </c>
    </row>
    <row r="120" spans="1:18" s="30" customFormat="1" ht="15" customHeight="1">
      <c r="A120" s="37" t="s">
        <v>52</v>
      </c>
      <c r="B120" s="26" t="s">
        <v>195</v>
      </c>
      <c r="C120" s="65" t="s">
        <v>326</v>
      </c>
      <c r="D120" s="51" t="s">
        <v>327</v>
      </c>
      <c r="E120" s="38" t="s">
        <v>3</v>
      </c>
      <c r="F120" s="38" t="s">
        <v>199</v>
      </c>
      <c r="G120" s="52"/>
      <c r="H120" s="52">
        <v>339307</v>
      </c>
      <c r="I120" s="52">
        <v>1245396</v>
      </c>
      <c r="J120" s="53">
        <f>+G120-H120+I120</f>
        <v>906089</v>
      </c>
      <c r="K120" s="28">
        <v>0</v>
      </c>
      <c r="L120" s="32">
        <v>0</v>
      </c>
      <c r="M120" s="53">
        <f>+J120+L120</f>
        <v>906089</v>
      </c>
      <c r="N120" s="55" t="s">
        <v>289</v>
      </c>
      <c r="O120" s="29" t="s">
        <v>290</v>
      </c>
      <c r="P120" s="36">
        <v>44764</v>
      </c>
      <c r="Q120" s="49">
        <v>33330.449999999997</v>
      </c>
      <c r="R120" s="33">
        <f>M120/Q120</f>
        <v>27.18502150436013</v>
      </c>
    </row>
    <row r="121" spans="1:18" s="30" customFormat="1" ht="15" customHeight="1">
      <c r="A121" s="37" t="s">
        <v>52</v>
      </c>
      <c r="B121" s="26" t="s">
        <v>195</v>
      </c>
      <c r="C121" s="65" t="s">
        <v>328</v>
      </c>
      <c r="D121" s="51" t="s">
        <v>329</v>
      </c>
      <c r="E121" s="38" t="s">
        <v>3</v>
      </c>
      <c r="F121" s="38" t="s">
        <v>199</v>
      </c>
      <c r="G121" s="52">
        <v>1009489</v>
      </c>
      <c r="H121" s="52"/>
      <c r="I121" s="52"/>
      <c r="J121" s="53">
        <f>+G121-H121+I121</f>
        <v>1009489</v>
      </c>
      <c r="K121" s="28">
        <v>0</v>
      </c>
      <c r="L121" s="32">
        <v>0</v>
      </c>
      <c r="M121" s="53">
        <f>+J121+L121</f>
        <v>1009489</v>
      </c>
      <c r="N121" s="55" t="s">
        <v>289</v>
      </c>
      <c r="O121" s="29" t="s">
        <v>290</v>
      </c>
      <c r="P121" s="36">
        <v>44764</v>
      </c>
      <c r="Q121" s="49">
        <v>33330.449999999997</v>
      </c>
      <c r="R121" s="33">
        <f>M121/Q121</f>
        <v>30.287289850572076</v>
      </c>
    </row>
    <row r="122" spans="1:18" s="30" customFormat="1" ht="15" customHeight="1">
      <c r="A122" s="37" t="s">
        <v>52</v>
      </c>
      <c r="B122" s="26" t="s">
        <v>195</v>
      </c>
      <c r="C122" s="65" t="s">
        <v>330</v>
      </c>
      <c r="D122" s="51" t="s">
        <v>331</v>
      </c>
      <c r="E122" s="38" t="s">
        <v>4</v>
      </c>
      <c r="F122" s="38" t="s">
        <v>199</v>
      </c>
      <c r="G122" s="52">
        <v>3314534</v>
      </c>
      <c r="H122" s="52">
        <v>414999</v>
      </c>
      <c r="I122" s="52"/>
      <c r="J122" s="53">
        <f>+G122-H122+I122</f>
        <v>2899535</v>
      </c>
      <c r="K122" s="28">
        <v>0</v>
      </c>
      <c r="L122" s="32">
        <v>0</v>
      </c>
      <c r="M122" s="53">
        <f>+J122+L122</f>
        <v>2899535</v>
      </c>
      <c r="N122" s="55" t="s">
        <v>289</v>
      </c>
      <c r="O122" s="29" t="s">
        <v>290</v>
      </c>
      <c r="P122" s="36">
        <v>44764</v>
      </c>
      <c r="Q122" s="49">
        <v>33330.449999999997</v>
      </c>
      <c r="R122" s="33">
        <f>M122/Q122</f>
        <v>86.993574944232677</v>
      </c>
    </row>
    <row r="123" spans="1:18" s="30" customFormat="1" ht="15" customHeight="1">
      <c r="A123" s="37" t="s">
        <v>52</v>
      </c>
      <c r="B123" s="26" t="s">
        <v>195</v>
      </c>
      <c r="C123" s="65" t="s">
        <v>332</v>
      </c>
      <c r="D123" s="51" t="s">
        <v>333</v>
      </c>
      <c r="E123" s="38" t="s">
        <v>6</v>
      </c>
      <c r="F123" s="38" t="s">
        <v>199</v>
      </c>
      <c r="G123" s="52">
        <v>15578762</v>
      </c>
      <c r="H123" s="52">
        <v>5144349</v>
      </c>
      <c r="I123" s="52">
        <v>2458697</v>
      </c>
      <c r="J123" s="53">
        <f>+G123-H123+I123</f>
        <v>12893110</v>
      </c>
      <c r="K123" s="28">
        <v>0</v>
      </c>
      <c r="L123" s="32">
        <v>0</v>
      </c>
      <c r="M123" s="53">
        <f>+J123+L123</f>
        <v>12893110</v>
      </c>
      <c r="N123" s="55" t="s">
        <v>289</v>
      </c>
      <c r="O123" s="29" t="s">
        <v>290</v>
      </c>
      <c r="P123" s="36">
        <v>44764</v>
      </c>
      <c r="Q123" s="49">
        <v>33330.449999999997</v>
      </c>
      <c r="R123" s="33">
        <f>M123/Q123</f>
        <v>386.82676051478455</v>
      </c>
    </row>
    <row r="124" spans="1:18" s="30" customFormat="1" ht="15" customHeight="1">
      <c r="A124" s="37" t="s">
        <v>52</v>
      </c>
      <c r="B124" s="26" t="s">
        <v>195</v>
      </c>
      <c r="C124" s="65" t="s">
        <v>334</v>
      </c>
      <c r="D124" s="51" t="s">
        <v>335</v>
      </c>
      <c r="E124" s="38" t="s">
        <v>6</v>
      </c>
      <c r="F124" s="38" t="s">
        <v>199</v>
      </c>
      <c r="G124" s="52">
        <v>11411742</v>
      </c>
      <c r="H124" s="52">
        <v>6371580</v>
      </c>
      <c r="I124" s="52">
        <v>9488601</v>
      </c>
      <c r="J124" s="53">
        <f>+G124-H124+I124</f>
        <v>14528763</v>
      </c>
      <c r="K124" s="28">
        <v>0</v>
      </c>
      <c r="L124" s="32">
        <v>0</v>
      </c>
      <c r="M124" s="53">
        <f>+J124+L124</f>
        <v>14528763</v>
      </c>
      <c r="N124" s="55" t="s">
        <v>289</v>
      </c>
      <c r="O124" s="29" t="s">
        <v>290</v>
      </c>
      <c r="P124" s="36">
        <v>44764</v>
      </c>
      <c r="Q124" s="49">
        <v>33330.449999999997</v>
      </c>
      <c r="R124" s="33">
        <f>M124/Q124</f>
        <v>435.90059540150224</v>
      </c>
    </row>
    <row r="125" spans="1:18" s="30" customFormat="1" ht="15" customHeight="1">
      <c r="A125" s="37" t="s">
        <v>52</v>
      </c>
      <c r="B125" s="26" t="s">
        <v>195</v>
      </c>
      <c r="C125" s="65" t="s">
        <v>336</v>
      </c>
      <c r="D125" s="51" t="s">
        <v>337</v>
      </c>
      <c r="E125" s="38" t="s">
        <v>6</v>
      </c>
      <c r="F125" s="38" t="s">
        <v>199</v>
      </c>
      <c r="G125" s="52">
        <v>2036274</v>
      </c>
      <c r="H125" s="52">
        <v>2435335</v>
      </c>
      <c r="I125" s="52">
        <v>629780</v>
      </c>
      <c r="J125" s="53">
        <f>+G125-H125+I125</f>
        <v>230719</v>
      </c>
      <c r="K125" s="28">
        <v>0</v>
      </c>
      <c r="L125" s="32">
        <v>0</v>
      </c>
      <c r="M125" s="53">
        <f>+J125+L125</f>
        <v>230719</v>
      </c>
      <c r="N125" s="55" t="s">
        <v>289</v>
      </c>
      <c r="O125" s="29" t="s">
        <v>290</v>
      </c>
      <c r="P125" s="36">
        <v>44764</v>
      </c>
      <c r="Q125" s="49">
        <v>33330.449999999997</v>
      </c>
      <c r="R125" s="33">
        <f>M125/Q125</f>
        <v>6.9221687675983983</v>
      </c>
    </row>
    <row r="126" spans="1:18" s="30" customFormat="1" ht="15" customHeight="1">
      <c r="A126" s="37" t="s">
        <v>52</v>
      </c>
      <c r="B126" s="26" t="s">
        <v>262</v>
      </c>
      <c r="C126" s="39" t="s">
        <v>338</v>
      </c>
      <c r="D126" s="40" t="s">
        <v>339</v>
      </c>
      <c r="E126" s="38" t="s">
        <v>3</v>
      </c>
      <c r="F126" s="38" t="s">
        <v>12</v>
      </c>
      <c r="G126" s="32">
        <v>2544659</v>
      </c>
      <c r="H126" s="32">
        <v>0</v>
      </c>
      <c r="I126" s="32">
        <v>1943320</v>
      </c>
      <c r="J126" s="35">
        <f>+G126-H126+I126</f>
        <v>4487979</v>
      </c>
      <c r="K126" s="28">
        <v>0</v>
      </c>
      <c r="L126" s="32">
        <v>0</v>
      </c>
      <c r="M126" s="35">
        <f>+J126+L126</f>
        <v>4487979</v>
      </c>
      <c r="N126" s="28" t="s">
        <v>265</v>
      </c>
      <c r="O126" s="29" t="s">
        <v>266</v>
      </c>
      <c r="P126" s="36">
        <v>43846</v>
      </c>
      <c r="Q126" s="31">
        <v>28324.55</v>
      </c>
      <c r="R126" s="33">
        <f>M126/Q126</f>
        <v>158.44837782065383</v>
      </c>
    </row>
    <row r="127" spans="1:18" s="30" customFormat="1" ht="15" customHeight="1">
      <c r="A127" s="37" t="s">
        <v>189</v>
      </c>
      <c r="B127" s="26" t="s">
        <v>190</v>
      </c>
      <c r="C127" s="39" t="s">
        <v>340</v>
      </c>
      <c r="D127" s="40" t="s">
        <v>341</v>
      </c>
      <c r="E127" s="38" t="s">
        <v>3</v>
      </c>
      <c r="F127" s="38" t="s">
        <v>12</v>
      </c>
      <c r="G127" s="32">
        <v>0</v>
      </c>
      <c r="H127" s="32">
        <v>0</v>
      </c>
      <c r="I127" s="32">
        <v>3509666</v>
      </c>
      <c r="J127" s="35">
        <f>+G127-H127+I127</f>
        <v>3509666</v>
      </c>
      <c r="K127" s="28">
        <v>0</v>
      </c>
      <c r="L127" s="32">
        <v>0</v>
      </c>
      <c r="M127" s="35">
        <f>+J127+L127</f>
        <v>3509666</v>
      </c>
      <c r="N127" s="28" t="s">
        <v>223</v>
      </c>
      <c r="O127" s="29" t="s">
        <v>224</v>
      </c>
      <c r="P127" s="36">
        <v>44265</v>
      </c>
      <c r="Q127" s="31">
        <v>29355.01</v>
      </c>
      <c r="R127" s="33">
        <f>M127/Q127</f>
        <v>119.5593529009188</v>
      </c>
    </row>
    <row r="128" spans="1:18" s="30" customFormat="1" ht="15" customHeight="1">
      <c r="A128" s="37" t="s">
        <v>189</v>
      </c>
      <c r="B128" s="26" t="s">
        <v>190</v>
      </c>
      <c r="C128" s="39" t="s">
        <v>342</v>
      </c>
      <c r="D128" s="40" t="s">
        <v>343</v>
      </c>
      <c r="E128" s="38" t="s">
        <v>3</v>
      </c>
      <c r="F128" s="38" t="s">
        <v>12</v>
      </c>
      <c r="G128" s="32">
        <v>0</v>
      </c>
      <c r="H128" s="32">
        <v>0</v>
      </c>
      <c r="I128" s="32">
        <v>9050211</v>
      </c>
      <c r="J128" s="35">
        <f>+G128-H128+I128</f>
        <v>9050211</v>
      </c>
      <c r="K128" s="28">
        <v>0</v>
      </c>
      <c r="L128" s="32">
        <v>0</v>
      </c>
      <c r="M128" s="35">
        <f>+J128+L128</f>
        <v>9050211</v>
      </c>
      <c r="N128" s="28" t="s">
        <v>223</v>
      </c>
      <c r="O128" s="29" t="s">
        <v>224</v>
      </c>
      <c r="P128" s="36">
        <v>44265</v>
      </c>
      <c r="Q128" s="31">
        <v>29355.01</v>
      </c>
      <c r="R128" s="33">
        <f>M128/Q128</f>
        <v>308.30209221526411</v>
      </c>
    </row>
    <row r="129" spans="1:18" s="30" customFormat="1" ht="15" customHeight="1">
      <c r="A129" s="37" t="s">
        <v>189</v>
      </c>
      <c r="B129" s="26" t="s">
        <v>190</v>
      </c>
      <c r="C129" s="39" t="s">
        <v>344</v>
      </c>
      <c r="D129" s="40" t="s">
        <v>345</v>
      </c>
      <c r="E129" s="38" t="s">
        <v>3</v>
      </c>
      <c r="F129" s="38" t="s">
        <v>12</v>
      </c>
      <c r="G129" s="32">
        <v>0</v>
      </c>
      <c r="H129" s="32">
        <v>0</v>
      </c>
      <c r="I129" s="32">
        <v>979991</v>
      </c>
      <c r="J129" s="35">
        <f>+G129-H129+I129</f>
        <v>979991</v>
      </c>
      <c r="K129" s="28">
        <v>0</v>
      </c>
      <c r="L129" s="32">
        <v>0</v>
      </c>
      <c r="M129" s="35">
        <f>+J129+L129</f>
        <v>979991</v>
      </c>
      <c r="N129" s="28" t="s">
        <v>223</v>
      </c>
      <c r="O129" s="29" t="s">
        <v>224</v>
      </c>
      <c r="P129" s="36">
        <v>44265</v>
      </c>
      <c r="Q129" s="31">
        <v>29355.01</v>
      </c>
      <c r="R129" s="33">
        <f>M129/Q129</f>
        <v>33.384113989400788</v>
      </c>
    </row>
    <row r="130" spans="1:18" s="30" customFormat="1" ht="15" customHeight="1">
      <c r="A130" s="37" t="s">
        <v>189</v>
      </c>
      <c r="B130" s="26" t="s">
        <v>190</v>
      </c>
      <c r="C130" s="39" t="s">
        <v>346</v>
      </c>
      <c r="D130" s="40" t="s">
        <v>347</v>
      </c>
      <c r="E130" s="38" t="s">
        <v>3</v>
      </c>
      <c r="F130" s="38" t="s">
        <v>12</v>
      </c>
      <c r="G130" s="32">
        <v>7116305</v>
      </c>
      <c r="H130" s="32">
        <v>0</v>
      </c>
      <c r="I130" s="32">
        <v>116028978</v>
      </c>
      <c r="J130" s="35">
        <f>+G130-H130+I130</f>
        <v>123145283</v>
      </c>
      <c r="K130" s="28">
        <v>0</v>
      </c>
      <c r="L130" s="32">
        <v>0</v>
      </c>
      <c r="M130" s="35">
        <f>+J130+L130</f>
        <v>123145283</v>
      </c>
      <c r="N130" s="28" t="s">
        <v>223</v>
      </c>
      <c r="O130" s="29" t="s">
        <v>224</v>
      </c>
      <c r="P130" s="36">
        <v>44265</v>
      </c>
      <c r="Q130" s="31">
        <v>29355.01</v>
      </c>
      <c r="R130" s="33">
        <f>M130/Q130</f>
        <v>4195.0346124903381</v>
      </c>
    </row>
    <row r="131" spans="1:18" s="30" customFormat="1" ht="15" customHeight="1">
      <c r="A131" s="37" t="s">
        <v>189</v>
      </c>
      <c r="B131" s="26" t="s">
        <v>190</v>
      </c>
      <c r="C131" s="39" t="s">
        <v>348</v>
      </c>
      <c r="D131" s="40" t="s">
        <v>349</v>
      </c>
      <c r="E131" s="38" t="s">
        <v>3</v>
      </c>
      <c r="F131" s="38" t="s">
        <v>12</v>
      </c>
      <c r="G131" s="32">
        <v>0</v>
      </c>
      <c r="H131" s="32">
        <v>0</v>
      </c>
      <c r="I131" s="32">
        <v>6443696</v>
      </c>
      <c r="J131" s="35">
        <f>+G131-H131+I131</f>
        <v>6443696</v>
      </c>
      <c r="K131" s="28">
        <v>0</v>
      </c>
      <c r="L131" s="32">
        <v>0</v>
      </c>
      <c r="M131" s="35">
        <f>+J131+L131</f>
        <v>6443696</v>
      </c>
      <c r="N131" s="28" t="s">
        <v>223</v>
      </c>
      <c r="O131" s="29" t="s">
        <v>224</v>
      </c>
      <c r="P131" s="36">
        <v>44265</v>
      </c>
      <c r="Q131" s="31">
        <v>29355.01</v>
      </c>
      <c r="R131" s="33">
        <f>M131/Q131</f>
        <v>219.50924220431199</v>
      </c>
    </row>
    <row r="132" spans="1:18" s="30" customFormat="1" ht="15" customHeight="1">
      <c r="A132" s="37" t="s">
        <v>189</v>
      </c>
      <c r="B132" s="26" t="s">
        <v>225</v>
      </c>
      <c r="C132" s="39" t="s">
        <v>350</v>
      </c>
      <c r="D132" s="40" t="s">
        <v>351</v>
      </c>
      <c r="E132" s="38" t="s">
        <v>3</v>
      </c>
      <c r="F132" s="38" t="s">
        <v>13</v>
      </c>
      <c r="G132" s="32">
        <v>514000</v>
      </c>
      <c r="H132" s="32">
        <v>0</v>
      </c>
      <c r="I132" s="52">
        <v>0</v>
      </c>
      <c r="J132" s="35">
        <f>+G132-H132+I132</f>
        <v>514000</v>
      </c>
      <c r="K132" s="28">
        <v>0</v>
      </c>
      <c r="L132" s="32">
        <v>0</v>
      </c>
      <c r="M132" s="35">
        <f>+J132+L132</f>
        <v>514000</v>
      </c>
      <c r="N132" s="28" t="s">
        <v>352</v>
      </c>
      <c r="O132" s="29" t="s">
        <v>353</v>
      </c>
      <c r="P132" s="36">
        <v>44244</v>
      </c>
      <c r="Q132" s="31">
        <v>29207.23</v>
      </c>
      <c r="R132" s="33">
        <f>M132/Q132</f>
        <v>17.598382318350627</v>
      </c>
    </row>
    <row r="133" spans="1:18" s="30" customFormat="1" ht="15" customHeight="1">
      <c r="A133" s="37" t="s">
        <v>52</v>
      </c>
      <c r="B133" s="26" t="s">
        <v>262</v>
      </c>
      <c r="C133" s="39" t="s">
        <v>354</v>
      </c>
      <c r="D133" s="40" t="s">
        <v>355</v>
      </c>
      <c r="E133" s="38" t="s">
        <v>4</v>
      </c>
      <c r="F133" s="38" t="s">
        <v>13</v>
      </c>
      <c r="G133" s="32">
        <v>3647029</v>
      </c>
      <c r="H133" s="32">
        <v>2892397</v>
      </c>
      <c r="I133" s="32">
        <v>5602814</v>
      </c>
      <c r="J133" s="35">
        <f>+G133-H133+I133</f>
        <v>6357446</v>
      </c>
      <c r="K133" s="28">
        <v>0</v>
      </c>
      <c r="L133" s="32">
        <v>0</v>
      </c>
      <c r="M133" s="35">
        <f>+J133+L133</f>
        <v>6357446</v>
      </c>
      <c r="N133" s="28" t="s">
        <v>265</v>
      </c>
      <c r="O133" s="29" t="s">
        <v>266</v>
      </c>
      <c r="P133" s="36">
        <v>43846</v>
      </c>
      <c r="Q133" s="31">
        <v>28324.55</v>
      </c>
      <c r="R133" s="33">
        <f>M133/Q133</f>
        <v>224.45002656705933</v>
      </c>
    </row>
    <row r="134" spans="1:18" s="30" customFormat="1" ht="15" customHeight="1">
      <c r="A134" s="37" t="s">
        <v>356</v>
      </c>
      <c r="B134" s="26" t="s">
        <v>357</v>
      </c>
      <c r="C134" s="39" t="s">
        <v>358</v>
      </c>
      <c r="D134" s="40" t="s">
        <v>359</v>
      </c>
      <c r="E134" s="38" t="s">
        <v>4</v>
      </c>
      <c r="F134" s="38" t="s">
        <v>11</v>
      </c>
      <c r="G134" s="32">
        <v>5382207</v>
      </c>
      <c r="H134" s="32">
        <v>0</v>
      </c>
      <c r="I134" s="32">
        <v>10766851</v>
      </c>
      <c r="J134" s="35">
        <f>+G134-H134+I134</f>
        <v>16149058</v>
      </c>
      <c r="K134" s="28">
        <v>0</v>
      </c>
      <c r="L134" s="32">
        <v>0</v>
      </c>
      <c r="M134" s="35">
        <f>+J134+L134</f>
        <v>16149058</v>
      </c>
      <c r="N134" s="28" t="s">
        <v>360</v>
      </c>
      <c r="O134" s="29" t="s">
        <v>361</v>
      </c>
      <c r="P134" s="36">
        <v>43483</v>
      </c>
      <c r="Q134" s="31">
        <v>27557.78</v>
      </c>
      <c r="R134" s="33">
        <f>+M134/Q134</f>
        <v>586.00721828826568</v>
      </c>
    </row>
    <row r="135" spans="1:18" s="30" customFormat="1" ht="15" customHeight="1">
      <c r="A135" s="37" t="s">
        <v>321</v>
      </c>
      <c r="B135" s="26" t="s">
        <v>322</v>
      </c>
      <c r="C135" s="39">
        <v>3</v>
      </c>
      <c r="D135" s="40" t="s">
        <v>362</v>
      </c>
      <c r="E135" s="38" t="s">
        <v>4</v>
      </c>
      <c r="F135" s="38" t="s">
        <v>10</v>
      </c>
      <c r="G135" s="32">
        <v>0</v>
      </c>
      <c r="H135" s="32">
        <v>107156918</v>
      </c>
      <c r="I135" s="52">
        <v>0</v>
      </c>
      <c r="J135" s="35">
        <f>+G135-H135+I135</f>
        <v>-107156918</v>
      </c>
      <c r="K135" s="27" t="s">
        <v>170</v>
      </c>
      <c r="L135" s="32">
        <v>0</v>
      </c>
      <c r="M135" s="35">
        <f>+J135+L135</f>
        <v>-107156918</v>
      </c>
      <c r="N135" s="28" t="s">
        <v>324</v>
      </c>
      <c r="O135" s="29" t="s">
        <v>325</v>
      </c>
      <c r="P135" s="36">
        <v>44508</v>
      </c>
      <c r="Q135" s="31">
        <v>30474.19</v>
      </c>
      <c r="R135" s="33">
        <v>-3516</v>
      </c>
    </row>
    <row r="136" spans="1:18" s="30" customFormat="1" ht="15" customHeight="1">
      <c r="A136" s="37" t="s">
        <v>189</v>
      </c>
      <c r="B136" s="26" t="s">
        <v>225</v>
      </c>
      <c r="C136" s="39" t="s">
        <v>358</v>
      </c>
      <c r="D136" s="40" t="s">
        <v>363</v>
      </c>
      <c r="E136" s="38" t="s">
        <v>3</v>
      </c>
      <c r="F136" s="38" t="s">
        <v>10</v>
      </c>
      <c r="G136" s="32">
        <v>4224372</v>
      </c>
      <c r="H136" s="32">
        <v>0</v>
      </c>
      <c r="I136" s="52">
        <v>0</v>
      </c>
      <c r="J136" s="35">
        <f>+G136-H136+I136</f>
        <v>4224372</v>
      </c>
      <c r="K136" s="28">
        <v>0</v>
      </c>
      <c r="L136" s="32">
        <v>0</v>
      </c>
      <c r="M136" s="35">
        <f>+J136+L136</f>
        <v>4224372</v>
      </c>
      <c r="N136" s="28" t="s">
        <v>243</v>
      </c>
      <c r="O136" s="29" t="s">
        <v>244</v>
      </c>
      <c r="P136" s="36">
        <v>43993</v>
      </c>
      <c r="Q136" s="31">
        <v>28714.6</v>
      </c>
      <c r="R136" s="33">
        <f>M136/Q136</f>
        <v>147.11582261288683</v>
      </c>
    </row>
    <row r="137" spans="1:18" s="30" customFormat="1" ht="15" customHeight="1">
      <c r="A137" s="37" t="s">
        <v>189</v>
      </c>
      <c r="B137" s="26" t="s">
        <v>225</v>
      </c>
      <c r="C137" s="39" t="s">
        <v>364</v>
      </c>
      <c r="D137" s="40" t="s">
        <v>365</v>
      </c>
      <c r="E137" s="38" t="s">
        <v>3</v>
      </c>
      <c r="F137" s="38" t="s">
        <v>11</v>
      </c>
      <c r="G137" s="32">
        <v>12369976</v>
      </c>
      <c r="H137" s="32">
        <v>0</v>
      </c>
      <c r="I137" s="52">
        <v>0</v>
      </c>
      <c r="J137" s="35">
        <f>+G137-H137+I137</f>
        <v>12369976</v>
      </c>
      <c r="K137" s="28">
        <v>0</v>
      </c>
      <c r="L137" s="32">
        <v>0</v>
      </c>
      <c r="M137" s="35">
        <f>+J137+L137</f>
        <v>12369976</v>
      </c>
      <c r="N137" s="28" t="s">
        <v>366</v>
      </c>
      <c r="O137" s="29" t="s">
        <v>367</v>
      </c>
      <c r="P137" s="36">
        <v>44174</v>
      </c>
      <c r="Q137" s="31">
        <v>29090.98</v>
      </c>
      <c r="R137" s="33">
        <f>M137/Q137</f>
        <v>425.21688853383421</v>
      </c>
    </row>
    <row r="138" spans="1:18" s="30" customFormat="1" ht="15" customHeight="1">
      <c r="A138" s="37" t="s">
        <v>52</v>
      </c>
      <c r="B138" s="26" t="s">
        <v>262</v>
      </c>
      <c r="C138" s="39" t="s">
        <v>368</v>
      </c>
      <c r="D138" s="40" t="s">
        <v>369</v>
      </c>
      <c r="E138" s="38" t="s">
        <v>3</v>
      </c>
      <c r="F138" s="38" t="s">
        <v>13</v>
      </c>
      <c r="G138" s="32">
        <v>1180604</v>
      </c>
      <c r="H138" s="32">
        <v>0</v>
      </c>
      <c r="I138" s="32">
        <v>-1996061</v>
      </c>
      <c r="J138" s="35">
        <f>+G138-H138+I138</f>
        <v>-815457</v>
      </c>
      <c r="K138" s="28">
        <v>0</v>
      </c>
      <c r="L138" s="32">
        <v>0</v>
      </c>
      <c r="M138" s="35">
        <f>+J138+L138</f>
        <v>-815457</v>
      </c>
      <c r="N138" s="28" t="s">
        <v>265</v>
      </c>
      <c r="O138" s="29" t="s">
        <v>266</v>
      </c>
      <c r="P138" s="36">
        <v>43846</v>
      </c>
      <c r="Q138" s="31">
        <v>28324.55</v>
      </c>
      <c r="R138" s="33">
        <f>M138/Q138</f>
        <v>-28.789760119754771</v>
      </c>
    </row>
    <row r="139" spans="1:18" s="30" customFormat="1" ht="15" customHeight="1">
      <c r="A139" s="37" t="s">
        <v>52</v>
      </c>
      <c r="B139" s="26" t="s">
        <v>195</v>
      </c>
      <c r="C139" s="65" t="s">
        <v>368</v>
      </c>
      <c r="D139" s="51" t="s">
        <v>370</v>
      </c>
      <c r="E139" s="38" t="s">
        <v>198</v>
      </c>
      <c r="F139" s="38" t="s">
        <v>199</v>
      </c>
      <c r="G139" s="52"/>
      <c r="H139" s="52"/>
      <c r="I139" s="52">
        <v>6270224</v>
      </c>
      <c r="J139" s="53">
        <f>+G139-H139+I139</f>
        <v>6270224</v>
      </c>
      <c r="K139" s="28">
        <v>0</v>
      </c>
      <c r="L139" s="32">
        <v>0</v>
      </c>
      <c r="M139" s="53">
        <f>+J139+L139</f>
        <v>6270224</v>
      </c>
      <c r="N139" s="55" t="s">
        <v>289</v>
      </c>
      <c r="O139" s="29" t="s">
        <v>290</v>
      </c>
      <c r="P139" s="36">
        <v>44764</v>
      </c>
      <c r="Q139" s="49">
        <v>33330.449999999997</v>
      </c>
      <c r="R139" s="33">
        <f>M139/Q139</f>
        <v>188.12299263886328</v>
      </c>
    </row>
    <row r="140" spans="1:18" s="30" customFormat="1" ht="15" customHeight="1">
      <c r="A140" s="37" t="s">
        <v>189</v>
      </c>
      <c r="B140" s="26" t="s">
        <v>190</v>
      </c>
      <c r="C140" s="39" t="s">
        <v>371</v>
      </c>
      <c r="D140" s="40" t="s">
        <v>372</v>
      </c>
      <c r="E140" s="38" t="s">
        <v>3</v>
      </c>
      <c r="F140" s="38" t="s">
        <v>10</v>
      </c>
      <c r="G140" s="32">
        <v>364302011</v>
      </c>
      <c r="H140" s="32">
        <v>166266995</v>
      </c>
      <c r="I140" s="32">
        <v>156015433</v>
      </c>
      <c r="J140" s="35">
        <f>+G140-H140+I140</f>
        <v>354050449</v>
      </c>
      <c r="K140" s="28">
        <v>0</v>
      </c>
      <c r="L140" s="32">
        <v>0</v>
      </c>
      <c r="M140" s="35">
        <f>+J140+L140</f>
        <v>354050449</v>
      </c>
      <c r="N140" s="28" t="s">
        <v>204</v>
      </c>
      <c r="O140" s="29" t="s">
        <v>205</v>
      </c>
      <c r="P140" s="36">
        <v>44335</v>
      </c>
      <c r="Q140" s="31">
        <v>29567.53</v>
      </c>
      <c r="R140" s="33">
        <f>M140/Q140</f>
        <v>11974.299138277698</v>
      </c>
    </row>
    <row r="141" spans="1:18" s="30" customFormat="1" ht="15" customHeight="1">
      <c r="A141" s="37" t="s">
        <v>52</v>
      </c>
      <c r="B141" s="26" t="s">
        <v>262</v>
      </c>
      <c r="C141" s="39" t="s">
        <v>373</v>
      </c>
      <c r="D141" s="40" t="s">
        <v>374</v>
      </c>
      <c r="E141" s="38" t="s">
        <v>3</v>
      </c>
      <c r="F141" s="38" t="s">
        <v>12</v>
      </c>
      <c r="G141" s="32">
        <v>1749167</v>
      </c>
      <c r="H141" s="32">
        <v>17613001</v>
      </c>
      <c r="I141" s="32">
        <v>27844128</v>
      </c>
      <c r="J141" s="35">
        <f>+G141-H141+I141</f>
        <v>11980294</v>
      </c>
      <c r="K141" s="28">
        <v>0</v>
      </c>
      <c r="L141" s="32">
        <v>0</v>
      </c>
      <c r="M141" s="35">
        <f>+J141+L141</f>
        <v>11980294</v>
      </c>
      <c r="N141" s="28" t="s">
        <v>265</v>
      </c>
      <c r="O141" s="29" t="s">
        <v>266</v>
      </c>
      <c r="P141" s="36">
        <v>43846</v>
      </c>
      <c r="Q141" s="31">
        <v>28324.55</v>
      </c>
      <c r="R141" s="33">
        <f>M141/Q141</f>
        <v>422.96502504011539</v>
      </c>
    </row>
    <row r="142" spans="1:18" s="30" customFormat="1" ht="15" customHeight="1">
      <c r="A142" s="37" t="s">
        <v>189</v>
      </c>
      <c r="B142" s="26" t="s">
        <v>225</v>
      </c>
      <c r="C142" s="39" t="s">
        <v>373</v>
      </c>
      <c r="D142" s="40" t="s">
        <v>375</v>
      </c>
      <c r="E142" s="38" t="s">
        <v>3</v>
      </c>
      <c r="F142" s="38" t="s">
        <v>13</v>
      </c>
      <c r="G142" s="32">
        <v>8190076</v>
      </c>
      <c r="H142" s="32">
        <v>4954609</v>
      </c>
      <c r="I142" s="52">
        <v>0</v>
      </c>
      <c r="J142" s="35">
        <f>+G142-H142+I142</f>
        <v>3235467</v>
      </c>
      <c r="K142" s="28">
        <v>0</v>
      </c>
      <c r="L142" s="32">
        <v>0</v>
      </c>
      <c r="M142" s="35">
        <f>+J142+L142</f>
        <v>3235467</v>
      </c>
      <c r="N142" s="28" t="s">
        <v>352</v>
      </c>
      <c r="O142" s="29" t="s">
        <v>353</v>
      </c>
      <c r="P142" s="36">
        <v>44244</v>
      </c>
      <c r="Q142" s="31">
        <v>29207.23</v>
      </c>
      <c r="R142" s="33">
        <f>M142/Q142</f>
        <v>110.77623588406021</v>
      </c>
    </row>
    <row r="143" spans="1:18" s="30" customFormat="1" ht="15" customHeight="1">
      <c r="A143" s="37" t="s">
        <v>52</v>
      </c>
      <c r="B143" s="26" t="s">
        <v>195</v>
      </c>
      <c r="C143" s="65" t="s">
        <v>373</v>
      </c>
      <c r="D143" s="51" t="s">
        <v>376</v>
      </c>
      <c r="E143" s="38" t="s">
        <v>198</v>
      </c>
      <c r="F143" s="38" t="s">
        <v>12</v>
      </c>
      <c r="G143" s="52">
        <v>6029848</v>
      </c>
      <c r="H143" s="52"/>
      <c r="I143" s="52">
        <v>143349453</v>
      </c>
      <c r="J143" s="53">
        <f>+G143-H143+I143</f>
        <v>149379301</v>
      </c>
      <c r="K143" s="28">
        <v>0</v>
      </c>
      <c r="L143" s="32">
        <v>0</v>
      </c>
      <c r="M143" s="53">
        <f>+J143+L143</f>
        <v>149379301</v>
      </c>
      <c r="N143" s="55" t="s">
        <v>289</v>
      </c>
      <c r="O143" s="29" t="s">
        <v>290</v>
      </c>
      <c r="P143" s="36">
        <v>44764</v>
      </c>
      <c r="Q143" s="49">
        <v>33330.449999999997</v>
      </c>
      <c r="R143" s="33">
        <f>M143/Q143</f>
        <v>4481.7667028197939</v>
      </c>
    </row>
    <row r="144" spans="1:18" s="30" customFormat="1" ht="15" customHeight="1">
      <c r="A144" s="37" t="s">
        <v>321</v>
      </c>
      <c r="B144" s="26" t="s">
        <v>322</v>
      </c>
      <c r="C144" s="39">
        <v>1</v>
      </c>
      <c r="D144" s="40" t="s">
        <v>377</v>
      </c>
      <c r="E144" s="38" t="s">
        <v>4</v>
      </c>
      <c r="F144" s="38" t="s">
        <v>11</v>
      </c>
      <c r="G144" s="32">
        <v>0</v>
      </c>
      <c r="H144" s="32">
        <v>243874644</v>
      </c>
      <c r="I144" s="52">
        <v>0</v>
      </c>
      <c r="J144" s="35">
        <f>+G144-H144+I144</f>
        <v>-243874644</v>
      </c>
      <c r="K144" s="27" t="s">
        <v>170</v>
      </c>
      <c r="L144" s="32">
        <v>0</v>
      </c>
      <c r="M144" s="35">
        <f>+J144+L144</f>
        <v>-243874644</v>
      </c>
      <c r="N144" s="28" t="s">
        <v>324</v>
      </c>
      <c r="O144" s="29" t="s">
        <v>325</v>
      </c>
      <c r="P144" s="36">
        <v>44508</v>
      </c>
      <c r="Q144" s="31">
        <v>30474.19</v>
      </c>
      <c r="R144" s="33">
        <v>-8003</v>
      </c>
    </row>
    <row r="145" spans="1:18" s="30" customFormat="1" ht="15" customHeight="1">
      <c r="A145" s="37" t="s">
        <v>189</v>
      </c>
      <c r="B145" s="26" t="s">
        <v>190</v>
      </c>
      <c r="C145" s="39" t="s">
        <v>378</v>
      </c>
      <c r="D145" s="40" t="s">
        <v>379</v>
      </c>
      <c r="E145" s="38" t="s">
        <v>3</v>
      </c>
      <c r="F145" s="38" t="s">
        <v>15</v>
      </c>
      <c r="G145" s="32">
        <v>1097496458</v>
      </c>
      <c r="H145" s="32">
        <v>881268862</v>
      </c>
      <c r="I145" s="52">
        <v>0</v>
      </c>
      <c r="J145" s="35">
        <f>+G145-H145+I145</f>
        <v>216227596</v>
      </c>
      <c r="K145" s="28">
        <v>0</v>
      </c>
      <c r="L145" s="32">
        <v>0</v>
      </c>
      <c r="M145" s="35">
        <f>+J145+L145</f>
        <v>216227596</v>
      </c>
      <c r="N145" s="28" t="s">
        <v>204</v>
      </c>
      <c r="O145" s="29" t="s">
        <v>205</v>
      </c>
      <c r="P145" s="36">
        <v>44335</v>
      </c>
      <c r="Q145" s="31">
        <v>29567.53</v>
      </c>
      <c r="R145" s="33">
        <f>M145/Q145</f>
        <v>7313.0084251203943</v>
      </c>
    </row>
    <row r="146" spans="1:18" s="30" customFormat="1" ht="15" customHeight="1">
      <c r="A146" s="37" t="s">
        <v>189</v>
      </c>
      <c r="B146" s="26" t="s">
        <v>225</v>
      </c>
      <c r="C146" s="39" t="s">
        <v>380</v>
      </c>
      <c r="D146" s="40" t="s">
        <v>381</v>
      </c>
      <c r="E146" s="38" t="s">
        <v>3</v>
      </c>
      <c r="F146" s="38" t="s">
        <v>11</v>
      </c>
      <c r="G146" s="32">
        <v>348094</v>
      </c>
      <c r="H146" s="32">
        <v>0</v>
      </c>
      <c r="I146" s="32">
        <v>163934</v>
      </c>
      <c r="J146" s="35">
        <f>+G146-H146+I146</f>
        <v>512028</v>
      </c>
      <c r="K146" s="28">
        <v>0</v>
      </c>
      <c r="L146" s="32">
        <v>0</v>
      </c>
      <c r="M146" s="35">
        <f>+J146+L146</f>
        <v>512028</v>
      </c>
      <c r="N146" s="28" t="s">
        <v>352</v>
      </c>
      <c r="O146" s="29" t="s">
        <v>353</v>
      </c>
      <c r="P146" s="36">
        <v>44244</v>
      </c>
      <c r="Q146" s="31">
        <v>29207.23</v>
      </c>
      <c r="R146" s="33">
        <f>M146/Q146</f>
        <v>17.530864789300459</v>
      </c>
    </row>
    <row r="147" spans="1:18" s="30" customFormat="1" ht="15" customHeight="1">
      <c r="A147" s="37" t="s">
        <v>52</v>
      </c>
      <c r="B147" s="26" t="s">
        <v>262</v>
      </c>
      <c r="C147" s="39" t="s">
        <v>382</v>
      </c>
      <c r="D147" s="40" t="s">
        <v>383</v>
      </c>
      <c r="E147" s="38" t="s">
        <v>4</v>
      </c>
      <c r="F147" s="38" t="s">
        <v>15</v>
      </c>
      <c r="G147" s="32">
        <v>101256</v>
      </c>
      <c r="H147" s="32">
        <v>0</v>
      </c>
      <c r="I147" s="32">
        <v>1640949</v>
      </c>
      <c r="J147" s="35">
        <f>+G147-H147+I147</f>
        <v>1742205</v>
      </c>
      <c r="K147" s="28">
        <v>0</v>
      </c>
      <c r="L147" s="32">
        <v>0</v>
      </c>
      <c r="M147" s="35">
        <f>+J147+L147</f>
        <v>1742205</v>
      </c>
      <c r="N147" s="28" t="s">
        <v>265</v>
      </c>
      <c r="O147" s="29" t="s">
        <v>266</v>
      </c>
      <c r="P147" s="36">
        <v>43846</v>
      </c>
      <c r="Q147" s="31">
        <v>28324.55</v>
      </c>
      <c r="R147" s="33">
        <f>M147/Q147</f>
        <v>61.508655918628897</v>
      </c>
    </row>
    <row r="148" spans="1:18" s="30" customFormat="1" ht="15" customHeight="1">
      <c r="A148" s="37" t="s">
        <v>52</v>
      </c>
      <c r="B148" s="26" t="s">
        <v>195</v>
      </c>
      <c r="C148" s="65" t="s">
        <v>382</v>
      </c>
      <c r="D148" s="51" t="s">
        <v>384</v>
      </c>
      <c r="E148" s="38" t="s">
        <v>3</v>
      </c>
      <c r="F148" s="38" t="s">
        <v>13</v>
      </c>
      <c r="G148" s="52">
        <v>0</v>
      </c>
      <c r="H148" s="52">
        <v>0</v>
      </c>
      <c r="I148" s="52">
        <v>118256730</v>
      </c>
      <c r="J148" s="53">
        <f>+G148-H148+I148</f>
        <v>118256730</v>
      </c>
      <c r="K148" s="28">
        <v>0</v>
      </c>
      <c r="L148" s="32">
        <v>0</v>
      </c>
      <c r="M148" s="53">
        <f>+J148+L148</f>
        <v>118256730</v>
      </c>
      <c r="N148" s="55" t="s">
        <v>385</v>
      </c>
      <c r="O148" s="29" t="s">
        <v>386</v>
      </c>
      <c r="P148" s="36">
        <v>44727</v>
      </c>
      <c r="Q148" s="49">
        <v>33086.83</v>
      </c>
      <c r="R148" s="33">
        <f>M148/Q148</f>
        <v>3574.1329707318591</v>
      </c>
    </row>
    <row r="149" spans="1:18" s="30" customFormat="1" ht="15" customHeight="1">
      <c r="A149" s="46" t="s">
        <v>189</v>
      </c>
      <c r="B149" s="26" t="s">
        <v>190</v>
      </c>
      <c r="C149" s="65" t="s">
        <v>387</v>
      </c>
      <c r="D149" s="51" t="s">
        <v>388</v>
      </c>
      <c r="E149" s="38" t="s">
        <v>3</v>
      </c>
      <c r="F149" s="38" t="s">
        <v>17</v>
      </c>
      <c r="G149" s="52">
        <v>36766284</v>
      </c>
      <c r="H149" s="52">
        <v>0</v>
      </c>
      <c r="I149" s="52">
        <v>0</v>
      </c>
      <c r="J149" s="53">
        <f>+G149-H149+I149</f>
        <v>36766284</v>
      </c>
      <c r="K149" s="70">
        <v>0</v>
      </c>
      <c r="L149" s="52">
        <v>0</v>
      </c>
      <c r="M149" s="53">
        <f>+J149+L149</f>
        <v>36766284</v>
      </c>
      <c r="N149" s="55" t="s">
        <v>389</v>
      </c>
      <c r="O149" s="56" t="s">
        <v>390</v>
      </c>
      <c r="P149" s="56">
        <v>44734</v>
      </c>
      <c r="Q149" s="49">
        <v>32981.75</v>
      </c>
      <c r="R149" s="57">
        <f>M149/Q149</f>
        <v>1114.7463066695975</v>
      </c>
    </row>
    <row r="150" spans="1:18" s="30" customFormat="1" ht="15" customHeight="1">
      <c r="A150" s="37" t="s">
        <v>391</v>
      </c>
      <c r="B150" s="26" t="s">
        <v>392</v>
      </c>
      <c r="C150" s="39">
        <v>164</v>
      </c>
      <c r="D150" s="40" t="s">
        <v>393</v>
      </c>
      <c r="E150" s="38" t="s">
        <v>3</v>
      </c>
      <c r="F150" s="38" t="s">
        <v>10</v>
      </c>
      <c r="G150" s="32">
        <v>0</v>
      </c>
      <c r="H150" s="32">
        <v>1347540998</v>
      </c>
      <c r="I150" s="52">
        <v>0</v>
      </c>
      <c r="J150" s="35">
        <f>+G150-H150+I150</f>
        <v>-1347540998</v>
      </c>
      <c r="K150" s="27"/>
      <c r="L150" s="32">
        <v>0</v>
      </c>
      <c r="M150" s="35">
        <f>+J150+L150</f>
        <v>-1347540998</v>
      </c>
      <c r="N150" s="28" t="s">
        <v>394</v>
      </c>
      <c r="O150" s="29" t="s">
        <v>395</v>
      </c>
      <c r="P150" s="36">
        <v>44293</v>
      </c>
      <c r="Q150" s="31">
        <v>29408.04</v>
      </c>
      <c r="R150" s="33">
        <f>M150/Q150</f>
        <v>-45822.196855009715</v>
      </c>
    </row>
    <row r="151" spans="1:18" s="30" customFormat="1" ht="15" customHeight="1">
      <c r="A151" s="46" t="s">
        <v>189</v>
      </c>
      <c r="B151" s="26" t="s">
        <v>190</v>
      </c>
      <c r="C151" s="65" t="s">
        <v>396</v>
      </c>
      <c r="D151" s="51" t="s">
        <v>397</v>
      </c>
      <c r="E151" s="38" t="s">
        <v>3</v>
      </c>
      <c r="F151" s="38" t="s">
        <v>15</v>
      </c>
      <c r="G151" s="52">
        <v>29129774</v>
      </c>
      <c r="H151" s="52"/>
      <c r="I151" s="52">
        <v>344325</v>
      </c>
      <c r="J151" s="53">
        <f>+G151-H151+I151</f>
        <v>29474099</v>
      </c>
      <c r="K151" s="70">
        <v>0</v>
      </c>
      <c r="L151" s="52">
        <v>0</v>
      </c>
      <c r="M151" s="53">
        <f>+J151+L151</f>
        <v>29474099</v>
      </c>
      <c r="N151" s="55" t="s">
        <v>218</v>
      </c>
      <c r="O151" s="56" t="s">
        <v>219</v>
      </c>
      <c r="P151" s="56">
        <v>44531</v>
      </c>
      <c r="Q151" s="49">
        <v>30776.05</v>
      </c>
      <c r="R151" s="57">
        <f>M151/Q151</f>
        <v>957.69596813106295</v>
      </c>
    </row>
    <row r="152" spans="1:18" s="30" customFormat="1" ht="15" customHeight="1">
      <c r="A152" s="37" t="s">
        <v>52</v>
      </c>
      <c r="B152" s="26" t="s">
        <v>262</v>
      </c>
      <c r="C152" s="39" t="s">
        <v>398</v>
      </c>
      <c r="D152" s="40" t="s">
        <v>399</v>
      </c>
      <c r="E152" s="38" t="s">
        <v>3</v>
      </c>
      <c r="F152" s="38" t="s">
        <v>15</v>
      </c>
      <c r="G152" s="32">
        <v>0</v>
      </c>
      <c r="H152" s="32">
        <v>17191741</v>
      </c>
      <c r="I152" s="52">
        <v>0</v>
      </c>
      <c r="J152" s="35">
        <f>+G152-H152+I152</f>
        <v>-17191741</v>
      </c>
      <c r="K152" s="28">
        <v>0</v>
      </c>
      <c r="L152" s="32">
        <v>0</v>
      </c>
      <c r="M152" s="35">
        <f>+J152+L152</f>
        <v>-17191741</v>
      </c>
      <c r="N152" s="28" t="s">
        <v>265</v>
      </c>
      <c r="O152" s="29" t="s">
        <v>266</v>
      </c>
      <c r="P152" s="36">
        <v>43846</v>
      </c>
      <c r="Q152" s="31">
        <v>28324.55</v>
      </c>
      <c r="R152" s="33">
        <f>M152/Q152</f>
        <v>-606.95548561230453</v>
      </c>
    </row>
    <row r="153" spans="1:18" s="30" customFormat="1" ht="15" customHeight="1">
      <c r="A153" s="37" t="s">
        <v>293</v>
      </c>
      <c r="B153" s="26" t="s">
        <v>294</v>
      </c>
      <c r="C153" s="39">
        <v>612</v>
      </c>
      <c r="D153" s="40" t="s">
        <v>400</v>
      </c>
      <c r="E153" s="38" t="s">
        <v>198</v>
      </c>
      <c r="F153" s="38" t="s">
        <v>296</v>
      </c>
      <c r="G153" s="32">
        <v>0</v>
      </c>
      <c r="H153" s="32">
        <v>0</v>
      </c>
      <c r="I153" s="32">
        <v>29726</v>
      </c>
      <c r="J153" s="35">
        <f>+G153-H153+I153</f>
        <v>29726</v>
      </c>
      <c r="K153" s="27" t="s">
        <v>401</v>
      </c>
      <c r="L153" s="32">
        <v>0</v>
      </c>
      <c r="M153" s="35">
        <f>+J153+L153</f>
        <v>29726</v>
      </c>
      <c r="N153" s="55" t="s">
        <v>402</v>
      </c>
      <c r="O153" s="56" t="s">
        <v>403</v>
      </c>
      <c r="P153" s="56">
        <v>44524</v>
      </c>
      <c r="Q153" s="49">
        <v>30683.439999999999</v>
      </c>
      <c r="R153" s="57">
        <f>+M153/Q153</f>
        <v>0.96879619755803137</v>
      </c>
    </row>
    <row r="154" spans="1:18" s="30" customFormat="1" ht="15" customHeight="1">
      <c r="A154" s="37" t="s">
        <v>189</v>
      </c>
      <c r="B154" s="26" t="s">
        <v>225</v>
      </c>
      <c r="C154" s="39" t="s">
        <v>398</v>
      </c>
      <c r="D154" s="40" t="s">
        <v>404</v>
      </c>
      <c r="E154" s="38" t="s">
        <v>198</v>
      </c>
      <c r="F154" s="38" t="s">
        <v>14</v>
      </c>
      <c r="G154" s="32">
        <v>879924</v>
      </c>
      <c r="H154" s="32">
        <v>0</v>
      </c>
      <c r="I154" s="52">
        <v>0</v>
      </c>
      <c r="J154" s="35">
        <f>+G154-H154+I154</f>
        <v>879924</v>
      </c>
      <c r="K154" s="28">
        <v>0</v>
      </c>
      <c r="L154" s="32">
        <v>0</v>
      </c>
      <c r="M154" s="35">
        <f>+J154+L154</f>
        <v>879924</v>
      </c>
      <c r="N154" s="28" t="s">
        <v>228</v>
      </c>
      <c r="O154" s="29" t="s">
        <v>229</v>
      </c>
      <c r="P154" s="36">
        <v>44280</v>
      </c>
      <c r="Q154" s="31">
        <v>29383.41</v>
      </c>
      <c r="R154" s="33">
        <f>M154/Q154</f>
        <v>29.946286016497066</v>
      </c>
    </row>
    <row r="155" spans="1:18" s="30" customFormat="1" ht="15" customHeight="1">
      <c r="A155" s="37" t="s">
        <v>52</v>
      </c>
      <c r="B155" s="26" t="s">
        <v>195</v>
      </c>
      <c r="C155" s="65" t="s">
        <v>398</v>
      </c>
      <c r="D155" s="51" t="s">
        <v>405</v>
      </c>
      <c r="E155" s="38" t="s">
        <v>3</v>
      </c>
      <c r="F155" s="38" t="s">
        <v>13</v>
      </c>
      <c r="G155" s="52"/>
      <c r="H155" s="52"/>
      <c r="I155" s="52">
        <v>14357820</v>
      </c>
      <c r="J155" s="53">
        <f>+G155-H155+I155</f>
        <v>14357820</v>
      </c>
      <c r="K155" s="28">
        <v>0</v>
      </c>
      <c r="L155" s="32">
        <v>0</v>
      </c>
      <c r="M155" s="53">
        <f>+J155+L155</f>
        <v>14357820</v>
      </c>
      <c r="N155" s="55" t="s">
        <v>289</v>
      </c>
      <c r="O155" s="29" t="s">
        <v>290</v>
      </c>
      <c r="P155" s="36">
        <v>44764</v>
      </c>
      <c r="Q155" s="49">
        <v>33330.449999999997</v>
      </c>
      <c r="R155" s="33">
        <f>M155/Q155</f>
        <v>430.77186176604278</v>
      </c>
    </row>
    <row r="156" spans="1:18" s="30" customFormat="1" ht="15" customHeight="1">
      <c r="A156" s="37" t="s">
        <v>52</v>
      </c>
      <c r="B156" s="26" t="s">
        <v>262</v>
      </c>
      <c r="C156" s="39" t="s">
        <v>406</v>
      </c>
      <c r="D156" s="40" t="s">
        <v>407</v>
      </c>
      <c r="E156" s="38" t="s">
        <v>3</v>
      </c>
      <c r="F156" s="38" t="s">
        <v>11</v>
      </c>
      <c r="G156" s="32">
        <v>582340</v>
      </c>
      <c r="H156" s="32">
        <v>0</v>
      </c>
      <c r="I156" s="32">
        <v>5391299</v>
      </c>
      <c r="J156" s="35">
        <f>+G156-H156+I156</f>
        <v>5973639</v>
      </c>
      <c r="K156" s="28">
        <v>0</v>
      </c>
      <c r="L156" s="32">
        <v>0</v>
      </c>
      <c r="M156" s="35">
        <f>+J156+L156</f>
        <v>5973639</v>
      </c>
      <c r="N156" s="28" t="s">
        <v>265</v>
      </c>
      <c r="O156" s="29" t="s">
        <v>266</v>
      </c>
      <c r="P156" s="36">
        <v>43846</v>
      </c>
      <c r="Q156" s="31">
        <v>28324.55</v>
      </c>
      <c r="R156" s="33">
        <f>M156/Q156</f>
        <v>210.89969655299026</v>
      </c>
    </row>
    <row r="157" spans="1:18" s="30" customFormat="1" ht="15" customHeight="1">
      <c r="A157" s="37" t="s">
        <v>189</v>
      </c>
      <c r="B157" s="26" t="s">
        <v>190</v>
      </c>
      <c r="C157" s="39" t="s">
        <v>406</v>
      </c>
      <c r="D157" s="40" t="s">
        <v>408</v>
      </c>
      <c r="E157" s="38" t="s">
        <v>3</v>
      </c>
      <c r="F157" s="38" t="s">
        <v>10</v>
      </c>
      <c r="G157" s="32">
        <v>8032839</v>
      </c>
      <c r="H157" s="32">
        <v>7794786</v>
      </c>
      <c r="I157" s="32">
        <v>10236573</v>
      </c>
      <c r="J157" s="35">
        <f>+G157-H157+I157</f>
        <v>10474626</v>
      </c>
      <c r="K157" s="28">
        <v>0</v>
      </c>
      <c r="L157" s="32">
        <v>0</v>
      </c>
      <c r="M157" s="35">
        <f>+J157+L157</f>
        <v>10474626</v>
      </c>
      <c r="N157" s="28" t="s">
        <v>193</v>
      </c>
      <c r="O157" s="29" t="s">
        <v>194</v>
      </c>
      <c r="P157" s="36">
        <v>44383</v>
      </c>
      <c r="Q157" s="31">
        <v>29981.279999999999</v>
      </c>
      <c r="R157" s="33">
        <f>M157/Q157</f>
        <v>349.37220825795299</v>
      </c>
    </row>
    <row r="158" spans="1:18" s="30" customFormat="1" ht="15" customHeight="1">
      <c r="A158" s="37" t="s">
        <v>189</v>
      </c>
      <c r="B158" s="26" t="s">
        <v>225</v>
      </c>
      <c r="C158" s="39" t="s">
        <v>406</v>
      </c>
      <c r="D158" s="40" t="s">
        <v>409</v>
      </c>
      <c r="E158" s="38" t="s">
        <v>3</v>
      </c>
      <c r="F158" s="38" t="s">
        <v>10</v>
      </c>
      <c r="G158" s="32">
        <v>301446</v>
      </c>
      <c r="H158" s="32">
        <v>0</v>
      </c>
      <c r="I158" s="32">
        <v>192314</v>
      </c>
      <c r="J158" s="35">
        <f>+G158-H158+I158</f>
        <v>493760</v>
      </c>
      <c r="K158" s="28">
        <v>0</v>
      </c>
      <c r="L158" s="32">
        <v>0</v>
      </c>
      <c r="M158" s="35">
        <f>+J158+L158</f>
        <v>493760</v>
      </c>
      <c r="N158" s="28" t="s">
        <v>366</v>
      </c>
      <c r="O158" s="29" t="s">
        <v>367</v>
      </c>
      <c r="P158" s="36">
        <v>44174</v>
      </c>
      <c r="Q158" s="31">
        <v>29090.98</v>
      </c>
      <c r="R158" s="33">
        <f>M158/Q158</f>
        <v>16.972958628413345</v>
      </c>
    </row>
    <row r="159" spans="1:18" s="30" customFormat="1" ht="15" customHeight="1">
      <c r="A159" s="37" t="s">
        <v>52</v>
      </c>
      <c r="B159" s="26" t="s">
        <v>195</v>
      </c>
      <c r="C159" s="65" t="s">
        <v>406</v>
      </c>
      <c r="D159" s="51" t="s">
        <v>410</v>
      </c>
      <c r="E159" s="38" t="s">
        <v>3</v>
      </c>
      <c r="F159" s="38" t="s">
        <v>13</v>
      </c>
      <c r="G159" s="52">
        <v>18653</v>
      </c>
      <c r="H159" s="52"/>
      <c r="I159" s="52">
        <v>33562521</v>
      </c>
      <c r="J159" s="53">
        <f>+G159-H159+I159</f>
        <v>33581174</v>
      </c>
      <c r="K159" s="28">
        <v>0</v>
      </c>
      <c r="L159" s="32">
        <v>0</v>
      </c>
      <c r="M159" s="53">
        <f>+J159+L159</f>
        <v>33581174</v>
      </c>
      <c r="N159" s="55" t="s">
        <v>289</v>
      </c>
      <c r="O159" s="29" t="s">
        <v>290</v>
      </c>
      <c r="P159" s="36">
        <v>44764</v>
      </c>
      <c r="Q159" s="49">
        <v>33330.449999999997</v>
      </c>
      <c r="R159" s="33">
        <f>M159/Q159</f>
        <v>1007.5223706850644</v>
      </c>
    </row>
    <row r="160" spans="1:18" s="30" customFormat="1" ht="15" customHeight="1">
      <c r="A160" s="37" t="s">
        <v>52</v>
      </c>
      <c r="B160" s="26" t="s">
        <v>262</v>
      </c>
      <c r="C160" s="39" t="s">
        <v>411</v>
      </c>
      <c r="D160" s="40" t="s">
        <v>412</v>
      </c>
      <c r="E160" s="38" t="s">
        <v>3</v>
      </c>
      <c r="F160" s="38" t="s">
        <v>16</v>
      </c>
      <c r="G160" s="32">
        <v>0</v>
      </c>
      <c r="H160" s="32">
        <v>17819457</v>
      </c>
      <c r="I160" s="52">
        <v>0</v>
      </c>
      <c r="J160" s="35">
        <f>+G160-H160+I160</f>
        <v>-17819457</v>
      </c>
      <c r="K160" s="28">
        <v>0</v>
      </c>
      <c r="L160" s="32">
        <v>0</v>
      </c>
      <c r="M160" s="35">
        <f>+J160+L160</f>
        <v>-17819457</v>
      </c>
      <c r="N160" s="28" t="s">
        <v>265</v>
      </c>
      <c r="O160" s="29" t="s">
        <v>266</v>
      </c>
      <c r="P160" s="36">
        <v>43846</v>
      </c>
      <c r="Q160" s="31">
        <v>28324.55</v>
      </c>
      <c r="R160" s="33">
        <f>M160/Q160</f>
        <v>-629.11703804650028</v>
      </c>
    </row>
    <row r="161" spans="1:18" s="30" customFormat="1" ht="15" customHeight="1">
      <c r="A161" s="46" t="s">
        <v>189</v>
      </c>
      <c r="B161" s="26" t="s">
        <v>190</v>
      </c>
      <c r="C161" s="65" t="s">
        <v>411</v>
      </c>
      <c r="D161" s="51" t="s">
        <v>413</v>
      </c>
      <c r="E161" s="38" t="s">
        <v>3</v>
      </c>
      <c r="F161" s="48" t="s">
        <v>10</v>
      </c>
      <c r="G161" s="52">
        <v>17786471</v>
      </c>
      <c r="H161" s="52">
        <v>12317565</v>
      </c>
      <c r="I161" s="52">
        <v>6409519</v>
      </c>
      <c r="J161" s="53">
        <f>+G161-H161+I161</f>
        <v>11878425</v>
      </c>
      <c r="K161" s="70">
        <v>0</v>
      </c>
      <c r="L161" s="52">
        <v>0</v>
      </c>
      <c r="M161" s="53">
        <f>+J161+L161</f>
        <v>11878425</v>
      </c>
      <c r="N161" s="55" t="s">
        <v>218</v>
      </c>
      <c r="O161" s="56" t="s">
        <v>219</v>
      </c>
      <c r="P161" s="56">
        <v>44531</v>
      </c>
      <c r="Q161" s="49">
        <v>30776.05</v>
      </c>
      <c r="R161" s="57">
        <f>M161/Q161</f>
        <v>385.96327338953506</v>
      </c>
    </row>
    <row r="162" spans="1:18" s="30" customFormat="1" ht="15" customHeight="1">
      <c r="A162" s="37" t="s">
        <v>189</v>
      </c>
      <c r="B162" s="26" t="s">
        <v>225</v>
      </c>
      <c r="C162" s="39" t="s">
        <v>411</v>
      </c>
      <c r="D162" s="40" t="s">
        <v>414</v>
      </c>
      <c r="E162" s="38" t="s">
        <v>4</v>
      </c>
      <c r="F162" s="38" t="s">
        <v>11</v>
      </c>
      <c r="G162" s="32">
        <v>697439</v>
      </c>
      <c r="H162" s="32">
        <v>331191</v>
      </c>
      <c r="I162" s="32">
        <v>4049665</v>
      </c>
      <c r="J162" s="35">
        <f>+G162-H162+I162</f>
        <v>4415913</v>
      </c>
      <c r="K162" s="28">
        <v>0</v>
      </c>
      <c r="L162" s="32">
        <v>0</v>
      </c>
      <c r="M162" s="35">
        <f>+J162+L162</f>
        <v>4415913</v>
      </c>
      <c r="N162" s="28" t="s">
        <v>228</v>
      </c>
      <c r="O162" s="29" t="s">
        <v>415</v>
      </c>
      <c r="P162" s="36">
        <v>44280</v>
      </c>
      <c r="Q162" s="31">
        <v>29390.98</v>
      </c>
      <c r="R162" s="33">
        <f>M162/Q162</f>
        <v>150.2472187045141</v>
      </c>
    </row>
    <row r="163" spans="1:18" s="30" customFormat="1" ht="15" customHeight="1">
      <c r="A163" s="37" t="s">
        <v>52</v>
      </c>
      <c r="B163" s="26" t="s">
        <v>195</v>
      </c>
      <c r="C163" s="65" t="s">
        <v>411</v>
      </c>
      <c r="D163" s="51" t="s">
        <v>416</v>
      </c>
      <c r="E163" s="38" t="s">
        <v>3</v>
      </c>
      <c r="F163" s="38" t="s">
        <v>13</v>
      </c>
      <c r="G163" s="52">
        <v>22575117</v>
      </c>
      <c r="H163" s="52"/>
      <c r="I163" s="52">
        <v>39640150</v>
      </c>
      <c r="J163" s="53">
        <f>+G163-H163+I163</f>
        <v>62215267</v>
      </c>
      <c r="K163" s="28">
        <v>0</v>
      </c>
      <c r="L163" s="32">
        <v>0</v>
      </c>
      <c r="M163" s="53">
        <f>+J163+L163</f>
        <v>62215267</v>
      </c>
      <c r="N163" s="55" t="s">
        <v>289</v>
      </c>
      <c r="O163" s="29" t="s">
        <v>290</v>
      </c>
      <c r="P163" s="36">
        <v>44764</v>
      </c>
      <c r="Q163" s="49">
        <v>33330.449999999997</v>
      </c>
      <c r="R163" s="33">
        <f>M163/Q163</f>
        <v>1866.6194725843786</v>
      </c>
    </row>
    <row r="164" spans="1:18" s="30" customFormat="1" ht="15" customHeight="1">
      <c r="A164" s="37" t="s">
        <v>189</v>
      </c>
      <c r="B164" s="26" t="s">
        <v>225</v>
      </c>
      <c r="C164" s="39" t="s">
        <v>417</v>
      </c>
      <c r="D164" s="40" t="s">
        <v>418</v>
      </c>
      <c r="E164" s="38" t="s">
        <v>3</v>
      </c>
      <c r="F164" s="38" t="s">
        <v>10</v>
      </c>
      <c r="G164" s="32">
        <v>61892530.5</v>
      </c>
      <c r="H164" s="32">
        <v>15001067.999</v>
      </c>
      <c r="I164" s="52">
        <v>0</v>
      </c>
      <c r="J164" s="35">
        <f>+G164-H164+I164</f>
        <v>46891462.501000002</v>
      </c>
      <c r="K164" s="28">
        <v>0</v>
      </c>
      <c r="L164" s="32">
        <v>0</v>
      </c>
      <c r="M164" s="35">
        <f>+J164+L164</f>
        <v>46891462.501000002</v>
      </c>
      <c r="N164" s="28" t="s">
        <v>247</v>
      </c>
      <c r="O164" s="29" t="s">
        <v>248</v>
      </c>
      <c r="P164" s="36">
        <v>44257</v>
      </c>
      <c r="Q164" s="31">
        <v>29301.98</v>
      </c>
      <c r="R164" s="33">
        <f>M164/Q164</f>
        <v>1600.2830696423928</v>
      </c>
    </row>
    <row r="165" spans="1:18" s="30" customFormat="1" ht="15" customHeight="1">
      <c r="A165" s="37" t="s">
        <v>52</v>
      </c>
      <c r="B165" s="26" t="s">
        <v>262</v>
      </c>
      <c r="C165" s="39" t="s">
        <v>419</v>
      </c>
      <c r="D165" s="40" t="s">
        <v>420</v>
      </c>
      <c r="E165" s="38" t="s">
        <v>3</v>
      </c>
      <c r="F165" s="38" t="s">
        <v>11</v>
      </c>
      <c r="G165" s="32">
        <v>794392</v>
      </c>
      <c r="H165" s="32">
        <v>0</v>
      </c>
      <c r="I165" s="32">
        <v>37872117</v>
      </c>
      <c r="J165" s="35">
        <f>+G165-H165+I165</f>
        <v>38666509</v>
      </c>
      <c r="K165" s="28">
        <v>0</v>
      </c>
      <c r="L165" s="32">
        <v>0</v>
      </c>
      <c r="M165" s="35">
        <f>+J165+L165</f>
        <v>38666509</v>
      </c>
      <c r="N165" s="28" t="s">
        <v>265</v>
      </c>
      <c r="O165" s="29" t="s">
        <v>266</v>
      </c>
      <c r="P165" s="36">
        <v>43846</v>
      </c>
      <c r="Q165" s="31">
        <v>28324.55</v>
      </c>
      <c r="R165" s="33">
        <f>M165/Q165</f>
        <v>1365.1235059338983</v>
      </c>
    </row>
    <row r="166" spans="1:18" s="30" customFormat="1" ht="15" customHeight="1">
      <c r="A166" s="37" t="s">
        <v>52</v>
      </c>
      <c r="B166" s="26" t="s">
        <v>195</v>
      </c>
      <c r="C166" s="65" t="s">
        <v>419</v>
      </c>
      <c r="D166" s="51" t="s">
        <v>421</v>
      </c>
      <c r="E166" s="38" t="s">
        <v>4</v>
      </c>
      <c r="F166" s="38" t="s">
        <v>15</v>
      </c>
      <c r="G166" s="52"/>
      <c r="H166" s="52"/>
      <c r="I166" s="52">
        <v>63976421</v>
      </c>
      <c r="J166" s="53">
        <f>+G166-H166+I166</f>
        <v>63976421</v>
      </c>
      <c r="K166" s="28">
        <v>0</v>
      </c>
      <c r="L166" s="32">
        <v>0</v>
      </c>
      <c r="M166" s="53">
        <f>+J166+L166</f>
        <v>63976421</v>
      </c>
      <c r="N166" s="55" t="s">
        <v>289</v>
      </c>
      <c r="O166" s="29" t="s">
        <v>290</v>
      </c>
      <c r="P166" s="36">
        <v>44764</v>
      </c>
      <c r="Q166" s="49">
        <v>33330.449999999997</v>
      </c>
      <c r="R166" s="33">
        <f>M166/Q166</f>
        <v>1919.4586631743648</v>
      </c>
    </row>
    <row r="167" spans="1:18" s="30" customFormat="1" ht="15" customHeight="1">
      <c r="A167" s="37" t="s">
        <v>52</v>
      </c>
      <c r="B167" s="26" t="s">
        <v>262</v>
      </c>
      <c r="C167" s="39" t="s">
        <v>422</v>
      </c>
      <c r="D167" s="40" t="s">
        <v>423</v>
      </c>
      <c r="E167" s="38" t="s">
        <v>3</v>
      </c>
      <c r="F167" s="38" t="s">
        <v>13</v>
      </c>
      <c r="G167" s="32">
        <v>581458</v>
      </c>
      <c r="H167" s="32">
        <v>0</v>
      </c>
      <c r="I167" s="32">
        <v>1677525</v>
      </c>
      <c r="J167" s="35">
        <f>+G167-H167+I167</f>
        <v>2258983</v>
      </c>
      <c r="K167" s="28">
        <v>0</v>
      </c>
      <c r="L167" s="32">
        <v>0</v>
      </c>
      <c r="M167" s="35">
        <f>+J167+L167</f>
        <v>2258983</v>
      </c>
      <c r="N167" s="28" t="s">
        <v>265</v>
      </c>
      <c r="O167" s="29" t="s">
        <v>266</v>
      </c>
      <c r="P167" s="36">
        <v>43846</v>
      </c>
      <c r="Q167" s="31">
        <v>28324.55</v>
      </c>
      <c r="R167" s="33">
        <f>M167/Q167</f>
        <v>79.753535360667698</v>
      </c>
    </row>
    <row r="168" spans="1:18" s="30" customFormat="1" ht="15" customHeight="1">
      <c r="A168" s="37" t="s">
        <v>52</v>
      </c>
      <c r="B168" s="26" t="s">
        <v>195</v>
      </c>
      <c r="C168" s="65" t="s">
        <v>422</v>
      </c>
      <c r="D168" s="51" t="s">
        <v>424</v>
      </c>
      <c r="E168" s="38" t="s">
        <v>4</v>
      </c>
      <c r="F168" s="38" t="s">
        <v>199</v>
      </c>
      <c r="G168" s="52"/>
      <c r="H168" s="52">
        <v>3085918</v>
      </c>
      <c r="I168" s="52">
        <v>9936877</v>
      </c>
      <c r="J168" s="53">
        <f>+G168-H168+I168</f>
        <v>6850959</v>
      </c>
      <c r="K168" s="28">
        <v>0</v>
      </c>
      <c r="L168" s="32">
        <v>0</v>
      </c>
      <c r="M168" s="53">
        <f>+J168+L168</f>
        <v>6850959</v>
      </c>
      <c r="N168" s="55" t="s">
        <v>289</v>
      </c>
      <c r="O168" s="29" t="s">
        <v>290</v>
      </c>
      <c r="P168" s="36">
        <v>44764</v>
      </c>
      <c r="Q168" s="49">
        <v>33330.449999999997</v>
      </c>
      <c r="R168" s="33">
        <f>M168/Q168</f>
        <v>205.54654977655568</v>
      </c>
    </row>
    <row r="169" spans="1:18" s="30" customFormat="1" ht="15" customHeight="1">
      <c r="A169" s="37" t="s">
        <v>189</v>
      </c>
      <c r="B169" s="26" t="s">
        <v>225</v>
      </c>
      <c r="C169" s="39" t="s">
        <v>425</v>
      </c>
      <c r="D169" s="40" t="s">
        <v>426</v>
      </c>
      <c r="E169" s="38" t="s">
        <v>3</v>
      </c>
      <c r="F169" s="38" t="s">
        <v>12</v>
      </c>
      <c r="G169" s="32">
        <v>6086913</v>
      </c>
      <c r="H169" s="32">
        <v>1362106</v>
      </c>
      <c r="I169" s="52">
        <v>0</v>
      </c>
      <c r="J169" s="35">
        <f>+G169-H169+I169</f>
        <v>4724807</v>
      </c>
      <c r="K169" s="28">
        <v>0</v>
      </c>
      <c r="L169" s="32">
        <v>0</v>
      </c>
      <c r="M169" s="35">
        <f>+J169+L169</f>
        <v>4724807</v>
      </c>
      <c r="N169" s="28" t="s">
        <v>228</v>
      </c>
      <c r="O169" s="29" t="s">
        <v>229</v>
      </c>
      <c r="P169" s="36">
        <v>44280</v>
      </c>
      <c r="Q169" s="31">
        <v>29383.41</v>
      </c>
      <c r="R169" s="33">
        <f>M169/Q169</f>
        <v>160.79845736080327</v>
      </c>
    </row>
    <row r="170" spans="1:18" s="30" customFormat="1" ht="15" customHeight="1">
      <c r="A170" s="37" t="s">
        <v>189</v>
      </c>
      <c r="B170" s="26" t="s">
        <v>225</v>
      </c>
      <c r="C170" s="39" t="s">
        <v>427</v>
      </c>
      <c r="D170" s="40" t="s">
        <v>428</v>
      </c>
      <c r="E170" s="38" t="s">
        <v>3</v>
      </c>
      <c r="F170" s="38" t="s">
        <v>11</v>
      </c>
      <c r="G170" s="32">
        <v>75778580</v>
      </c>
      <c r="H170" s="32">
        <v>137413918</v>
      </c>
      <c r="I170" s="52">
        <v>0</v>
      </c>
      <c r="J170" s="35">
        <f>+G170-H170+I170</f>
        <v>-61635338</v>
      </c>
      <c r="K170" s="28">
        <v>0</v>
      </c>
      <c r="L170" s="32">
        <v>0</v>
      </c>
      <c r="M170" s="35">
        <f>+J170+L170</f>
        <v>-61635338</v>
      </c>
      <c r="N170" s="28" t="s">
        <v>366</v>
      </c>
      <c r="O170" s="29" t="s">
        <v>367</v>
      </c>
      <c r="P170" s="36">
        <v>44174</v>
      </c>
      <c r="Q170" s="31">
        <v>29090.98</v>
      </c>
      <c r="R170" s="33">
        <f>M170/Q170</f>
        <v>-2118.7095793954004</v>
      </c>
    </row>
    <row r="171" spans="1:18" s="30" customFormat="1" ht="15" customHeight="1">
      <c r="A171" s="37" t="s">
        <v>52</v>
      </c>
      <c r="B171" s="26" t="s">
        <v>262</v>
      </c>
      <c r="C171" s="39" t="s">
        <v>429</v>
      </c>
      <c r="D171" s="40" t="s">
        <v>430</v>
      </c>
      <c r="E171" s="38" t="s">
        <v>4</v>
      </c>
      <c r="F171" s="38" t="s">
        <v>11</v>
      </c>
      <c r="G171" s="32">
        <v>241365</v>
      </c>
      <c r="H171" s="32">
        <v>1181633</v>
      </c>
      <c r="I171" s="32">
        <v>728532</v>
      </c>
      <c r="J171" s="35">
        <f>+G171-H171+I171</f>
        <v>-211736</v>
      </c>
      <c r="K171" s="28">
        <v>0</v>
      </c>
      <c r="L171" s="32">
        <v>0</v>
      </c>
      <c r="M171" s="35">
        <f>+J171+L171</f>
        <v>-211736</v>
      </c>
      <c r="N171" s="28" t="s">
        <v>265</v>
      </c>
      <c r="O171" s="29" t="s">
        <v>266</v>
      </c>
      <c r="P171" s="36">
        <v>43846</v>
      </c>
      <c r="Q171" s="31">
        <v>28324.55</v>
      </c>
      <c r="R171" s="33">
        <f>M171/Q171</f>
        <v>-7.4753526534402139</v>
      </c>
    </row>
    <row r="172" spans="1:18" s="30" customFormat="1" ht="15" customHeight="1">
      <c r="A172" s="37" t="s">
        <v>189</v>
      </c>
      <c r="B172" s="26" t="s">
        <v>190</v>
      </c>
      <c r="C172" s="39" t="s">
        <v>429</v>
      </c>
      <c r="D172" s="40" t="s">
        <v>431</v>
      </c>
      <c r="E172" s="38" t="s">
        <v>3</v>
      </c>
      <c r="F172" s="38" t="s">
        <v>10</v>
      </c>
      <c r="G172" s="32">
        <v>1222145</v>
      </c>
      <c r="H172" s="32">
        <v>1031306</v>
      </c>
      <c r="I172" s="52">
        <v>0</v>
      </c>
      <c r="J172" s="35">
        <f>+G172-H172+I172</f>
        <v>190839</v>
      </c>
      <c r="K172" s="28">
        <v>0</v>
      </c>
      <c r="L172" s="32">
        <v>0</v>
      </c>
      <c r="M172" s="35">
        <f>+J172+L172</f>
        <v>190839</v>
      </c>
      <c r="N172" s="28" t="s">
        <v>193</v>
      </c>
      <c r="O172" s="29" t="s">
        <v>194</v>
      </c>
      <c r="P172" s="36">
        <v>44383</v>
      </c>
      <c r="Q172" s="31">
        <v>29981.279999999999</v>
      </c>
      <c r="R172" s="33">
        <f>M172/Q172</f>
        <v>6.3652719296841234</v>
      </c>
    </row>
    <row r="173" spans="1:18" s="30" customFormat="1" ht="15" customHeight="1">
      <c r="A173" s="37" t="s">
        <v>52</v>
      </c>
      <c r="B173" s="26" t="s">
        <v>195</v>
      </c>
      <c r="C173" s="65" t="s">
        <v>429</v>
      </c>
      <c r="D173" s="51" t="s">
        <v>432</v>
      </c>
      <c r="E173" s="38" t="s">
        <v>4</v>
      </c>
      <c r="F173" s="38" t="s">
        <v>199</v>
      </c>
      <c r="G173" s="52"/>
      <c r="H173" s="52">
        <v>8860964</v>
      </c>
      <c r="I173" s="52">
        <v>17363591</v>
      </c>
      <c r="J173" s="53">
        <f>+G173-H173+I173</f>
        <v>8502627</v>
      </c>
      <c r="K173" s="28">
        <v>0</v>
      </c>
      <c r="L173" s="32">
        <v>0</v>
      </c>
      <c r="M173" s="53">
        <f>+J173+L173</f>
        <v>8502627</v>
      </c>
      <c r="N173" s="55" t="s">
        <v>289</v>
      </c>
      <c r="O173" s="29" t="s">
        <v>290</v>
      </c>
      <c r="P173" s="36">
        <v>44764</v>
      </c>
      <c r="Q173" s="49">
        <v>33330.449999999997</v>
      </c>
      <c r="R173" s="33">
        <f>M173/Q173</f>
        <v>255.10087622579354</v>
      </c>
    </row>
    <row r="174" spans="1:18" s="30" customFormat="1" ht="15" customHeight="1">
      <c r="A174" s="37" t="s">
        <v>189</v>
      </c>
      <c r="B174" s="26" t="s">
        <v>190</v>
      </c>
      <c r="C174" s="39" t="s">
        <v>433</v>
      </c>
      <c r="D174" s="40" t="s">
        <v>434</v>
      </c>
      <c r="E174" s="38" t="s">
        <v>3</v>
      </c>
      <c r="F174" s="38" t="s">
        <v>15</v>
      </c>
      <c r="G174" s="32">
        <v>33222882</v>
      </c>
      <c r="H174" s="32">
        <v>0</v>
      </c>
      <c r="I174" s="32">
        <v>3022732</v>
      </c>
      <c r="J174" s="35">
        <f>+G174-H174+I174</f>
        <v>36245614</v>
      </c>
      <c r="K174" s="28">
        <v>0</v>
      </c>
      <c r="L174" s="32">
        <v>0</v>
      </c>
      <c r="M174" s="35">
        <f>+J174+L174</f>
        <v>36245614</v>
      </c>
      <c r="N174" s="28" t="s">
        <v>204</v>
      </c>
      <c r="O174" s="29" t="s">
        <v>205</v>
      </c>
      <c r="P174" s="36">
        <v>44335</v>
      </c>
      <c r="Q174" s="31">
        <v>29567.53</v>
      </c>
      <c r="R174" s="33">
        <f>M174/Q174</f>
        <v>1225.858703787567</v>
      </c>
    </row>
    <row r="175" spans="1:18" s="30" customFormat="1" ht="15" customHeight="1">
      <c r="A175" s="37" t="s">
        <v>52</v>
      </c>
      <c r="B175" s="26" t="s">
        <v>262</v>
      </c>
      <c r="C175" s="39" t="s">
        <v>435</v>
      </c>
      <c r="D175" s="40" t="s">
        <v>436</v>
      </c>
      <c r="E175" s="38" t="s">
        <v>4</v>
      </c>
      <c r="F175" s="38" t="s">
        <v>20</v>
      </c>
      <c r="G175" s="32">
        <v>0</v>
      </c>
      <c r="H175" s="32">
        <v>0</v>
      </c>
      <c r="I175" s="32">
        <v>2499863</v>
      </c>
      <c r="J175" s="35">
        <f>+G175-H175+I175</f>
        <v>2499863</v>
      </c>
      <c r="K175" s="28">
        <v>0</v>
      </c>
      <c r="L175" s="32">
        <v>0</v>
      </c>
      <c r="M175" s="35">
        <f>+J175+L175</f>
        <v>2499863</v>
      </c>
      <c r="N175" s="28" t="s">
        <v>265</v>
      </c>
      <c r="O175" s="29" t="s">
        <v>266</v>
      </c>
      <c r="P175" s="36">
        <v>43846</v>
      </c>
      <c r="Q175" s="31">
        <v>28324.55</v>
      </c>
      <c r="R175" s="33">
        <f>M175/Q175</f>
        <v>88.257818747341091</v>
      </c>
    </row>
    <row r="176" spans="1:18" s="30" customFormat="1" ht="15" customHeight="1">
      <c r="A176" s="37" t="s">
        <v>52</v>
      </c>
      <c r="B176" s="26" t="s">
        <v>195</v>
      </c>
      <c r="C176" s="65" t="s">
        <v>435</v>
      </c>
      <c r="D176" s="51" t="s">
        <v>437</v>
      </c>
      <c r="E176" s="38" t="s">
        <v>6</v>
      </c>
      <c r="F176" s="38" t="s">
        <v>199</v>
      </c>
      <c r="G176" s="52">
        <v>80965</v>
      </c>
      <c r="H176" s="52">
        <v>712908</v>
      </c>
      <c r="I176" s="52">
        <v>4194701</v>
      </c>
      <c r="J176" s="53">
        <f>+G176-H176+I176</f>
        <v>3562758</v>
      </c>
      <c r="K176" s="28">
        <v>0</v>
      </c>
      <c r="L176" s="32">
        <v>0</v>
      </c>
      <c r="M176" s="53">
        <f>+J176+L176</f>
        <v>3562758</v>
      </c>
      <c r="N176" s="55" t="s">
        <v>289</v>
      </c>
      <c r="O176" s="29" t="s">
        <v>290</v>
      </c>
      <c r="P176" s="36">
        <v>44764</v>
      </c>
      <c r="Q176" s="49">
        <v>33330.449999999997</v>
      </c>
      <c r="R176" s="33">
        <f>M176/Q176</f>
        <v>106.89198615680257</v>
      </c>
    </row>
    <row r="177" spans="1:18" s="30" customFormat="1" ht="15" customHeight="1">
      <c r="A177" s="37" t="s">
        <v>356</v>
      </c>
      <c r="B177" s="26" t="s">
        <v>357</v>
      </c>
      <c r="C177" s="39" t="s">
        <v>438</v>
      </c>
      <c r="D177" s="40" t="s">
        <v>439</v>
      </c>
      <c r="E177" s="38" t="s">
        <v>4</v>
      </c>
      <c r="F177" s="38" t="s">
        <v>14</v>
      </c>
      <c r="G177" s="32">
        <v>5690399</v>
      </c>
      <c r="H177" s="32">
        <v>0</v>
      </c>
      <c r="I177" s="32">
        <v>3982038</v>
      </c>
      <c r="J177" s="35">
        <f>+G177-H177+I177</f>
        <v>9672437</v>
      </c>
      <c r="K177" s="28">
        <v>0</v>
      </c>
      <c r="L177" s="32">
        <v>0</v>
      </c>
      <c r="M177" s="35">
        <f>+J177+L177</f>
        <v>9672437</v>
      </c>
      <c r="N177" s="28" t="s">
        <v>360</v>
      </c>
      <c r="O177" s="29" t="s">
        <v>361</v>
      </c>
      <c r="P177" s="36">
        <v>43483</v>
      </c>
      <c r="Q177" s="31">
        <v>27557.78</v>
      </c>
      <c r="R177" s="33">
        <f>+M177/Q177</f>
        <v>350.98752511994797</v>
      </c>
    </row>
    <row r="178" spans="1:18" s="30" customFormat="1" ht="15" customHeight="1">
      <c r="A178" s="37" t="s">
        <v>236</v>
      </c>
      <c r="B178" s="26" t="s">
        <v>237</v>
      </c>
      <c r="C178" s="39" t="s">
        <v>438</v>
      </c>
      <c r="D178" s="40" t="s">
        <v>440</v>
      </c>
      <c r="E178" s="38" t="s">
        <v>198</v>
      </c>
      <c r="F178" s="38" t="s">
        <v>9</v>
      </c>
      <c r="G178" s="32">
        <v>0</v>
      </c>
      <c r="H178" s="32">
        <v>96247859</v>
      </c>
      <c r="I178" s="32">
        <v>1044764147</v>
      </c>
      <c r="J178" s="35">
        <f>+G178-H178+I178</f>
        <v>948516288</v>
      </c>
      <c r="K178" s="28">
        <v>0</v>
      </c>
      <c r="L178" s="32">
        <v>0</v>
      </c>
      <c r="M178" s="35">
        <f>+J178+L178</f>
        <v>948516288</v>
      </c>
      <c r="N178" s="28" t="s">
        <v>240</v>
      </c>
      <c r="O178" s="29" t="s">
        <v>241</v>
      </c>
      <c r="P178" s="36">
        <v>44294</v>
      </c>
      <c r="Q178" s="31">
        <v>29409.93</v>
      </c>
      <c r="R178" s="33">
        <f>M178/Q178</f>
        <v>32251.565644664915</v>
      </c>
    </row>
    <row r="179" spans="1:18" s="30" customFormat="1" ht="15" customHeight="1">
      <c r="A179" s="37" t="s">
        <v>293</v>
      </c>
      <c r="B179" s="26" t="s">
        <v>294</v>
      </c>
      <c r="C179" s="39">
        <v>609</v>
      </c>
      <c r="D179" s="40" t="s">
        <v>441</v>
      </c>
      <c r="E179" s="38" t="s">
        <v>3</v>
      </c>
      <c r="F179" s="38" t="s">
        <v>13</v>
      </c>
      <c r="G179" s="32">
        <v>0</v>
      </c>
      <c r="H179" s="32">
        <v>0</v>
      </c>
      <c r="I179" s="32">
        <v>714107</v>
      </c>
      <c r="J179" s="35">
        <f>+G179-H179+I179</f>
        <v>714107</v>
      </c>
      <c r="K179" s="27" t="s">
        <v>401</v>
      </c>
      <c r="L179" s="32">
        <v>0</v>
      </c>
      <c r="M179" s="35">
        <f>+J179+L179</f>
        <v>714107</v>
      </c>
      <c r="N179" s="55" t="s">
        <v>402</v>
      </c>
      <c r="O179" s="56" t="s">
        <v>403</v>
      </c>
      <c r="P179" s="56">
        <v>44524</v>
      </c>
      <c r="Q179" s="49">
        <v>30683.439999999999</v>
      </c>
      <c r="R179" s="57">
        <f>+M179/Q179</f>
        <v>23.273368305509422</v>
      </c>
    </row>
    <row r="180" spans="1:18" s="30" customFormat="1" ht="15" customHeight="1">
      <c r="A180" s="37" t="s">
        <v>189</v>
      </c>
      <c r="B180" s="26" t="s">
        <v>225</v>
      </c>
      <c r="C180" s="39" t="s">
        <v>438</v>
      </c>
      <c r="D180" s="40" t="s">
        <v>442</v>
      </c>
      <c r="E180" s="38" t="s">
        <v>3</v>
      </c>
      <c r="F180" s="38" t="s">
        <v>10</v>
      </c>
      <c r="G180" s="32">
        <v>104895047</v>
      </c>
      <c r="H180" s="32">
        <v>66234087</v>
      </c>
      <c r="I180" s="52">
        <v>0</v>
      </c>
      <c r="J180" s="35">
        <f>+G180-H180+I180</f>
        <v>38660960</v>
      </c>
      <c r="K180" s="28">
        <v>0</v>
      </c>
      <c r="L180" s="32">
        <v>0</v>
      </c>
      <c r="M180" s="35">
        <f>+J180+L180</f>
        <v>38660960</v>
      </c>
      <c r="N180" s="28" t="s">
        <v>443</v>
      </c>
      <c r="O180" s="29" t="s">
        <v>444</v>
      </c>
      <c r="P180" s="36">
        <v>44014</v>
      </c>
      <c r="Q180" s="31">
        <v>28694.5</v>
      </c>
      <c r="R180" s="33">
        <f>M180/Q180</f>
        <v>1347.3299761278295</v>
      </c>
    </row>
    <row r="181" spans="1:18" s="30" customFormat="1" ht="15" customHeight="1">
      <c r="A181" s="37" t="s">
        <v>189</v>
      </c>
      <c r="B181" s="26" t="s">
        <v>225</v>
      </c>
      <c r="C181" s="39" t="s">
        <v>445</v>
      </c>
      <c r="D181" s="40" t="s">
        <v>446</v>
      </c>
      <c r="E181" s="38" t="s">
        <v>3</v>
      </c>
      <c r="F181" s="38" t="s">
        <v>12</v>
      </c>
      <c r="G181" s="32">
        <v>0</v>
      </c>
      <c r="H181" s="32">
        <v>282708</v>
      </c>
      <c r="I181" s="52">
        <v>0</v>
      </c>
      <c r="J181" s="35">
        <f>+G181-H181+I181</f>
        <v>-282708</v>
      </c>
      <c r="K181" s="28">
        <v>0</v>
      </c>
      <c r="L181" s="32">
        <v>0</v>
      </c>
      <c r="M181" s="35">
        <f>+J181+L181</f>
        <v>-282708</v>
      </c>
      <c r="N181" s="28" t="s">
        <v>352</v>
      </c>
      <c r="O181" s="29" t="s">
        <v>353</v>
      </c>
      <c r="P181" s="36">
        <v>44244</v>
      </c>
      <c r="Q181" s="31">
        <v>29207.23</v>
      </c>
      <c r="R181" s="33">
        <f>M181/Q181</f>
        <v>-9.6793841798760099</v>
      </c>
    </row>
    <row r="182" spans="1:18" s="30" customFormat="1" ht="15" customHeight="1">
      <c r="A182" s="37" t="s">
        <v>52</v>
      </c>
      <c r="B182" s="26" t="s">
        <v>262</v>
      </c>
      <c r="C182" s="39" t="s">
        <v>447</v>
      </c>
      <c r="D182" s="40" t="s">
        <v>448</v>
      </c>
      <c r="E182" s="38" t="s">
        <v>4</v>
      </c>
      <c r="F182" s="38" t="s">
        <v>20</v>
      </c>
      <c r="G182" s="32">
        <v>185582</v>
      </c>
      <c r="H182" s="32">
        <v>0</v>
      </c>
      <c r="I182" s="32">
        <v>413983</v>
      </c>
      <c r="J182" s="35">
        <f>+G182-H182+I182</f>
        <v>599565</v>
      </c>
      <c r="K182" s="28">
        <v>0</v>
      </c>
      <c r="L182" s="32">
        <v>0</v>
      </c>
      <c r="M182" s="35">
        <f>+J182+L182</f>
        <v>599565</v>
      </c>
      <c r="N182" s="28" t="s">
        <v>265</v>
      </c>
      <c r="O182" s="29" t="s">
        <v>266</v>
      </c>
      <c r="P182" s="36">
        <v>43846</v>
      </c>
      <c r="Q182" s="31">
        <v>28324.55</v>
      </c>
      <c r="R182" s="33">
        <f>M182/Q182</f>
        <v>21.167679627743425</v>
      </c>
    </row>
    <row r="183" spans="1:18" s="30" customFormat="1" ht="15" customHeight="1">
      <c r="A183" s="37" t="s">
        <v>189</v>
      </c>
      <c r="B183" s="26" t="s">
        <v>190</v>
      </c>
      <c r="C183" s="39" t="s">
        <v>447</v>
      </c>
      <c r="D183" s="40" t="s">
        <v>449</v>
      </c>
      <c r="E183" s="38" t="s">
        <v>4</v>
      </c>
      <c r="F183" s="38" t="s">
        <v>15</v>
      </c>
      <c r="G183" s="32">
        <v>17449219</v>
      </c>
      <c r="H183" s="32">
        <v>200483818</v>
      </c>
      <c r="I183" s="52">
        <v>0</v>
      </c>
      <c r="J183" s="35">
        <f>+G183-H183+I183</f>
        <v>-183034599</v>
      </c>
      <c r="K183" s="28">
        <v>0</v>
      </c>
      <c r="L183" s="32">
        <v>0</v>
      </c>
      <c r="M183" s="35">
        <f>+J183+L183</f>
        <v>-183034599</v>
      </c>
      <c r="N183" s="28" t="s">
        <v>223</v>
      </c>
      <c r="O183" s="29" t="s">
        <v>224</v>
      </c>
      <c r="P183" s="36">
        <v>44265</v>
      </c>
      <c r="Q183" s="31">
        <v>29355.01</v>
      </c>
      <c r="R183" s="33">
        <f>M183/Q183</f>
        <v>-6235.208197851066</v>
      </c>
    </row>
    <row r="184" spans="1:18" s="30" customFormat="1" ht="15" customHeight="1">
      <c r="A184" s="37" t="s">
        <v>52</v>
      </c>
      <c r="B184" s="26" t="s">
        <v>195</v>
      </c>
      <c r="C184" s="65" t="s">
        <v>447</v>
      </c>
      <c r="D184" s="51" t="s">
        <v>450</v>
      </c>
      <c r="E184" s="38" t="s">
        <v>3</v>
      </c>
      <c r="F184" s="38" t="s">
        <v>13</v>
      </c>
      <c r="G184" s="52"/>
      <c r="H184" s="52"/>
      <c r="I184" s="52">
        <v>58063652</v>
      </c>
      <c r="J184" s="53">
        <f>+G184-H184+I184</f>
        <v>58063652</v>
      </c>
      <c r="K184" s="28">
        <v>0</v>
      </c>
      <c r="L184" s="32">
        <v>0</v>
      </c>
      <c r="M184" s="53">
        <f>+J184+L184</f>
        <v>58063652</v>
      </c>
      <c r="N184" s="55" t="s">
        <v>289</v>
      </c>
      <c r="O184" s="29" t="s">
        <v>290</v>
      </c>
      <c r="P184" s="36">
        <v>44764</v>
      </c>
      <c r="Q184" s="49">
        <v>33330.449999999997</v>
      </c>
      <c r="R184" s="33">
        <f>M184/Q184</f>
        <v>1742.0602482114705</v>
      </c>
    </row>
    <row r="185" spans="1:18" s="30" customFormat="1" ht="15" customHeight="1">
      <c r="A185" s="37" t="s">
        <v>52</v>
      </c>
      <c r="B185" s="26" t="s">
        <v>262</v>
      </c>
      <c r="C185" s="39" t="s">
        <v>451</v>
      </c>
      <c r="D185" s="40" t="s">
        <v>452</v>
      </c>
      <c r="E185" s="38" t="s">
        <v>3</v>
      </c>
      <c r="F185" s="38" t="s">
        <v>13</v>
      </c>
      <c r="G185" s="32">
        <v>0</v>
      </c>
      <c r="H185" s="32">
        <v>0</v>
      </c>
      <c r="I185" s="32">
        <v>7578069</v>
      </c>
      <c r="J185" s="35">
        <f>+G185-H185+I185</f>
        <v>7578069</v>
      </c>
      <c r="K185" s="28">
        <v>0</v>
      </c>
      <c r="L185" s="32">
        <v>0</v>
      </c>
      <c r="M185" s="35">
        <f>+J185+L185</f>
        <v>7578069</v>
      </c>
      <c r="N185" s="28" t="s">
        <v>265</v>
      </c>
      <c r="O185" s="29" t="s">
        <v>266</v>
      </c>
      <c r="P185" s="36">
        <v>43846</v>
      </c>
      <c r="Q185" s="31">
        <v>28324.55</v>
      </c>
      <c r="R185" s="33">
        <f>M185/Q185</f>
        <v>267.54419752476207</v>
      </c>
    </row>
    <row r="186" spans="1:18" s="30" customFormat="1" ht="15" customHeight="1">
      <c r="A186" s="37" t="s">
        <v>189</v>
      </c>
      <c r="B186" s="26" t="s">
        <v>225</v>
      </c>
      <c r="C186" s="39" t="s">
        <v>451</v>
      </c>
      <c r="D186" s="40" t="s">
        <v>453</v>
      </c>
      <c r="E186" s="38" t="s">
        <v>3</v>
      </c>
      <c r="F186" s="38" t="s">
        <v>11</v>
      </c>
      <c r="G186" s="32">
        <v>103724157</v>
      </c>
      <c r="H186" s="32">
        <v>76070508</v>
      </c>
      <c r="I186" s="32">
        <v>9184222</v>
      </c>
      <c r="J186" s="35">
        <f>+G186-H186+I186</f>
        <v>36837871</v>
      </c>
      <c r="K186" s="28">
        <v>0</v>
      </c>
      <c r="L186" s="32">
        <v>0</v>
      </c>
      <c r="M186" s="35">
        <f>+J186+L186</f>
        <v>36837871</v>
      </c>
      <c r="N186" s="28" t="s">
        <v>228</v>
      </c>
      <c r="O186" s="29" t="s">
        <v>229</v>
      </c>
      <c r="P186" s="36">
        <v>44280</v>
      </c>
      <c r="Q186" s="31">
        <v>29383.41</v>
      </c>
      <c r="R186" s="33">
        <f>M186/Q186</f>
        <v>1253.6962524090975</v>
      </c>
    </row>
    <row r="187" spans="1:18" s="30" customFormat="1" ht="15" customHeight="1">
      <c r="A187" s="37" t="s">
        <v>189</v>
      </c>
      <c r="B187" s="26" t="s">
        <v>225</v>
      </c>
      <c r="C187" s="39" t="s">
        <v>454</v>
      </c>
      <c r="D187" s="40" t="s">
        <v>455</v>
      </c>
      <c r="E187" s="38" t="s">
        <v>3</v>
      </c>
      <c r="F187" s="38" t="s">
        <v>11</v>
      </c>
      <c r="G187" s="32">
        <v>910670</v>
      </c>
      <c r="H187" s="32">
        <v>0</v>
      </c>
      <c r="I187" s="52">
        <v>0</v>
      </c>
      <c r="J187" s="35">
        <f>+G187-H187+I187</f>
        <v>910670</v>
      </c>
      <c r="K187" s="28">
        <v>0</v>
      </c>
      <c r="L187" s="32">
        <v>0</v>
      </c>
      <c r="M187" s="35">
        <f>+J187+L187</f>
        <v>910670</v>
      </c>
      <c r="N187" s="28" t="s">
        <v>456</v>
      </c>
      <c r="O187" s="29" t="s">
        <v>457</v>
      </c>
      <c r="P187" s="36">
        <v>44097</v>
      </c>
      <c r="Q187" s="31">
        <v>28701.15</v>
      </c>
      <c r="R187" s="33">
        <f>M187/Q187</f>
        <v>31.729390634173193</v>
      </c>
    </row>
    <row r="188" spans="1:18" s="30" customFormat="1" ht="15" customHeight="1">
      <c r="A188" s="37" t="s">
        <v>293</v>
      </c>
      <c r="B188" s="26" t="s">
        <v>294</v>
      </c>
      <c r="C188" s="39">
        <v>508</v>
      </c>
      <c r="D188" s="40" t="s">
        <v>458</v>
      </c>
      <c r="E188" s="38" t="s">
        <v>3</v>
      </c>
      <c r="F188" s="38" t="s">
        <v>12</v>
      </c>
      <c r="G188" s="32">
        <v>0</v>
      </c>
      <c r="H188" s="32">
        <v>0</v>
      </c>
      <c r="I188" s="32">
        <v>905366</v>
      </c>
      <c r="J188" s="35">
        <f>+G188-H188+I188</f>
        <v>905366</v>
      </c>
      <c r="K188" s="27" t="s">
        <v>297</v>
      </c>
      <c r="L188" s="32">
        <v>0</v>
      </c>
      <c r="M188" s="35">
        <f>+J188+L188</f>
        <v>905366</v>
      </c>
      <c r="N188" s="28" t="s">
        <v>459</v>
      </c>
      <c r="O188" s="29" t="s">
        <v>460</v>
      </c>
      <c r="P188" s="36" t="s">
        <v>461</v>
      </c>
      <c r="Q188" s="31">
        <v>30683.439999999999</v>
      </c>
      <c r="R188" s="33">
        <f>+M188/Q188</f>
        <v>29.506665484704452</v>
      </c>
    </row>
    <row r="189" spans="1:18" s="30" customFormat="1" ht="15" customHeight="1">
      <c r="A189" s="37" t="s">
        <v>52</v>
      </c>
      <c r="B189" s="26" t="s">
        <v>262</v>
      </c>
      <c r="C189" s="39" t="s">
        <v>462</v>
      </c>
      <c r="D189" s="40" t="s">
        <v>463</v>
      </c>
      <c r="E189" s="38" t="s">
        <v>6</v>
      </c>
      <c r="F189" s="38" t="s">
        <v>11</v>
      </c>
      <c r="G189" s="32">
        <v>369546</v>
      </c>
      <c r="H189" s="32">
        <v>0</v>
      </c>
      <c r="I189" s="32">
        <v>2271105</v>
      </c>
      <c r="J189" s="35">
        <f>+G189-H189+I189</f>
        <v>2640651</v>
      </c>
      <c r="K189" s="28">
        <v>0</v>
      </c>
      <c r="L189" s="32">
        <v>0</v>
      </c>
      <c r="M189" s="35">
        <f>+J189+L189</f>
        <v>2640651</v>
      </c>
      <c r="N189" s="28" t="s">
        <v>265</v>
      </c>
      <c r="O189" s="29" t="s">
        <v>266</v>
      </c>
      <c r="P189" s="36">
        <v>43846</v>
      </c>
      <c r="Q189" s="31">
        <v>28324.55</v>
      </c>
      <c r="R189" s="33">
        <f>M189/Q189</f>
        <v>93.228347846655993</v>
      </c>
    </row>
    <row r="190" spans="1:18" s="30" customFormat="1" ht="15" customHeight="1">
      <c r="A190" s="37" t="s">
        <v>189</v>
      </c>
      <c r="B190" s="26" t="s">
        <v>190</v>
      </c>
      <c r="C190" s="39" t="s">
        <v>462</v>
      </c>
      <c r="D190" s="40" t="s">
        <v>464</v>
      </c>
      <c r="E190" s="38" t="s">
        <v>3</v>
      </c>
      <c r="F190" s="38" t="s">
        <v>15</v>
      </c>
      <c r="G190" s="32">
        <v>43238038</v>
      </c>
      <c r="H190" s="32">
        <v>0</v>
      </c>
      <c r="I190" s="52">
        <v>0</v>
      </c>
      <c r="J190" s="35">
        <f>+G190-H190+I190</f>
        <v>43238038</v>
      </c>
      <c r="K190" s="28">
        <v>0</v>
      </c>
      <c r="L190" s="32">
        <v>0</v>
      </c>
      <c r="M190" s="35">
        <f>+J190+L190</f>
        <v>43238038</v>
      </c>
      <c r="N190" s="28" t="s">
        <v>193</v>
      </c>
      <c r="O190" s="29" t="s">
        <v>194</v>
      </c>
      <c r="P190" s="36">
        <v>44383</v>
      </c>
      <c r="Q190" s="31">
        <v>29981.279999999999</v>
      </c>
      <c r="R190" s="33">
        <f>M190/Q190</f>
        <v>1442.1678460692806</v>
      </c>
    </row>
    <row r="191" spans="1:18" s="30" customFormat="1" ht="15" customHeight="1">
      <c r="A191" s="37" t="s">
        <v>52</v>
      </c>
      <c r="B191" s="26" t="s">
        <v>195</v>
      </c>
      <c r="C191" s="65" t="s">
        <v>462</v>
      </c>
      <c r="D191" s="51" t="s">
        <v>465</v>
      </c>
      <c r="E191" s="38" t="s">
        <v>4</v>
      </c>
      <c r="F191" s="38" t="s">
        <v>14</v>
      </c>
      <c r="G191" s="52">
        <v>13855707</v>
      </c>
      <c r="H191" s="52">
        <v>901278</v>
      </c>
      <c r="I191" s="52">
        <v>2212949</v>
      </c>
      <c r="J191" s="53">
        <f>+G191-H191+I191</f>
        <v>15167378</v>
      </c>
      <c r="K191" s="28">
        <v>0</v>
      </c>
      <c r="L191" s="32">
        <v>0</v>
      </c>
      <c r="M191" s="53">
        <f>+J191+L191</f>
        <v>15167378</v>
      </c>
      <c r="N191" s="55" t="s">
        <v>289</v>
      </c>
      <c r="O191" s="29" t="s">
        <v>290</v>
      </c>
      <c r="P191" s="36">
        <v>44764</v>
      </c>
      <c r="Q191" s="49">
        <v>33330.449999999997</v>
      </c>
      <c r="R191" s="33">
        <f>M191/Q191</f>
        <v>455.06070275078798</v>
      </c>
    </row>
    <row r="192" spans="1:18" s="30" customFormat="1" ht="15" customHeight="1">
      <c r="A192" s="37" t="s">
        <v>391</v>
      </c>
      <c r="B192" s="26" t="s">
        <v>392</v>
      </c>
      <c r="C192" s="39">
        <v>172</v>
      </c>
      <c r="D192" s="40" t="s">
        <v>466</v>
      </c>
      <c r="E192" s="38" t="s">
        <v>4</v>
      </c>
      <c r="F192" s="38" t="s">
        <v>12</v>
      </c>
      <c r="G192" s="32">
        <v>0</v>
      </c>
      <c r="H192" s="32">
        <v>0</v>
      </c>
      <c r="I192" s="32">
        <v>1069088</v>
      </c>
      <c r="J192" s="35">
        <f>+G192-H192+I192</f>
        <v>1069088</v>
      </c>
      <c r="K192" s="27">
        <v>1</v>
      </c>
      <c r="L192" s="32">
        <v>0</v>
      </c>
      <c r="M192" s="35">
        <f>+J192+L192</f>
        <v>1069088</v>
      </c>
      <c r="N192" s="28" t="s">
        <v>467</v>
      </c>
      <c r="O192" s="29" t="s">
        <v>395</v>
      </c>
      <c r="P192" s="36">
        <v>44293</v>
      </c>
      <c r="Q192" s="31">
        <v>29408.04</v>
      </c>
      <c r="R192" s="33">
        <f>M192/Q192</f>
        <v>36.353595819374561</v>
      </c>
    </row>
    <row r="193" spans="1:18" s="30" customFormat="1" ht="15" customHeight="1">
      <c r="A193" s="37" t="s">
        <v>189</v>
      </c>
      <c r="B193" s="26" t="s">
        <v>225</v>
      </c>
      <c r="C193" s="39" t="s">
        <v>468</v>
      </c>
      <c r="D193" s="40" t="s">
        <v>469</v>
      </c>
      <c r="E193" s="38" t="s">
        <v>3</v>
      </c>
      <c r="F193" s="38" t="s">
        <v>10</v>
      </c>
      <c r="G193" s="32">
        <v>149165181</v>
      </c>
      <c r="H193" s="32">
        <v>55755253</v>
      </c>
      <c r="I193" s="32">
        <v>985320</v>
      </c>
      <c r="J193" s="35">
        <f>+G193-H193+I193</f>
        <v>94395248</v>
      </c>
      <c r="K193" s="28">
        <v>0</v>
      </c>
      <c r="L193" s="32">
        <v>0</v>
      </c>
      <c r="M193" s="35">
        <f>+J193+L193</f>
        <v>94395248</v>
      </c>
      <c r="N193" s="28" t="s">
        <v>456</v>
      </c>
      <c r="O193" s="29" t="s">
        <v>457</v>
      </c>
      <c r="P193" s="36">
        <v>44097</v>
      </c>
      <c r="Q193" s="31">
        <v>28701.15</v>
      </c>
      <c r="R193" s="33">
        <f>M193/Q193</f>
        <v>3288.9012461173156</v>
      </c>
    </row>
    <row r="194" spans="1:18" s="30" customFormat="1" ht="15" customHeight="1">
      <c r="A194" s="37" t="s">
        <v>52</v>
      </c>
      <c r="B194" s="26" t="s">
        <v>262</v>
      </c>
      <c r="C194" s="39" t="s">
        <v>470</v>
      </c>
      <c r="D194" s="40" t="s">
        <v>471</v>
      </c>
      <c r="E194" s="38" t="s">
        <v>4</v>
      </c>
      <c r="F194" s="38" t="s">
        <v>11</v>
      </c>
      <c r="G194" s="32">
        <v>10528918</v>
      </c>
      <c r="H194" s="32">
        <v>8163717</v>
      </c>
      <c r="I194" s="32">
        <v>4452684</v>
      </c>
      <c r="J194" s="35">
        <f>+G194-H194+I194</f>
        <v>6817885</v>
      </c>
      <c r="K194" s="28">
        <v>0</v>
      </c>
      <c r="L194" s="32">
        <v>0</v>
      </c>
      <c r="M194" s="35">
        <f>+J194+L194</f>
        <v>6817885</v>
      </c>
      <c r="N194" s="28" t="s">
        <v>265</v>
      </c>
      <c r="O194" s="29" t="s">
        <v>266</v>
      </c>
      <c r="P194" s="36">
        <v>43846</v>
      </c>
      <c r="Q194" s="31">
        <v>28324.55</v>
      </c>
      <c r="R194" s="33">
        <f>M194/Q194</f>
        <v>240.7058541088914</v>
      </c>
    </row>
    <row r="195" spans="1:18" s="30" customFormat="1" ht="15" customHeight="1">
      <c r="A195" s="37" t="s">
        <v>52</v>
      </c>
      <c r="B195" s="26" t="s">
        <v>195</v>
      </c>
      <c r="C195" s="65" t="s">
        <v>470</v>
      </c>
      <c r="D195" s="51" t="s">
        <v>472</v>
      </c>
      <c r="E195" s="38" t="s">
        <v>3</v>
      </c>
      <c r="F195" s="38" t="s">
        <v>17</v>
      </c>
      <c r="G195" s="52">
        <v>3732738</v>
      </c>
      <c r="H195" s="52">
        <v>263296295</v>
      </c>
      <c r="I195" s="52">
        <v>398687710</v>
      </c>
      <c r="J195" s="53">
        <f>+G195-H195+I195</f>
        <v>139124153</v>
      </c>
      <c r="K195" s="28">
        <v>0</v>
      </c>
      <c r="L195" s="32">
        <v>0</v>
      </c>
      <c r="M195" s="53">
        <f>+J195+L195</f>
        <v>139124153</v>
      </c>
      <c r="N195" s="55" t="s">
        <v>289</v>
      </c>
      <c r="O195" s="29" t="s">
        <v>290</v>
      </c>
      <c r="P195" s="36">
        <v>44764</v>
      </c>
      <c r="Q195" s="49">
        <v>33330.449999999997</v>
      </c>
      <c r="R195" s="33">
        <f>M195/Q195</f>
        <v>4174.085648408588</v>
      </c>
    </row>
    <row r="196" spans="1:18" s="30" customFormat="1" ht="15" customHeight="1">
      <c r="A196" s="37" t="s">
        <v>189</v>
      </c>
      <c r="B196" s="26" t="s">
        <v>225</v>
      </c>
      <c r="C196" s="39" t="s">
        <v>473</v>
      </c>
      <c r="D196" s="40" t="s">
        <v>474</v>
      </c>
      <c r="E196" s="38" t="s">
        <v>3</v>
      </c>
      <c r="F196" s="38" t="s">
        <v>10</v>
      </c>
      <c r="G196" s="32">
        <v>0</v>
      </c>
      <c r="H196" s="32">
        <v>2900564</v>
      </c>
      <c r="I196" s="52">
        <v>0</v>
      </c>
      <c r="J196" s="35">
        <f>+G196-H196+I196</f>
        <v>-2900564</v>
      </c>
      <c r="K196" s="28">
        <v>0</v>
      </c>
      <c r="L196" s="32">
        <v>0</v>
      </c>
      <c r="M196" s="35">
        <f>+J196+L196</f>
        <v>-2900564</v>
      </c>
      <c r="N196" s="28" t="s">
        <v>456</v>
      </c>
      <c r="O196" s="29" t="s">
        <v>457</v>
      </c>
      <c r="P196" s="36">
        <v>44097</v>
      </c>
      <c r="Q196" s="31">
        <v>28701.15</v>
      </c>
      <c r="R196" s="33">
        <f>M196/Q196</f>
        <v>-101.06089825669005</v>
      </c>
    </row>
    <row r="197" spans="1:18" s="30" customFormat="1" ht="15" customHeight="1">
      <c r="A197" s="37" t="s">
        <v>52</v>
      </c>
      <c r="B197" s="26" t="s">
        <v>262</v>
      </c>
      <c r="C197" s="39" t="s">
        <v>475</v>
      </c>
      <c r="D197" s="40" t="s">
        <v>476</v>
      </c>
      <c r="E197" s="38" t="s">
        <v>3</v>
      </c>
      <c r="F197" s="38" t="s">
        <v>21</v>
      </c>
      <c r="G197" s="32">
        <v>16411585</v>
      </c>
      <c r="H197" s="32">
        <v>20131547</v>
      </c>
      <c r="I197" s="32">
        <v>1617074</v>
      </c>
      <c r="J197" s="35">
        <f>+G197-H197+I197</f>
        <v>-2102888</v>
      </c>
      <c r="K197" s="28">
        <v>0</v>
      </c>
      <c r="L197" s="32">
        <v>0</v>
      </c>
      <c r="M197" s="35">
        <f>+J197+L197</f>
        <v>-2102888</v>
      </c>
      <c r="N197" s="28" t="s">
        <v>265</v>
      </c>
      <c r="O197" s="29" t="s">
        <v>266</v>
      </c>
      <c r="P197" s="36">
        <v>43846</v>
      </c>
      <c r="Q197" s="31">
        <v>28324.55</v>
      </c>
      <c r="R197" s="33">
        <f>M197/Q197</f>
        <v>-74.242591674007173</v>
      </c>
    </row>
    <row r="198" spans="1:18" s="30" customFormat="1" ht="15" customHeight="1">
      <c r="A198" s="37" t="s">
        <v>52</v>
      </c>
      <c r="B198" s="26" t="s">
        <v>195</v>
      </c>
      <c r="C198" s="65" t="s">
        <v>475</v>
      </c>
      <c r="D198" s="51" t="s">
        <v>477</v>
      </c>
      <c r="E198" s="38" t="s">
        <v>3</v>
      </c>
      <c r="F198" s="38" t="s">
        <v>12</v>
      </c>
      <c r="G198" s="52"/>
      <c r="H198" s="52"/>
      <c r="I198" s="52">
        <v>30004838</v>
      </c>
      <c r="J198" s="53">
        <f>+G198-H198+I198</f>
        <v>30004838</v>
      </c>
      <c r="K198" s="28">
        <v>0</v>
      </c>
      <c r="L198" s="32">
        <v>0</v>
      </c>
      <c r="M198" s="53">
        <f>+J198+L198</f>
        <v>30004838</v>
      </c>
      <c r="N198" s="55" t="s">
        <v>289</v>
      </c>
      <c r="O198" s="29" t="s">
        <v>290</v>
      </c>
      <c r="P198" s="36">
        <v>44764</v>
      </c>
      <c r="Q198" s="49">
        <v>33330.449999999997</v>
      </c>
      <c r="R198" s="33">
        <f>M198/Q198</f>
        <v>900.22300929030371</v>
      </c>
    </row>
    <row r="199" spans="1:18" s="30" customFormat="1" ht="15" customHeight="1">
      <c r="A199" s="37" t="s">
        <v>189</v>
      </c>
      <c r="B199" s="26" t="s">
        <v>190</v>
      </c>
      <c r="C199" s="39" t="s">
        <v>478</v>
      </c>
      <c r="D199" s="40" t="s">
        <v>479</v>
      </c>
      <c r="E199" s="38" t="s">
        <v>3</v>
      </c>
      <c r="F199" s="38" t="s">
        <v>10</v>
      </c>
      <c r="G199" s="32">
        <v>39867047</v>
      </c>
      <c r="H199" s="32">
        <v>30773934</v>
      </c>
      <c r="I199" s="52">
        <v>0</v>
      </c>
      <c r="J199" s="35">
        <f>+G199-H199+I199</f>
        <v>9093113</v>
      </c>
      <c r="K199" s="28">
        <v>0</v>
      </c>
      <c r="L199" s="32">
        <v>0</v>
      </c>
      <c r="M199" s="35">
        <f>+J199+L199</f>
        <v>9093113</v>
      </c>
      <c r="N199" s="28" t="s">
        <v>223</v>
      </c>
      <c r="O199" s="29" t="s">
        <v>224</v>
      </c>
      <c r="P199" s="36">
        <v>44265</v>
      </c>
      <c r="Q199" s="31">
        <v>29355.01</v>
      </c>
      <c r="R199" s="33">
        <f>M199/Q199</f>
        <v>309.76358039053645</v>
      </c>
    </row>
    <row r="200" spans="1:18" s="30" customFormat="1" ht="15" customHeight="1">
      <c r="A200" s="37" t="s">
        <v>391</v>
      </c>
      <c r="B200" s="26" t="s">
        <v>392</v>
      </c>
      <c r="C200" s="39">
        <v>132</v>
      </c>
      <c r="D200" s="40" t="s">
        <v>480</v>
      </c>
      <c r="E200" s="38" t="s">
        <v>3</v>
      </c>
      <c r="F200" s="38" t="s">
        <v>11</v>
      </c>
      <c r="G200" s="32">
        <v>0</v>
      </c>
      <c r="H200" s="32">
        <v>216099</v>
      </c>
      <c r="I200" s="32">
        <v>1362141</v>
      </c>
      <c r="J200" s="35">
        <f>+G200-H200+I200</f>
        <v>1146042</v>
      </c>
      <c r="K200" s="27"/>
      <c r="L200" s="32">
        <v>0</v>
      </c>
      <c r="M200" s="35">
        <f>+J200+L200</f>
        <v>1146042</v>
      </c>
      <c r="N200" s="28" t="s">
        <v>481</v>
      </c>
      <c r="O200" s="29" t="s">
        <v>482</v>
      </c>
      <c r="P200" s="36">
        <v>44130</v>
      </c>
      <c r="Q200" s="31">
        <v>28810.82</v>
      </c>
      <c r="R200" s="33">
        <f>M200/Q200</f>
        <v>39.778180558554041</v>
      </c>
    </row>
    <row r="201" spans="1:18" s="30" customFormat="1" ht="15" customHeight="1">
      <c r="A201" s="37" t="s">
        <v>189</v>
      </c>
      <c r="B201" s="26" t="s">
        <v>225</v>
      </c>
      <c r="C201" s="39" t="s">
        <v>483</v>
      </c>
      <c r="D201" s="40" t="s">
        <v>484</v>
      </c>
      <c r="E201" s="38" t="s">
        <v>6</v>
      </c>
      <c r="F201" s="38" t="s">
        <v>12</v>
      </c>
      <c r="G201" s="32">
        <v>234112</v>
      </c>
      <c r="H201" s="32">
        <v>0</v>
      </c>
      <c r="I201" s="32">
        <v>5939867</v>
      </c>
      <c r="J201" s="35">
        <f>+G201-H201+I201</f>
        <v>6173979</v>
      </c>
      <c r="K201" s="28">
        <v>0</v>
      </c>
      <c r="L201" s="32">
        <v>0</v>
      </c>
      <c r="M201" s="35">
        <f>+J201+L201</f>
        <v>6173979</v>
      </c>
      <c r="N201" s="28" t="s">
        <v>247</v>
      </c>
      <c r="O201" s="29" t="s">
        <v>248</v>
      </c>
      <c r="P201" s="36">
        <v>44257</v>
      </c>
      <c r="Q201" s="31">
        <v>29301.98</v>
      </c>
      <c r="R201" s="33">
        <f>M201/Q201</f>
        <v>210.70176827641001</v>
      </c>
    </row>
    <row r="202" spans="1:18" s="30" customFormat="1" ht="15" customHeight="1">
      <c r="A202" s="37" t="s">
        <v>52</v>
      </c>
      <c r="B202" s="26" t="s">
        <v>262</v>
      </c>
      <c r="C202" s="39" t="s">
        <v>485</v>
      </c>
      <c r="D202" s="40" t="s">
        <v>486</v>
      </c>
      <c r="E202" s="38" t="s">
        <v>3</v>
      </c>
      <c r="F202" s="38" t="s">
        <v>13</v>
      </c>
      <c r="G202" s="32">
        <v>0</v>
      </c>
      <c r="H202" s="32">
        <v>741715</v>
      </c>
      <c r="I202" s="32">
        <v>817369</v>
      </c>
      <c r="J202" s="35">
        <f>+G202-H202+I202</f>
        <v>75654</v>
      </c>
      <c r="K202" s="28">
        <v>0</v>
      </c>
      <c r="L202" s="32">
        <v>0</v>
      </c>
      <c r="M202" s="35">
        <f>+J202+L202</f>
        <v>75654</v>
      </c>
      <c r="N202" s="28" t="s">
        <v>265</v>
      </c>
      <c r="O202" s="29" t="s">
        <v>266</v>
      </c>
      <c r="P202" s="36">
        <v>43846</v>
      </c>
      <c r="Q202" s="31">
        <v>28324.55</v>
      </c>
      <c r="R202" s="33">
        <f>M202/Q202</f>
        <v>2.670969176915432</v>
      </c>
    </row>
    <row r="203" spans="1:18" s="30" customFormat="1" ht="15" customHeight="1">
      <c r="A203" s="37" t="s">
        <v>52</v>
      </c>
      <c r="B203" s="26" t="s">
        <v>195</v>
      </c>
      <c r="C203" s="65" t="s">
        <v>485</v>
      </c>
      <c r="D203" s="51" t="s">
        <v>487</v>
      </c>
      <c r="E203" s="38" t="s">
        <v>3</v>
      </c>
      <c r="F203" s="38" t="s">
        <v>15</v>
      </c>
      <c r="G203" s="52"/>
      <c r="H203" s="52">
        <v>75069275</v>
      </c>
      <c r="I203" s="52">
        <v>205487946</v>
      </c>
      <c r="J203" s="53">
        <f>+G203-H203+I203</f>
        <v>130418671</v>
      </c>
      <c r="K203" s="28">
        <v>0</v>
      </c>
      <c r="L203" s="32">
        <v>0</v>
      </c>
      <c r="M203" s="53">
        <f>+J203+L203</f>
        <v>130418671</v>
      </c>
      <c r="N203" s="55" t="s">
        <v>289</v>
      </c>
      <c r="O203" s="29" t="s">
        <v>290</v>
      </c>
      <c r="P203" s="36">
        <v>44764</v>
      </c>
      <c r="Q203" s="49">
        <v>33330.449999999997</v>
      </c>
      <c r="R203" s="33">
        <f>M203/Q203</f>
        <v>3912.8985957285308</v>
      </c>
    </row>
    <row r="204" spans="1:18" s="30" customFormat="1" ht="15" customHeight="1">
      <c r="A204" s="37" t="s">
        <v>52</v>
      </c>
      <c r="B204" s="26" t="s">
        <v>262</v>
      </c>
      <c r="C204" s="39" t="s">
        <v>488</v>
      </c>
      <c r="D204" s="40" t="s">
        <v>489</v>
      </c>
      <c r="E204" s="38" t="s">
        <v>3</v>
      </c>
      <c r="F204" s="38" t="s">
        <v>10</v>
      </c>
      <c r="G204" s="32">
        <v>1334522</v>
      </c>
      <c r="H204" s="32">
        <v>0</v>
      </c>
      <c r="I204" s="32">
        <v>30915563</v>
      </c>
      <c r="J204" s="35">
        <f>+G204-H204+I204</f>
        <v>32250085</v>
      </c>
      <c r="K204" s="28">
        <v>0</v>
      </c>
      <c r="L204" s="32">
        <v>0</v>
      </c>
      <c r="M204" s="35">
        <f>+J204+L204</f>
        <v>32250085</v>
      </c>
      <c r="N204" s="28" t="s">
        <v>265</v>
      </c>
      <c r="O204" s="29" t="s">
        <v>266</v>
      </c>
      <c r="P204" s="36">
        <v>43846</v>
      </c>
      <c r="Q204" s="31">
        <v>28324.55</v>
      </c>
      <c r="R204" s="33">
        <f>M204/Q204</f>
        <v>1138.5912574074434</v>
      </c>
    </row>
    <row r="205" spans="1:18" s="30" customFormat="1" ht="15" customHeight="1">
      <c r="A205" s="37" t="s">
        <v>52</v>
      </c>
      <c r="B205" s="26" t="s">
        <v>195</v>
      </c>
      <c r="C205" s="39" t="s">
        <v>488</v>
      </c>
      <c r="D205" s="40" t="s">
        <v>490</v>
      </c>
      <c r="E205" s="38" t="s">
        <v>4</v>
      </c>
      <c r="F205" s="38" t="s">
        <v>20</v>
      </c>
      <c r="G205" s="32">
        <v>7530588</v>
      </c>
      <c r="H205" s="32">
        <v>13529068</v>
      </c>
      <c r="I205" s="32">
        <v>18401483</v>
      </c>
      <c r="J205" s="35">
        <f>+G205-H205+I205</f>
        <v>12403003</v>
      </c>
      <c r="K205" s="28">
        <v>0</v>
      </c>
      <c r="L205" s="32">
        <v>0</v>
      </c>
      <c r="M205" s="35">
        <f>+J205+L205</f>
        <v>12403003</v>
      </c>
      <c r="N205" s="28" t="s">
        <v>289</v>
      </c>
      <c r="O205" s="29" t="s">
        <v>290</v>
      </c>
      <c r="P205" s="36">
        <v>44764</v>
      </c>
      <c r="Q205" s="31">
        <v>33330.449999999997</v>
      </c>
      <c r="R205" s="33">
        <f>M205/Q205</f>
        <v>372.12227857709695</v>
      </c>
    </row>
    <row r="206" spans="1:18" s="30" customFormat="1" ht="15" customHeight="1">
      <c r="A206" s="37" t="s">
        <v>189</v>
      </c>
      <c r="B206" s="26" t="s">
        <v>225</v>
      </c>
      <c r="C206" s="39" t="s">
        <v>491</v>
      </c>
      <c r="D206" s="40" t="s">
        <v>492</v>
      </c>
      <c r="E206" s="38" t="s">
        <v>4</v>
      </c>
      <c r="F206" s="38" t="s">
        <v>11</v>
      </c>
      <c r="G206" s="32">
        <v>14662092</v>
      </c>
      <c r="H206" s="32">
        <v>24857180</v>
      </c>
      <c r="I206" s="52">
        <v>0</v>
      </c>
      <c r="J206" s="35">
        <f>+G206-H206+I206</f>
        <v>-10195088</v>
      </c>
      <c r="K206" s="28">
        <v>0</v>
      </c>
      <c r="L206" s="32">
        <v>0</v>
      </c>
      <c r="M206" s="35">
        <f>+J206+L206</f>
        <v>-10195088</v>
      </c>
      <c r="N206" s="28" t="s">
        <v>366</v>
      </c>
      <c r="O206" s="29" t="s">
        <v>367</v>
      </c>
      <c r="P206" s="36">
        <v>44174</v>
      </c>
      <c r="Q206" s="31">
        <v>29090.98</v>
      </c>
      <c r="R206" s="33">
        <f>M206/Q206</f>
        <v>-350.45529576521659</v>
      </c>
    </row>
    <row r="207" spans="1:18" s="30" customFormat="1" ht="15" customHeight="1">
      <c r="A207" s="37" t="s">
        <v>52</v>
      </c>
      <c r="B207" s="26" t="s">
        <v>262</v>
      </c>
      <c r="C207" s="39" t="s">
        <v>493</v>
      </c>
      <c r="D207" s="40" t="s">
        <v>494</v>
      </c>
      <c r="E207" s="38" t="s">
        <v>4</v>
      </c>
      <c r="F207" s="38" t="s">
        <v>16</v>
      </c>
      <c r="G207" s="32">
        <v>0</v>
      </c>
      <c r="H207" s="32">
        <v>0</v>
      </c>
      <c r="I207" s="32">
        <v>784799</v>
      </c>
      <c r="J207" s="35">
        <f>+G207-H207+I207</f>
        <v>784799</v>
      </c>
      <c r="K207" s="28">
        <v>0</v>
      </c>
      <c r="L207" s="32">
        <v>0</v>
      </c>
      <c r="M207" s="35">
        <f>+J207+L207</f>
        <v>784799</v>
      </c>
      <c r="N207" s="28" t="s">
        <v>265</v>
      </c>
      <c r="O207" s="29" t="s">
        <v>266</v>
      </c>
      <c r="P207" s="36">
        <v>43846</v>
      </c>
      <c r="Q207" s="31">
        <v>28324.55</v>
      </c>
      <c r="R207" s="33">
        <f>M207/Q207</f>
        <v>27.707377522326038</v>
      </c>
    </row>
    <row r="208" spans="1:18" s="30" customFormat="1" ht="15" customHeight="1">
      <c r="A208" s="37" t="s">
        <v>189</v>
      </c>
      <c r="B208" s="26" t="s">
        <v>190</v>
      </c>
      <c r="C208" s="39" t="s">
        <v>493</v>
      </c>
      <c r="D208" s="40" t="s">
        <v>495</v>
      </c>
      <c r="E208" s="38" t="s">
        <v>3</v>
      </c>
      <c r="F208" s="38" t="s">
        <v>11</v>
      </c>
      <c r="G208" s="32">
        <v>14223273</v>
      </c>
      <c r="H208" s="32">
        <v>13357336</v>
      </c>
      <c r="I208" s="52">
        <v>0</v>
      </c>
      <c r="J208" s="35">
        <f>+G208-H208+I208</f>
        <v>865937</v>
      </c>
      <c r="K208" s="28">
        <v>0</v>
      </c>
      <c r="L208" s="32">
        <v>0</v>
      </c>
      <c r="M208" s="35">
        <f>+J208+L208</f>
        <v>865937</v>
      </c>
      <c r="N208" s="28" t="s">
        <v>223</v>
      </c>
      <c r="O208" s="29" t="s">
        <v>224</v>
      </c>
      <c r="P208" s="36">
        <v>44265</v>
      </c>
      <c r="Q208" s="31">
        <v>29355.01</v>
      </c>
      <c r="R208" s="33">
        <f>M208/Q208</f>
        <v>29.498780617005412</v>
      </c>
    </row>
    <row r="209" spans="1:18" s="30" customFormat="1" ht="15" customHeight="1">
      <c r="A209" s="37" t="s">
        <v>189</v>
      </c>
      <c r="B209" s="26" t="s">
        <v>190</v>
      </c>
      <c r="C209" s="39" t="s">
        <v>496</v>
      </c>
      <c r="D209" s="40" t="s">
        <v>497</v>
      </c>
      <c r="E209" s="38" t="s">
        <v>3</v>
      </c>
      <c r="F209" s="38" t="s">
        <v>10</v>
      </c>
      <c r="G209" s="32">
        <v>45779613</v>
      </c>
      <c r="H209" s="32">
        <v>28845705</v>
      </c>
      <c r="I209" s="32">
        <v>26283440</v>
      </c>
      <c r="J209" s="35">
        <f>+G209-H209+I209</f>
        <v>43217348</v>
      </c>
      <c r="K209" s="28">
        <v>0</v>
      </c>
      <c r="L209" s="32">
        <v>0</v>
      </c>
      <c r="M209" s="35">
        <f>+J209+L209</f>
        <v>43217348</v>
      </c>
      <c r="N209" s="28" t="s">
        <v>223</v>
      </c>
      <c r="O209" s="29" t="s">
        <v>224</v>
      </c>
      <c r="P209" s="36">
        <v>44265</v>
      </c>
      <c r="Q209" s="31">
        <v>29355.01</v>
      </c>
      <c r="R209" s="33">
        <f>M209/Q209</f>
        <v>1472.230736763503</v>
      </c>
    </row>
    <row r="210" spans="1:18" s="30" customFormat="1" ht="15" customHeight="1">
      <c r="A210" s="37" t="s">
        <v>52</v>
      </c>
      <c r="B210" s="26" t="s">
        <v>262</v>
      </c>
      <c r="C210" s="39" t="s">
        <v>498</v>
      </c>
      <c r="D210" s="40" t="s">
        <v>499</v>
      </c>
      <c r="E210" s="38" t="s">
        <v>4</v>
      </c>
      <c r="F210" s="38" t="s">
        <v>11</v>
      </c>
      <c r="G210" s="32">
        <v>0</v>
      </c>
      <c r="H210" s="32">
        <v>36697366</v>
      </c>
      <c r="I210" s="32">
        <v>86658642</v>
      </c>
      <c r="J210" s="35">
        <f>+G210-H210+I210</f>
        <v>49961276</v>
      </c>
      <c r="K210" s="28">
        <v>0</v>
      </c>
      <c r="L210" s="32">
        <v>0</v>
      </c>
      <c r="M210" s="35">
        <f>+J210+L210</f>
        <v>49961276</v>
      </c>
      <c r="N210" s="28" t="s">
        <v>265</v>
      </c>
      <c r="O210" s="29" t="s">
        <v>266</v>
      </c>
      <c r="P210" s="36">
        <v>43846</v>
      </c>
      <c r="Q210" s="31">
        <v>28324.55</v>
      </c>
      <c r="R210" s="33">
        <f>M210/Q210</f>
        <v>1763.8859575880288</v>
      </c>
    </row>
    <row r="211" spans="1:18" s="30" customFormat="1" ht="15" customHeight="1">
      <c r="A211" s="37" t="s">
        <v>52</v>
      </c>
      <c r="B211" s="26" t="s">
        <v>195</v>
      </c>
      <c r="C211" s="65" t="s">
        <v>498</v>
      </c>
      <c r="D211" s="51" t="s">
        <v>500</v>
      </c>
      <c r="E211" s="38" t="s">
        <v>3</v>
      </c>
      <c r="F211" s="38" t="s">
        <v>199</v>
      </c>
      <c r="G211" s="52">
        <v>4275275</v>
      </c>
      <c r="H211" s="52">
        <v>109482</v>
      </c>
      <c r="I211" s="52"/>
      <c r="J211" s="53">
        <f>+G211-H211+I211</f>
        <v>4165793</v>
      </c>
      <c r="K211" s="28">
        <v>0</v>
      </c>
      <c r="L211" s="32">
        <v>0</v>
      </c>
      <c r="M211" s="53">
        <f>+J211+L211</f>
        <v>4165793</v>
      </c>
      <c r="N211" s="55" t="s">
        <v>289</v>
      </c>
      <c r="O211" s="29" t="s">
        <v>290</v>
      </c>
      <c r="P211" s="36">
        <v>44764</v>
      </c>
      <c r="Q211" s="49">
        <v>33330.449999999997</v>
      </c>
      <c r="R211" s="33">
        <f>M211/Q211</f>
        <v>124.98460116800105</v>
      </c>
    </row>
    <row r="212" spans="1:18" s="30" customFormat="1" ht="15" customHeight="1">
      <c r="A212" s="37" t="s">
        <v>52</v>
      </c>
      <c r="B212" s="26" t="s">
        <v>262</v>
      </c>
      <c r="C212" s="39" t="s">
        <v>501</v>
      </c>
      <c r="D212" s="40" t="s">
        <v>502</v>
      </c>
      <c r="E212" s="38" t="s">
        <v>3</v>
      </c>
      <c r="F212" s="38" t="s">
        <v>11</v>
      </c>
      <c r="G212" s="32">
        <v>0</v>
      </c>
      <c r="H212" s="32">
        <v>581889</v>
      </c>
      <c r="I212" s="32">
        <v>946161</v>
      </c>
      <c r="J212" s="35">
        <f>+G212-H212+I212</f>
        <v>364272</v>
      </c>
      <c r="K212" s="28">
        <v>0</v>
      </c>
      <c r="L212" s="32">
        <v>0</v>
      </c>
      <c r="M212" s="35">
        <f>+J212+L212</f>
        <v>364272</v>
      </c>
      <c r="N212" s="28" t="s">
        <v>265</v>
      </c>
      <c r="O212" s="29" t="s">
        <v>266</v>
      </c>
      <c r="P212" s="36">
        <v>43846</v>
      </c>
      <c r="Q212" s="31">
        <v>28324.55</v>
      </c>
      <c r="R212" s="33">
        <f>M212/Q212</f>
        <v>12.860645623672751</v>
      </c>
    </row>
    <row r="213" spans="1:18" s="30" customFormat="1" ht="15" customHeight="1">
      <c r="A213" s="37" t="s">
        <v>52</v>
      </c>
      <c r="B213" s="26" t="s">
        <v>195</v>
      </c>
      <c r="C213" s="65" t="s">
        <v>501</v>
      </c>
      <c r="D213" s="51" t="s">
        <v>503</v>
      </c>
      <c r="E213" s="38" t="s">
        <v>4</v>
      </c>
      <c r="F213" s="48" t="s">
        <v>11</v>
      </c>
      <c r="G213" s="52">
        <v>0</v>
      </c>
      <c r="H213" s="52">
        <v>91320159</v>
      </c>
      <c r="I213" s="52">
        <v>0</v>
      </c>
      <c r="J213" s="53">
        <f>+G213-H213+I213</f>
        <v>-91320159</v>
      </c>
      <c r="K213" s="28">
        <v>0</v>
      </c>
      <c r="L213" s="32">
        <v>0</v>
      </c>
      <c r="M213" s="53">
        <f>+J213+L213</f>
        <v>-91320159</v>
      </c>
      <c r="N213" s="55" t="s">
        <v>504</v>
      </c>
      <c r="O213" s="29" t="s">
        <v>505</v>
      </c>
      <c r="P213" s="36">
        <v>44496</v>
      </c>
      <c r="Q213" s="49">
        <v>30971.8</v>
      </c>
      <c r="R213" s="33">
        <f>M213/Q213</f>
        <v>-2948.4937588386856</v>
      </c>
    </row>
    <row r="214" spans="1:18" s="30" customFormat="1" ht="15" customHeight="1">
      <c r="A214" s="37" t="s">
        <v>236</v>
      </c>
      <c r="B214" s="26" t="s">
        <v>237</v>
      </c>
      <c r="C214" s="39" t="s">
        <v>506</v>
      </c>
      <c r="D214" s="40" t="s">
        <v>507</v>
      </c>
      <c r="E214" s="38" t="s">
        <v>198</v>
      </c>
      <c r="F214" s="38" t="s">
        <v>9</v>
      </c>
      <c r="G214" s="32">
        <v>0</v>
      </c>
      <c r="H214" s="32">
        <v>0</v>
      </c>
      <c r="I214" s="32">
        <v>711294098</v>
      </c>
      <c r="J214" s="35">
        <f>+G214-H214+I214</f>
        <v>711294098</v>
      </c>
      <c r="K214" s="28">
        <v>0</v>
      </c>
      <c r="L214" s="32">
        <v>0</v>
      </c>
      <c r="M214" s="35">
        <f>+J214+L214</f>
        <v>711294098</v>
      </c>
      <c r="N214" s="28" t="s">
        <v>240</v>
      </c>
      <c r="O214" s="29" t="s">
        <v>241</v>
      </c>
      <c r="P214" s="36">
        <v>44294</v>
      </c>
      <c r="Q214" s="31">
        <v>29409.93</v>
      </c>
      <c r="R214" s="33">
        <f>M214/Q214</f>
        <v>24185.508023990536</v>
      </c>
    </row>
    <row r="215" spans="1:18" s="30" customFormat="1" ht="15" customHeight="1">
      <c r="A215" s="37" t="s">
        <v>52</v>
      </c>
      <c r="B215" s="26" t="s">
        <v>262</v>
      </c>
      <c r="C215" s="39" t="s">
        <v>508</v>
      </c>
      <c r="D215" s="40" t="s">
        <v>509</v>
      </c>
      <c r="E215" s="38" t="s">
        <v>3</v>
      </c>
      <c r="F215" s="38" t="s">
        <v>21</v>
      </c>
      <c r="G215" s="32">
        <v>5696509</v>
      </c>
      <c r="H215" s="32">
        <v>1529720</v>
      </c>
      <c r="I215" s="32">
        <v>918234</v>
      </c>
      <c r="J215" s="35">
        <f>+G215-H215+I215</f>
        <v>5085023</v>
      </c>
      <c r="K215" s="28">
        <v>0</v>
      </c>
      <c r="L215" s="32">
        <v>0</v>
      </c>
      <c r="M215" s="35">
        <f>+J215+L215</f>
        <v>5085023</v>
      </c>
      <c r="N215" s="28" t="s">
        <v>265</v>
      </c>
      <c r="O215" s="29" t="s">
        <v>266</v>
      </c>
      <c r="P215" s="36">
        <v>43846</v>
      </c>
      <c r="Q215" s="31">
        <v>28324.55</v>
      </c>
      <c r="R215" s="33">
        <f>M215/Q215</f>
        <v>179.52705338654982</v>
      </c>
    </row>
    <row r="216" spans="1:18" s="30" customFormat="1" ht="15" customHeight="1">
      <c r="A216" s="37" t="s">
        <v>52</v>
      </c>
      <c r="B216" s="26" t="s">
        <v>195</v>
      </c>
      <c r="C216" s="65" t="s">
        <v>508</v>
      </c>
      <c r="D216" s="51" t="s">
        <v>510</v>
      </c>
      <c r="E216" s="38" t="s">
        <v>4</v>
      </c>
      <c r="F216" s="38" t="s">
        <v>12</v>
      </c>
      <c r="G216" s="52">
        <v>0</v>
      </c>
      <c r="H216" s="52">
        <v>255676439</v>
      </c>
      <c r="I216" s="52">
        <v>0</v>
      </c>
      <c r="J216" s="53">
        <f>+G216-H216+I216</f>
        <v>-255676439</v>
      </c>
      <c r="K216" s="28">
        <v>0</v>
      </c>
      <c r="L216" s="32">
        <v>0</v>
      </c>
      <c r="M216" s="53">
        <f>+J216+L216</f>
        <v>-255676439</v>
      </c>
      <c r="N216" s="55" t="s">
        <v>504</v>
      </c>
      <c r="O216" s="29" t="s">
        <v>505</v>
      </c>
      <c r="P216" s="36">
        <v>44496</v>
      </c>
      <c r="Q216" s="49">
        <v>30971.8</v>
      </c>
      <c r="R216" s="33">
        <f>M216/Q216</f>
        <v>-8255.1365758528736</v>
      </c>
    </row>
    <row r="217" spans="1:18" s="30" customFormat="1" ht="15" customHeight="1">
      <c r="A217" s="37" t="s">
        <v>189</v>
      </c>
      <c r="B217" s="26" t="s">
        <v>190</v>
      </c>
      <c r="C217" s="39" t="s">
        <v>511</v>
      </c>
      <c r="D217" s="40" t="s">
        <v>512</v>
      </c>
      <c r="E217" s="38" t="s">
        <v>3</v>
      </c>
      <c r="F217" s="38" t="s">
        <v>10</v>
      </c>
      <c r="G217" s="32">
        <v>56179439</v>
      </c>
      <c r="H217" s="32">
        <v>16689422</v>
      </c>
      <c r="I217" s="52">
        <v>0</v>
      </c>
      <c r="J217" s="35">
        <f>+G217-H217+I217</f>
        <v>39490017</v>
      </c>
      <c r="K217" s="28">
        <v>0</v>
      </c>
      <c r="L217" s="32">
        <v>0</v>
      </c>
      <c r="M217" s="35">
        <f>+J217+L217</f>
        <v>39490017</v>
      </c>
      <c r="N217" s="28" t="s">
        <v>204</v>
      </c>
      <c r="O217" s="29" t="s">
        <v>205</v>
      </c>
      <c r="P217" s="36">
        <v>44335</v>
      </c>
      <c r="Q217" s="31">
        <v>29567.53</v>
      </c>
      <c r="R217" s="33">
        <f>M217/Q217</f>
        <v>1335.5872810478252</v>
      </c>
    </row>
    <row r="218" spans="1:18" s="30" customFormat="1" ht="15" customHeight="1">
      <c r="A218" s="37" t="s">
        <v>52</v>
      </c>
      <c r="B218" s="26" t="s">
        <v>262</v>
      </c>
      <c r="C218" s="39" t="s">
        <v>513</v>
      </c>
      <c r="D218" s="40" t="s">
        <v>514</v>
      </c>
      <c r="E218" s="38" t="s">
        <v>3</v>
      </c>
      <c r="F218" s="38" t="s">
        <v>13</v>
      </c>
      <c r="G218" s="32">
        <v>1364985</v>
      </c>
      <c r="H218" s="32">
        <v>0</v>
      </c>
      <c r="I218" s="52">
        <v>0</v>
      </c>
      <c r="J218" s="35">
        <f>+G218-H218+I218</f>
        <v>1364985</v>
      </c>
      <c r="K218" s="28">
        <v>0</v>
      </c>
      <c r="L218" s="32">
        <v>0</v>
      </c>
      <c r="M218" s="35">
        <f>+J218+L218</f>
        <v>1364985</v>
      </c>
      <c r="N218" s="28" t="s">
        <v>265</v>
      </c>
      <c r="O218" s="29" t="s">
        <v>266</v>
      </c>
      <c r="P218" s="36">
        <v>43846</v>
      </c>
      <c r="Q218" s="31">
        <v>28324.55</v>
      </c>
      <c r="R218" s="33">
        <f>M218/Q218</f>
        <v>48.190880349378894</v>
      </c>
    </row>
    <row r="219" spans="1:18" s="30" customFormat="1" ht="15" customHeight="1">
      <c r="A219" s="37" t="s">
        <v>52</v>
      </c>
      <c r="B219" s="26" t="s">
        <v>195</v>
      </c>
      <c r="C219" s="65" t="s">
        <v>513</v>
      </c>
      <c r="D219" s="51" t="s">
        <v>515</v>
      </c>
      <c r="E219" s="38" t="s">
        <v>3</v>
      </c>
      <c r="F219" s="38" t="s">
        <v>199</v>
      </c>
      <c r="G219" s="52">
        <v>324737</v>
      </c>
      <c r="H219" s="52"/>
      <c r="I219" s="52"/>
      <c r="J219" s="53">
        <f>+G219-H219+I219</f>
        <v>324737</v>
      </c>
      <c r="K219" s="28">
        <v>0</v>
      </c>
      <c r="L219" s="32">
        <v>0</v>
      </c>
      <c r="M219" s="53">
        <f>+J219+L219</f>
        <v>324737</v>
      </c>
      <c r="N219" s="55" t="s">
        <v>289</v>
      </c>
      <c r="O219" s="29" t="s">
        <v>290</v>
      </c>
      <c r="P219" s="36">
        <v>44764</v>
      </c>
      <c r="Q219" s="49">
        <v>33330.449999999997</v>
      </c>
      <c r="R219" s="33">
        <f>M219/Q219</f>
        <v>9.7429527654142092</v>
      </c>
    </row>
    <row r="220" spans="1:18" s="30" customFormat="1" ht="15" customHeight="1">
      <c r="A220" s="37" t="s">
        <v>189</v>
      </c>
      <c r="B220" s="26" t="s">
        <v>225</v>
      </c>
      <c r="C220" s="39" t="s">
        <v>516</v>
      </c>
      <c r="D220" s="40" t="s">
        <v>517</v>
      </c>
      <c r="E220" s="38" t="s">
        <v>4</v>
      </c>
      <c r="F220" s="38" t="s">
        <v>11</v>
      </c>
      <c r="G220" s="32">
        <v>1847977</v>
      </c>
      <c r="H220" s="32">
        <v>0</v>
      </c>
      <c r="I220" s="52">
        <v>0</v>
      </c>
      <c r="J220" s="35">
        <f>+G220-H220+I220</f>
        <v>1847977</v>
      </c>
      <c r="K220" s="28">
        <v>0</v>
      </c>
      <c r="L220" s="32">
        <v>0</v>
      </c>
      <c r="M220" s="35">
        <f>+J220+L220</f>
        <v>1847977</v>
      </c>
      <c r="N220" s="28" t="s">
        <v>456</v>
      </c>
      <c r="O220" s="29" t="s">
        <v>457</v>
      </c>
      <c r="P220" s="36">
        <v>44097</v>
      </c>
      <c r="Q220" s="31">
        <v>28701.15</v>
      </c>
      <c r="R220" s="33">
        <f>M220/Q220</f>
        <v>64.386862547319524</v>
      </c>
    </row>
    <row r="221" spans="1:18" s="30" customFormat="1" ht="15" customHeight="1">
      <c r="A221" s="37" t="s">
        <v>52</v>
      </c>
      <c r="B221" s="26" t="s">
        <v>262</v>
      </c>
      <c r="C221" s="39" t="s">
        <v>518</v>
      </c>
      <c r="D221" s="40" t="s">
        <v>519</v>
      </c>
      <c r="E221" s="38" t="s">
        <v>4</v>
      </c>
      <c r="F221" s="38" t="s">
        <v>11</v>
      </c>
      <c r="G221" s="32">
        <v>0</v>
      </c>
      <c r="H221" s="32">
        <v>0</v>
      </c>
      <c r="I221" s="32">
        <v>8446634</v>
      </c>
      <c r="J221" s="35">
        <f>+G221-H221+I221</f>
        <v>8446634</v>
      </c>
      <c r="K221" s="28">
        <v>0</v>
      </c>
      <c r="L221" s="32">
        <v>0</v>
      </c>
      <c r="M221" s="35">
        <f>+J221+L221</f>
        <v>8446634</v>
      </c>
      <c r="N221" s="28" t="s">
        <v>265</v>
      </c>
      <c r="O221" s="29" t="s">
        <v>266</v>
      </c>
      <c r="P221" s="36">
        <v>43846</v>
      </c>
      <c r="Q221" s="31">
        <v>28324.55</v>
      </c>
      <c r="R221" s="33">
        <f>M221/Q221</f>
        <v>298.20893888870256</v>
      </c>
    </row>
    <row r="222" spans="1:18" s="30" customFormat="1" ht="15" customHeight="1">
      <c r="A222" s="37" t="s">
        <v>189</v>
      </c>
      <c r="B222" s="26" t="s">
        <v>225</v>
      </c>
      <c r="C222" s="39" t="s">
        <v>520</v>
      </c>
      <c r="D222" s="40" t="s">
        <v>521</v>
      </c>
      <c r="E222" s="38" t="s">
        <v>3</v>
      </c>
      <c r="F222" s="38" t="s">
        <v>10</v>
      </c>
      <c r="G222" s="32">
        <v>142247015</v>
      </c>
      <c r="H222" s="32">
        <v>115200221</v>
      </c>
      <c r="I222" s="52">
        <v>0</v>
      </c>
      <c r="J222" s="35">
        <f>+G222-H222+I222</f>
        <v>27046794</v>
      </c>
      <c r="K222" s="28">
        <v>0</v>
      </c>
      <c r="L222" s="32">
        <v>0</v>
      </c>
      <c r="M222" s="35">
        <f>+J222+L222</f>
        <v>27046794</v>
      </c>
      <c r="N222" s="28" t="s">
        <v>247</v>
      </c>
      <c r="O222" s="29" t="s">
        <v>248</v>
      </c>
      <c r="P222" s="36">
        <v>44257</v>
      </c>
      <c r="Q222" s="31">
        <v>29301.98</v>
      </c>
      <c r="R222" s="33">
        <f>M222/Q222</f>
        <v>923.03639549272782</v>
      </c>
    </row>
    <row r="223" spans="1:18" s="30" customFormat="1" ht="15" customHeight="1">
      <c r="A223" s="37" t="s">
        <v>52</v>
      </c>
      <c r="B223" s="26" t="s">
        <v>262</v>
      </c>
      <c r="C223" s="39" t="s">
        <v>522</v>
      </c>
      <c r="D223" s="40" t="s">
        <v>523</v>
      </c>
      <c r="E223" s="38" t="s">
        <v>4</v>
      </c>
      <c r="F223" s="38" t="s">
        <v>12</v>
      </c>
      <c r="G223" s="32">
        <v>0</v>
      </c>
      <c r="H223" s="32">
        <v>98567858</v>
      </c>
      <c r="I223" s="52">
        <v>0</v>
      </c>
      <c r="J223" s="35">
        <f>+G223-H223+I223</f>
        <v>-98567858</v>
      </c>
      <c r="K223" s="28">
        <v>0</v>
      </c>
      <c r="L223" s="32">
        <v>0</v>
      </c>
      <c r="M223" s="35">
        <f>+J223+L223</f>
        <v>-98567858</v>
      </c>
      <c r="N223" s="28" t="s">
        <v>265</v>
      </c>
      <c r="O223" s="29" t="s">
        <v>266</v>
      </c>
      <c r="P223" s="36">
        <v>43846</v>
      </c>
      <c r="Q223" s="31">
        <v>28324.55</v>
      </c>
      <c r="R223" s="33">
        <f>M223/Q223</f>
        <v>-3479.9443592219473</v>
      </c>
    </row>
    <row r="224" spans="1:18" s="30" customFormat="1" ht="15" customHeight="1">
      <c r="A224" s="37" t="s">
        <v>189</v>
      </c>
      <c r="B224" s="26" t="s">
        <v>190</v>
      </c>
      <c r="C224" s="39" t="s">
        <v>522</v>
      </c>
      <c r="D224" s="40" t="s">
        <v>524</v>
      </c>
      <c r="E224" s="38" t="s">
        <v>3</v>
      </c>
      <c r="F224" s="38" t="s">
        <v>12</v>
      </c>
      <c r="G224" s="32">
        <v>925910</v>
      </c>
      <c r="H224" s="32">
        <v>433637</v>
      </c>
      <c r="I224" s="32">
        <v>3667081</v>
      </c>
      <c r="J224" s="35">
        <f>+G224-H224+I224</f>
        <v>4159354</v>
      </c>
      <c r="K224" s="28">
        <v>0</v>
      </c>
      <c r="L224" s="32">
        <v>0</v>
      </c>
      <c r="M224" s="35">
        <f>+J224+L224</f>
        <v>4159354</v>
      </c>
      <c r="N224" s="28" t="s">
        <v>193</v>
      </c>
      <c r="O224" s="29" t="s">
        <v>194</v>
      </c>
      <c r="P224" s="36">
        <v>44383</v>
      </c>
      <c r="Q224" s="31">
        <v>29981.279999999999</v>
      </c>
      <c r="R224" s="33">
        <f>M224/Q224</f>
        <v>138.7317019153285</v>
      </c>
    </row>
    <row r="225" spans="1:18" s="30" customFormat="1" ht="15" customHeight="1">
      <c r="A225" s="37" t="s">
        <v>52</v>
      </c>
      <c r="B225" s="26" t="s">
        <v>195</v>
      </c>
      <c r="C225" s="65" t="s">
        <v>522</v>
      </c>
      <c r="D225" s="51" t="s">
        <v>525</v>
      </c>
      <c r="E225" s="38" t="s">
        <v>3</v>
      </c>
      <c r="F225" s="38" t="s">
        <v>199</v>
      </c>
      <c r="G225" s="52">
        <v>37743427</v>
      </c>
      <c r="H225" s="52"/>
      <c r="I225" s="52">
        <v>68030873</v>
      </c>
      <c r="J225" s="53">
        <f>+G225-H225+I225</f>
        <v>105774300</v>
      </c>
      <c r="K225" s="28">
        <v>0</v>
      </c>
      <c r="L225" s="32">
        <v>0</v>
      </c>
      <c r="M225" s="53">
        <f>+J225+L225</f>
        <v>105774300</v>
      </c>
      <c r="N225" s="55" t="s">
        <v>289</v>
      </c>
      <c r="O225" s="29" t="s">
        <v>290</v>
      </c>
      <c r="P225" s="36">
        <v>44764</v>
      </c>
      <c r="Q225" s="49">
        <v>33330.449999999997</v>
      </c>
      <c r="R225" s="33">
        <f>M225/Q225</f>
        <v>3173.5035080534467</v>
      </c>
    </row>
    <row r="226" spans="1:18" s="30" customFormat="1" ht="15" customHeight="1">
      <c r="A226" s="37" t="s">
        <v>52</v>
      </c>
      <c r="B226" s="26" t="s">
        <v>262</v>
      </c>
      <c r="C226" s="39" t="s">
        <v>526</v>
      </c>
      <c r="D226" s="40" t="s">
        <v>527</v>
      </c>
      <c r="E226" s="38" t="s">
        <v>4</v>
      </c>
      <c r="F226" s="38" t="s">
        <v>11</v>
      </c>
      <c r="G226" s="32">
        <v>0</v>
      </c>
      <c r="H226" s="32">
        <v>9897974</v>
      </c>
      <c r="I226" s="52">
        <v>0</v>
      </c>
      <c r="J226" s="35">
        <f>+G226-H226+I226</f>
        <v>-9897974</v>
      </c>
      <c r="K226" s="28">
        <v>0</v>
      </c>
      <c r="L226" s="32">
        <v>0</v>
      </c>
      <c r="M226" s="35">
        <f>+J226+L226</f>
        <v>-9897974</v>
      </c>
      <c r="N226" s="28" t="s">
        <v>265</v>
      </c>
      <c r="O226" s="29" t="s">
        <v>266</v>
      </c>
      <c r="P226" s="36">
        <v>43846</v>
      </c>
      <c r="Q226" s="31">
        <v>28324.55</v>
      </c>
      <c r="R226" s="33">
        <f>M226/Q226</f>
        <v>-349.44858788577403</v>
      </c>
    </row>
    <row r="227" spans="1:18" s="30" customFormat="1" ht="15" customHeight="1">
      <c r="A227" s="37" t="s">
        <v>189</v>
      </c>
      <c r="B227" s="26" t="s">
        <v>190</v>
      </c>
      <c r="C227" s="39" t="s">
        <v>528</v>
      </c>
      <c r="D227" s="40" t="s">
        <v>529</v>
      </c>
      <c r="E227" s="38" t="s">
        <v>4</v>
      </c>
      <c r="F227" s="38" t="s">
        <v>11</v>
      </c>
      <c r="G227" s="32">
        <v>0</v>
      </c>
      <c r="H227" s="32">
        <v>188632399</v>
      </c>
      <c r="I227" s="32">
        <v>259792146</v>
      </c>
      <c r="J227" s="35">
        <f>+G227-H227+I227</f>
        <v>71159747</v>
      </c>
      <c r="K227" s="28">
        <v>0</v>
      </c>
      <c r="L227" s="32">
        <v>0</v>
      </c>
      <c r="M227" s="35">
        <f>+J227+L227</f>
        <v>71159747</v>
      </c>
      <c r="N227" s="28" t="s">
        <v>223</v>
      </c>
      <c r="O227" s="29" t="s">
        <v>224</v>
      </c>
      <c r="P227" s="36">
        <v>44265</v>
      </c>
      <c r="Q227" s="31">
        <v>29355.01</v>
      </c>
      <c r="R227" s="33">
        <f>M227/Q227</f>
        <v>2424.1091043743472</v>
      </c>
    </row>
    <row r="228" spans="1:18" s="30" customFormat="1" ht="15" customHeight="1">
      <c r="A228" s="37" t="s">
        <v>52</v>
      </c>
      <c r="B228" s="26" t="s">
        <v>262</v>
      </c>
      <c r="C228" s="39" t="s">
        <v>530</v>
      </c>
      <c r="D228" s="40" t="s">
        <v>531</v>
      </c>
      <c r="E228" s="38" t="s">
        <v>6</v>
      </c>
      <c r="F228" s="38" t="s">
        <v>18</v>
      </c>
      <c r="G228" s="32">
        <v>7281783</v>
      </c>
      <c r="H228" s="32">
        <v>0</v>
      </c>
      <c r="I228" s="52">
        <v>0</v>
      </c>
      <c r="J228" s="35">
        <f>+G228-H228+I228</f>
        <v>7281783</v>
      </c>
      <c r="K228" s="28">
        <v>0</v>
      </c>
      <c r="L228" s="32">
        <v>0</v>
      </c>
      <c r="M228" s="35">
        <f>+J228+L228</f>
        <v>7281783</v>
      </c>
      <c r="N228" s="28" t="s">
        <v>265</v>
      </c>
      <c r="O228" s="29" t="s">
        <v>266</v>
      </c>
      <c r="P228" s="36">
        <v>43846</v>
      </c>
      <c r="Q228" s="31">
        <v>28324.55</v>
      </c>
      <c r="R228" s="33">
        <f>M228/Q228</f>
        <v>257.08380186092984</v>
      </c>
    </row>
    <row r="229" spans="1:18" s="30" customFormat="1" ht="15" customHeight="1">
      <c r="A229" s="37" t="s">
        <v>52</v>
      </c>
      <c r="B229" s="26" t="s">
        <v>195</v>
      </c>
      <c r="C229" s="65" t="s">
        <v>530</v>
      </c>
      <c r="D229" s="51" t="s">
        <v>532</v>
      </c>
      <c r="E229" s="38" t="s">
        <v>3</v>
      </c>
      <c r="F229" s="38" t="s">
        <v>199</v>
      </c>
      <c r="G229" s="52">
        <v>578377</v>
      </c>
      <c r="H229" s="52"/>
      <c r="I229" s="52">
        <v>7546480</v>
      </c>
      <c r="J229" s="53">
        <f>+G229-H229+I229</f>
        <v>8124857</v>
      </c>
      <c r="K229" s="28">
        <v>0</v>
      </c>
      <c r="L229" s="32">
        <v>0</v>
      </c>
      <c r="M229" s="53">
        <f>+J229+L229</f>
        <v>8124857</v>
      </c>
      <c r="N229" s="55" t="s">
        <v>289</v>
      </c>
      <c r="O229" s="29" t="s">
        <v>290</v>
      </c>
      <c r="P229" s="36">
        <v>44764</v>
      </c>
      <c r="Q229" s="49">
        <v>33330.449999999997</v>
      </c>
      <c r="R229" s="33">
        <f>M229/Q229</f>
        <v>243.76679582783913</v>
      </c>
    </row>
    <row r="230" spans="1:18" s="30" customFormat="1" ht="15" customHeight="1">
      <c r="A230" s="37" t="s">
        <v>293</v>
      </c>
      <c r="B230" s="26" t="s">
        <v>294</v>
      </c>
      <c r="C230" s="39">
        <v>504</v>
      </c>
      <c r="D230" s="40" t="s">
        <v>533</v>
      </c>
      <c r="E230" s="38" t="s">
        <v>3</v>
      </c>
      <c r="F230" s="38" t="s">
        <v>12</v>
      </c>
      <c r="G230" s="32">
        <v>0</v>
      </c>
      <c r="H230" s="32">
        <v>1028399</v>
      </c>
      <c r="I230" s="32">
        <v>2279122</v>
      </c>
      <c r="J230" s="35">
        <f>+G230-H230+I230</f>
        <v>1250723</v>
      </c>
      <c r="K230" s="27" t="s">
        <v>297</v>
      </c>
      <c r="L230" s="32">
        <v>0</v>
      </c>
      <c r="M230" s="35">
        <f>+J230+L230</f>
        <v>1250723</v>
      </c>
      <c r="N230" s="55" t="s">
        <v>298</v>
      </c>
      <c r="O230" s="56" t="s">
        <v>299</v>
      </c>
      <c r="P230" s="56">
        <v>44502</v>
      </c>
      <c r="Q230" s="49">
        <v>30403.919999999998</v>
      </c>
      <c r="R230" s="57">
        <f>+M230/Q230</f>
        <v>41.136899452439032</v>
      </c>
    </row>
    <row r="231" spans="1:18" s="30" customFormat="1" ht="15" customHeight="1">
      <c r="A231" s="37" t="s">
        <v>52</v>
      </c>
      <c r="B231" s="26" t="s">
        <v>262</v>
      </c>
      <c r="C231" s="39" t="s">
        <v>534</v>
      </c>
      <c r="D231" s="40" t="s">
        <v>535</v>
      </c>
      <c r="E231" s="38" t="s">
        <v>3</v>
      </c>
      <c r="F231" s="38" t="s">
        <v>15</v>
      </c>
      <c r="G231" s="32">
        <v>2138103</v>
      </c>
      <c r="H231" s="32">
        <v>2493164</v>
      </c>
      <c r="I231" s="32">
        <v>4558909</v>
      </c>
      <c r="J231" s="35">
        <f>+G231-H231+I231</f>
        <v>4203848</v>
      </c>
      <c r="K231" s="28">
        <v>0</v>
      </c>
      <c r="L231" s="32">
        <v>0</v>
      </c>
      <c r="M231" s="35">
        <f>+J231+L231</f>
        <v>4203848</v>
      </c>
      <c r="N231" s="28" t="s">
        <v>265</v>
      </c>
      <c r="O231" s="29" t="s">
        <v>266</v>
      </c>
      <c r="P231" s="36">
        <v>43846</v>
      </c>
      <c r="Q231" s="31">
        <v>28324.55</v>
      </c>
      <c r="R231" s="33">
        <f>M231/Q231</f>
        <v>148.41711518806125</v>
      </c>
    </row>
    <row r="232" spans="1:18" s="30" customFormat="1" ht="15" customHeight="1">
      <c r="A232" s="37" t="s">
        <v>189</v>
      </c>
      <c r="B232" s="26" t="s">
        <v>190</v>
      </c>
      <c r="C232" s="39" t="s">
        <v>534</v>
      </c>
      <c r="D232" s="40" t="s">
        <v>536</v>
      </c>
      <c r="E232" s="38" t="s">
        <v>3</v>
      </c>
      <c r="F232" s="38" t="s">
        <v>15</v>
      </c>
      <c r="G232" s="32">
        <v>5868282</v>
      </c>
      <c r="H232" s="32">
        <v>0</v>
      </c>
      <c r="I232" s="52">
        <v>0</v>
      </c>
      <c r="J232" s="35">
        <f>+G232-H232+I232</f>
        <v>5868282</v>
      </c>
      <c r="K232" s="28">
        <v>0</v>
      </c>
      <c r="L232" s="32">
        <v>0</v>
      </c>
      <c r="M232" s="35">
        <f>+J232+L232</f>
        <v>5868282</v>
      </c>
      <c r="N232" s="28" t="s">
        <v>204</v>
      </c>
      <c r="O232" s="29" t="s">
        <v>205</v>
      </c>
      <c r="P232" s="36">
        <v>44335</v>
      </c>
      <c r="Q232" s="31">
        <v>29567.53</v>
      </c>
      <c r="R232" s="33">
        <f>M232/Q232</f>
        <v>198.47048434549657</v>
      </c>
    </row>
    <row r="233" spans="1:18" s="30" customFormat="1" ht="15" customHeight="1">
      <c r="A233" s="37" t="s">
        <v>189</v>
      </c>
      <c r="B233" s="26" t="s">
        <v>225</v>
      </c>
      <c r="C233" s="39" t="s">
        <v>534</v>
      </c>
      <c r="D233" s="40" t="s">
        <v>537</v>
      </c>
      <c r="E233" s="38" t="s">
        <v>4</v>
      </c>
      <c r="F233" s="38" t="s">
        <v>10</v>
      </c>
      <c r="G233" s="32">
        <v>139634</v>
      </c>
      <c r="H233" s="32">
        <v>0</v>
      </c>
      <c r="I233" s="32">
        <v>3696</v>
      </c>
      <c r="J233" s="35">
        <f>+G233-H233+I233</f>
        <v>143330</v>
      </c>
      <c r="K233" s="28">
        <v>0</v>
      </c>
      <c r="L233" s="32">
        <v>0</v>
      </c>
      <c r="M233" s="35">
        <f>+J233+L233</f>
        <v>143330</v>
      </c>
      <c r="N233" s="28" t="s">
        <v>538</v>
      </c>
      <c r="O233" s="29" t="s">
        <v>539</v>
      </c>
      <c r="P233" s="36">
        <v>44067</v>
      </c>
      <c r="Q233" s="31">
        <v>28672.97</v>
      </c>
      <c r="R233" s="33">
        <f>M233/Q233</f>
        <v>4.9987845695789446</v>
      </c>
    </row>
    <row r="234" spans="1:18" s="30" customFormat="1" ht="15" customHeight="1">
      <c r="A234" s="37" t="s">
        <v>52</v>
      </c>
      <c r="B234" s="26" t="s">
        <v>195</v>
      </c>
      <c r="C234" s="65" t="s">
        <v>534</v>
      </c>
      <c r="D234" s="51" t="s">
        <v>540</v>
      </c>
      <c r="E234" s="38" t="s">
        <v>3</v>
      </c>
      <c r="F234" s="38" t="s">
        <v>199</v>
      </c>
      <c r="G234" s="52"/>
      <c r="H234" s="52">
        <v>360985</v>
      </c>
      <c r="I234" s="52">
        <v>2616753</v>
      </c>
      <c r="J234" s="53">
        <f>+G234-H234+I234</f>
        <v>2255768</v>
      </c>
      <c r="K234" s="28">
        <v>0</v>
      </c>
      <c r="L234" s="32">
        <v>0</v>
      </c>
      <c r="M234" s="53">
        <f>+J234+L234</f>
        <v>2255768</v>
      </c>
      <c r="N234" s="55" t="s">
        <v>289</v>
      </c>
      <c r="O234" s="29" t="s">
        <v>290</v>
      </c>
      <c r="P234" s="36">
        <v>44764</v>
      </c>
      <c r="Q234" s="49">
        <v>33330.449999999997</v>
      </c>
      <c r="R234" s="33">
        <f>M234/Q234</f>
        <v>67.678894224350415</v>
      </c>
    </row>
    <row r="235" spans="1:18" s="30" customFormat="1" ht="15" customHeight="1">
      <c r="A235" s="37" t="s">
        <v>52</v>
      </c>
      <c r="B235" s="26" t="s">
        <v>262</v>
      </c>
      <c r="C235" s="39" t="s">
        <v>541</v>
      </c>
      <c r="D235" s="40" t="s">
        <v>542</v>
      </c>
      <c r="E235" s="38" t="s">
        <v>3</v>
      </c>
      <c r="F235" s="38" t="s">
        <v>15</v>
      </c>
      <c r="G235" s="32">
        <v>2230217</v>
      </c>
      <c r="H235" s="32">
        <v>1396786</v>
      </c>
      <c r="I235" s="32">
        <v>6164273</v>
      </c>
      <c r="J235" s="35">
        <f>+G235-H235+I235</f>
        <v>6997704</v>
      </c>
      <c r="K235" s="28">
        <v>0</v>
      </c>
      <c r="L235" s="32">
        <v>0</v>
      </c>
      <c r="M235" s="35">
        <f>+J235+L235</f>
        <v>6997704</v>
      </c>
      <c r="N235" s="28" t="s">
        <v>265</v>
      </c>
      <c r="O235" s="29" t="s">
        <v>266</v>
      </c>
      <c r="P235" s="36">
        <v>43846</v>
      </c>
      <c r="Q235" s="31">
        <v>28324.55</v>
      </c>
      <c r="R235" s="33">
        <f>M235/Q235</f>
        <v>247.05437509157252</v>
      </c>
    </row>
    <row r="236" spans="1:18" s="30" customFormat="1" ht="15" customHeight="1">
      <c r="A236" s="37" t="s">
        <v>189</v>
      </c>
      <c r="B236" s="26" t="s">
        <v>225</v>
      </c>
      <c r="C236" s="39" t="s">
        <v>543</v>
      </c>
      <c r="D236" s="40" t="s">
        <v>544</v>
      </c>
      <c r="E236" s="38" t="s">
        <v>3</v>
      </c>
      <c r="F236" s="38" t="s">
        <v>11</v>
      </c>
      <c r="G236" s="32">
        <v>0</v>
      </c>
      <c r="H236" s="32">
        <v>2301708</v>
      </c>
      <c r="I236" s="52">
        <v>0</v>
      </c>
      <c r="J236" s="35">
        <f>+G236-H236+I236</f>
        <v>-2301708</v>
      </c>
      <c r="K236" s="28">
        <v>0</v>
      </c>
      <c r="L236" s="32">
        <v>0</v>
      </c>
      <c r="M236" s="35">
        <f>+J236+L236</f>
        <v>-2301708</v>
      </c>
      <c r="N236" s="28" t="s">
        <v>366</v>
      </c>
      <c r="O236" s="29" t="s">
        <v>367</v>
      </c>
      <c r="P236" s="36">
        <v>44174</v>
      </c>
      <c r="Q236" s="31">
        <v>29090.98</v>
      </c>
      <c r="R236" s="33">
        <f>M236/Q236</f>
        <v>-79.121019642514625</v>
      </c>
    </row>
    <row r="237" spans="1:18" s="30" customFormat="1" ht="15" customHeight="1">
      <c r="A237" s="37" t="s">
        <v>52</v>
      </c>
      <c r="B237" s="26" t="s">
        <v>262</v>
      </c>
      <c r="C237" s="39" t="s">
        <v>545</v>
      </c>
      <c r="D237" s="40" t="s">
        <v>546</v>
      </c>
      <c r="E237" s="38" t="s">
        <v>3</v>
      </c>
      <c r="F237" s="38" t="s">
        <v>15</v>
      </c>
      <c r="G237" s="32">
        <v>5312700</v>
      </c>
      <c r="H237" s="32">
        <v>4511347</v>
      </c>
      <c r="I237" s="32">
        <v>4631827</v>
      </c>
      <c r="J237" s="35">
        <f>+G237-H237+I237</f>
        <v>5433180</v>
      </c>
      <c r="K237" s="28">
        <v>0</v>
      </c>
      <c r="L237" s="32">
        <v>0</v>
      </c>
      <c r="M237" s="35">
        <f>+J237+L237</f>
        <v>5433180</v>
      </c>
      <c r="N237" s="28" t="s">
        <v>265</v>
      </c>
      <c r="O237" s="29" t="s">
        <v>266</v>
      </c>
      <c r="P237" s="36">
        <v>43846</v>
      </c>
      <c r="Q237" s="31">
        <v>28324.55</v>
      </c>
      <c r="R237" s="33">
        <f>M237/Q237</f>
        <v>191.81875793260616</v>
      </c>
    </row>
    <row r="238" spans="1:18" s="30" customFormat="1" ht="15" customHeight="1">
      <c r="A238" s="37" t="s">
        <v>189</v>
      </c>
      <c r="B238" s="26" t="s">
        <v>225</v>
      </c>
      <c r="C238" s="39" t="s">
        <v>547</v>
      </c>
      <c r="D238" s="40" t="s">
        <v>548</v>
      </c>
      <c r="E238" s="38" t="s">
        <v>3</v>
      </c>
      <c r="F238" s="38" t="s">
        <v>12</v>
      </c>
      <c r="G238" s="32">
        <v>734261</v>
      </c>
      <c r="H238" s="32">
        <v>0</v>
      </c>
      <c r="I238" s="32">
        <v>305948</v>
      </c>
      <c r="J238" s="35">
        <f>+G238-H238+I238</f>
        <v>1040209</v>
      </c>
      <c r="K238" s="28">
        <v>0</v>
      </c>
      <c r="L238" s="32">
        <v>0</v>
      </c>
      <c r="M238" s="35">
        <f>+J238+L238</f>
        <v>1040209</v>
      </c>
      <c r="N238" s="28" t="s">
        <v>456</v>
      </c>
      <c r="O238" s="29" t="s">
        <v>457</v>
      </c>
      <c r="P238" s="36">
        <v>44097</v>
      </c>
      <c r="Q238" s="31">
        <v>28701.15</v>
      </c>
      <c r="R238" s="33">
        <f>M238/Q238</f>
        <v>36.242763791694756</v>
      </c>
    </row>
    <row r="239" spans="1:18" s="30" customFormat="1" ht="15" customHeight="1">
      <c r="A239" s="37" t="s">
        <v>293</v>
      </c>
      <c r="B239" s="26" t="s">
        <v>294</v>
      </c>
      <c r="C239" s="39">
        <v>547</v>
      </c>
      <c r="D239" s="40" t="s">
        <v>549</v>
      </c>
      <c r="E239" s="38" t="s">
        <v>198</v>
      </c>
      <c r="F239" s="38" t="s">
        <v>15</v>
      </c>
      <c r="G239" s="32">
        <v>0</v>
      </c>
      <c r="H239" s="32">
        <v>0</v>
      </c>
      <c r="I239" s="32">
        <v>2585323</v>
      </c>
      <c r="J239" s="35">
        <f>+G239-H239+I239</f>
        <v>2585323</v>
      </c>
      <c r="K239" s="27" t="s">
        <v>401</v>
      </c>
      <c r="L239" s="32">
        <v>0</v>
      </c>
      <c r="M239" s="35">
        <f>+J239+L239</f>
        <v>2585323</v>
      </c>
      <c r="N239" s="55" t="s">
        <v>402</v>
      </c>
      <c r="O239" s="56" t="s">
        <v>403</v>
      </c>
      <c r="P239" s="56">
        <v>44524</v>
      </c>
      <c r="Q239" s="49">
        <v>30683.439999999999</v>
      </c>
      <c r="R239" s="57">
        <f>+M239/Q239</f>
        <v>84.257925447733371</v>
      </c>
    </row>
    <row r="240" spans="1:18" s="30" customFormat="1" ht="15" customHeight="1">
      <c r="A240" s="37" t="s">
        <v>293</v>
      </c>
      <c r="B240" s="26" t="s">
        <v>294</v>
      </c>
      <c r="C240" s="39">
        <v>522</v>
      </c>
      <c r="D240" s="40" t="s">
        <v>550</v>
      </c>
      <c r="E240" s="38" t="s">
        <v>3</v>
      </c>
      <c r="F240" s="38" t="s">
        <v>19</v>
      </c>
      <c r="G240" s="32">
        <v>0</v>
      </c>
      <c r="H240" s="32">
        <v>0</v>
      </c>
      <c r="I240" s="32">
        <v>2621118</v>
      </c>
      <c r="J240" s="35">
        <f>+G240-H240+I240</f>
        <v>2621118</v>
      </c>
      <c r="K240" s="27" t="s">
        <v>297</v>
      </c>
      <c r="L240" s="32">
        <v>0</v>
      </c>
      <c r="M240" s="35">
        <f>+J240+L240</f>
        <v>2621118</v>
      </c>
      <c r="N240" s="28" t="s">
        <v>459</v>
      </c>
      <c r="O240" s="29" t="s">
        <v>460</v>
      </c>
      <c r="P240" s="36" t="s">
        <v>461</v>
      </c>
      <c r="Q240" s="31">
        <v>30683.439999999999</v>
      </c>
      <c r="R240" s="33">
        <f>+M240/Q240</f>
        <v>85.424515634492096</v>
      </c>
    </row>
    <row r="241" spans="1:18" s="30" customFormat="1" ht="15" customHeight="1">
      <c r="A241" s="37" t="s">
        <v>52</v>
      </c>
      <c r="B241" s="26" t="s">
        <v>262</v>
      </c>
      <c r="C241" s="39" t="s">
        <v>551</v>
      </c>
      <c r="D241" s="40" t="s">
        <v>552</v>
      </c>
      <c r="E241" s="38" t="s">
        <v>3</v>
      </c>
      <c r="F241" s="38" t="s">
        <v>15</v>
      </c>
      <c r="G241" s="32">
        <v>0</v>
      </c>
      <c r="H241" s="32">
        <v>874820</v>
      </c>
      <c r="I241" s="32">
        <v>14239553</v>
      </c>
      <c r="J241" s="35">
        <f>+G241-H241+I241</f>
        <v>13364733</v>
      </c>
      <c r="K241" s="28">
        <v>0</v>
      </c>
      <c r="L241" s="32">
        <v>0</v>
      </c>
      <c r="M241" s="35">
        <f>+J241+L241</f>
        <v>13364733</v>
      </c>
      <c r="N241" s="28" t="s">
        <v>265</v>
      </c>
      <c r="O241" s="29" t="s">
        <v>266</v>
      </c>
      <c r="P241" s="36">
        <v>43846</v>
      </c>
      <c r="Q241" s="31">
        <v>28324.55</v>
      </c>
      <c r="R241" s="33">
        <f>M241/Q241</f>
        <v>471.84273006985109</v>
      </c>
    </row>
    <row r="242" spans="1:18" s="30" customFormat="1" ht="15" customHeight="1">
      <c r="A242" s="46" t="s">
        <v>189</v>
      </c>
      <c r="B242" s="26" t="s">
        <v>190</v>
      </c>
      <c r="C242" s="65" t="s">
        <v>551</v>
      </c>
      <c r="D242" s="51" t="s">
        <v>553</v>
      </c>
      <c r="E242" s="38" t="s">
        <v>3</v>
      </c>
      <c r="F242" s="48" t="s">
        <v>10</v>
      </c>
      <c r="G242" s="52">
        <v>1267958</v>
      </c>
      <c r="H242" s="52"/>
      <c r="I242" s="52"/>
      <c r="J242" s="53">
        <f>+G242-H242+I242</f>
        <v>1267958</v>
      </c>
      <c r="K242" s="70">
        <v>0</v>
      </c>
      <c r="L242" s="52">
        <v>0</v>
      </c>
      <c r="M242" s="53">
        <f>+J242+L242</f>
        <v>1267958</v>
      </c>
      <c r="N242" s="55" t="s">
        <v>218</v>
      </c>
      <c r="O242" s="56" t="s">
        <v>219</v>
      </c>
      <c r="P242" s="56">
        <v>44531</v>
      </c>
      <c r="Q242" s="49">
        <v>30776.05</v>
      </c>
      <c r="R242" s="57">
        <f>M242/Q242</f>
        <v>41.199504159890566</v>
      </c>
    </row>
    <row r="243" spans="1:18" s="30" customFormat="1" ht="15" customHeight="1">
      <c r="A243" s="37" t="s">
        <v>52</v>
      </c>
      <c r="B243" s="26" t="s">
        <v>195</v>
      </c>
      <c r="C243" s="65" t="s">
        <v>551</v>
      </c>
      <c r="D243" s="51" t="s">
        <v>554</v>
      </c>
      <c r="E243" s="38" t="s">
        <v>3</v>
      </c>
      <c r="F243" s="38" t="s">
        <v>199</v>
      </c>
      <c r="G243" s="52"/>
      <c r="H243" s="52">
        <v>7096390</v>
      </c>
      <c r="I243" s="52">
        <v>108913409</v>
      </c>
      <c r="J243" s="53">
        <f>+G243-H243+I243</f>
        <v>101817019</v>
      </c>
      <c r="K243" s="28">
        <v>0</v>
      </c>
      <c r="L243" s="32">
        <v>0</v>
      </c>
      <c r="M243" s="53">
        <f>+J243+L243</f>
        <v>101817019</v>
      </c>
      <c r="N243" s="55" t="s">
        <v>289</v>
      </c>
      <c r="O243" s="29" t="s">
        <v>290</v>
      </c>
      <c r="P243" s="36">
        <v>44764</v>
      </c>
      <c r="Q243" s="49">
        <v>33330.449999999997</v>
      </c>
      <c r="R243" s="33">
        <f>M243/Q243</f>
        <v>3054.7748080208939</v>
      </c>
    </row>
    <row r="244" spans="1:18" s="30" customFormat="1" ht="15" customHeight="1">
      <c r="A244" s="37" t="s">
        <v>52</v>
      </c>
      <c r="B244" s="26" t="s">
        <v>555</v>
      </c>
      <c r="C244" s="39" t="s">
        <v>556</v>
      </c>
      <c r="D244" s="40" t="s">
        <v>557</v>
      </c>
      <c r="E244" s="38" t="s">
        <v>4</v>
      </c>
      <c r="F244" s="38" t="s">
        <v>21</v>
      </c>
      <c r="G244" s="32">
        <v>1835980</v>
      </c>
      <c r="H244" s="32">
        <v>3811653</v>
      </c>
      <c r="I244" s="52">
        <v>0</v>
      </c>
      <c r="J244" s="35">
        <f>+G244-H244+I244</f>
        <v>-1975673</v>
      </c>
      <c r="K244" s="28">
        <v>0</v>
      </c>
      <c r="L244" s="32">
        <v>0</v>
      </c>
      <c r="M244" s="35">
        <f>+J244+L244</f>
        <v>-1975673</v>
      </c>
      <c r="N244" s="28" t="s">
        <v>558</v>
      </c>
      <c r="O244" s="29" t="s">
        <v>559</v>
      </c>
      <c r="P244" s="36">
        <v>43922</v>
      </c>
      <c r="Q244" s="31">
        <v>28601.15</v>
      </c>
      <c r="R244" s="33">
        <f>M244/Q244</f>
        <v>-69.076697964941971</v>
      </c>
    </row>
    <row r="245" spans="1:18" s="30" customFormat="1" ht="15" customHeight="1">
      <c r="A245" s="37" t="s">
        <v>52</v>
      </c>
      <c r="B245" s="26" t="s">
        <v>262</v>
      </c>
      <c r="C245" s="39" t="s">
        <v>560</v>
      </c>
      <c r="D245" s="40" t="s">
        <v>561</v>
      </c>
      <c r="E245" s="38" t="s">
        <v>3</v>
      </c>
      <c r="F245" s="38" t="s">
        <v>13</v>
      </c>
      <c r="G245" s="32">
        <v>4934815</v>
      </c>
      <c r="H245" s="32">
        <v>2023209</v>
      </c>
      <c r="I245" s="32">
        <v>10596787</v>
      </c>
      <c r="J245" s="35">
        <f>+G245-H245+I245</f>
        <v>13508393</v>
      </c>
      <c r="K245" s="28">
        <v>0</v>
      </c>
      <c r="L245" s="32">
        <v>0</v>
      </c>
      <c r="M245" s="35">
        <f>+J245+L245</f>
        <v>13508393</v>
      </c>
      <c r="N245" s="28" t="s">
        <v>265</v>
      </c>
      <c r="O245" s="29" t="s">
        <v>266</v>
      </c>
      <c r="P245" s="36">
        <v>43846</v>
      </c>
      <c r="Q245" s="31">
        <v>28324.55</v>
      </c>
      <c r="R245" s="33">
        <f>M245/Q245</f>
        <v>476.91465530785132</v>
      </c>
    </row>
    <row r="246" spans="1:18" s="30" customFormat="1" ht="15" customHeight="1">
      <c r="A246" s="37" t="s">
        <v>189</v>
      </c>
      <c r="B246" s="26" t="s">
        <v>225</v>
      </c>
      <c r="C246" s="39" t="s">
        <v>560</v>
      </c>
      <c r="D246" s="40" t="s">
        <v>562</v>
      </c>
      <c r="E246" s="38" t="s">
        <v>3</v>
      </c>
      <c r="F246" s="38" t="s">
        <v>10</v>
      </c>
      <c r="G246" s="32">
        <v>2292687</v>
      </c>
      <c r="H246" s="32">
        <v>0</v>
      </c>
      <c r="I246" s="52">
        <v>0</v>
      </c>
      <c r="J246" s="35">
        <f>+G246-H246+I246</f>
        <v>2292687</v>
      </c>
      <c r="K246" s="28">
        <v>0</v>
      </c>
      <c r="L246" s="32">
        <v>0</v>
      </c>
      <c r="M246" s="35">
        <f>+J246+L246</f>
        <v>2292687</v>
      </c>
      <c r="N246" s="28" t="s">
        <v>443</v>
      </c>
      <c r="O246" s="29" t="s">
        <v>444</v>
      </c>
      <c r="P246" s="36">
        <v>44014</v>
      </c>
      <c r="Q246" s="31">
        <v>28694.5</v>
      </c>
      <c r="R246" s="33">
        <f>M246/Q246</f>
        <v>79.899876282911364</v>
      </c>
    </row>
    <row r="247" spans="1:18" s="30" customFormat="1" ht="15" customHeight="1">
      <c r="A247" s="37" t="s">
        <v>52</v>
      </c>
      <c r="B247" s="26" t="s">
        <v>195</v>
      </c>
      <c r="C247" s="65" t="s">
        <v>560</v>
      </c>
      <c r="D247" s="51" t="s">
        <v>563</v>
      </c>
      <c r="E247" s="38" t="s">
        <v>3</v>
      </c>
      <c r="F247" s="38" t="s">
        <v>199</v>
      </c>
      <c r="G247" s="52"/>
      <c r="H247" s="52">
        <v>9859640</v>
      </c>
      <c r="I247" s="52">
        <v>27594568</v>
      </c>
      <c r="J247" s="53">
        <f>+G247-H247+I247</f>
        <v>17734928</v>
      </c>
      <c r="K247" s="28">
        <v>0</v>
      </c>
      <c r="L247" s="32">
        <v>0</v>
      </c>
      <c r="M247" s="53">
        <f>+J247+L247</f>
        <v>17734928</v>
      </c>
      <c r="N247" s="55" t="s">
        <v>289</v>
      </c>
      <c r="O247" s="29" t="s">
        <v>290</v>
      </c>
      <c r="P247" s="36">
        <v>44764</v>
      </c>
      <c r="Q247" s="49">
        <v>33330.449999999997</v>
      </c>
      <c r="R247" s="33">
        <f>M247/Q247</f>
        <v>532.09386611941943</v>
      </c>
    </row>
    <row r="248" spans="1:18" s="30" customFormat="1" ht="15" customHeight="1">
      <c r="A248" s="37" t="s">
        <v>52</v>
      </c>
      <c r="B248" s="26" t="s">
        <v>262</v>
      </c>
      <c r="C248" s="39" t="s">
        <v>564</v>
      </c>
      <c r="D248" s="40" t="s">
        <v>565</v>
      </c>
      <c r="E248" s="38" t="s">
        <v>4</v>
      </c>
      <c r="F248" s="38" t="s">
        <v>18</v>
      </c>
      <c r="G248" s="32">
        <v>26315441</v>
      </c>
      <c r="H248" s="32">
        <v>0</v>
      </c>
      <c r="I248" s="32">
        <v>2372328</v>
      </c>
      <c r="J248" s="35">
        <f>+G248-H248+I248</f>
        <v>28687769</v>
      </c>
      <c r="K248" s="28">
        <v>0</v>
      </c>
      <c r="L248" s="32">
        <v>0</v>
      </c>
      <c r="M248" s="35">
        <f>+J248+L248</f>
        <v>28687769</v>
      </c>
      <c r="N248" s="28" t="s">
        <v>265</v>
      </c>
      <c r="O248" s="29" t="s">
        <v>266</v>
      </c>
      <c r="P248" s="36">
        <v>43846</v>
      </c>
      <c r="Q248" s="31">
        <v>28324.55</v>
      </c>
      <c r="R248" s="33">
        <f>M248/Q248</f>
        <v>1012.8234693931589</v>
      </c>
    </row>
    <row r="249" spans="1:18" s="30" customFormat="1" ht="15" customHeight="1">
      <c r="A249" s="37" t="s">
        <v>189</v>
      </c>
      <c r="B249" s="26" t="s">
        <v>190</v>
      </c>
      <c r="C249" s="39" t="s">
        <v>564</v>
      </c>
      <c r="D249" s="40" t="s">
        <v>566</v>
      </c>
      <c r="E249" s="38" t="s">
        <v>3</v>
      </c>
      <c r="F249" s="38" t="s">
        <v>11</v>
      </c>
      <c r="G249" s="32">
        <v>8952576</v>
      </c>
      <c r="H249" s="32"/>
      <c r="I249" s="32"/>
      <c r="J249" s="35">
        <f>+G249-H249+I249</f>
        <v>8952576</v>
      </c>
      <c r="K249" s="28">
        <v>0</v>
      </c>
      <c r="L249" s="32">
        <v>0</v>
      </c>
      <c r="M249" s="35">
        <f>+J249+L249</f>
        <v>8952576</v>
      </c>
      <c r="N249" s="28" t="s">
        <v>193</v>
      </c>
      <c r="O249" s="29" t="s">
        <v>194</v>
      </c>
      <c r="P249" s="36">
        <v>44383</v>
      </c>
      <c r="Q249" s="31">
        <v>29981.279999999999</v>
      </c>
      <c r="R249" s="33">
        <f>M249/Q249</f>
        <v>298.60552985062679</v>
      </c>
    </row>
    <row r="250" spans="1:18" s="30" customFormat="1" ht="15" customHeight="1">
      <c r="A250" s="37" t="s">
        <v>293</v>
      </c>
      <c r="B250" s="26" t="s">
        <v>294</v>
      </c>
      <c r="C250" s="39">
        <v>562</v>
      </c>
      <c r="D250" s="40" t="s">
        <v>567</v>
      </c>
      <c r="E250" s="38" t="s">
        <v>3</v>
      </c>
      <c r="F250" s="38" t="s">
        <v>296</v>
      </c>
      <c r="G250" s="32">
        <v>0</v>
      </c>
      <c r="H250" s="32">
        <v>0</v>
      </c>
      <c r="I250" s="32">
        <v>3163747</v>
      </c>
      <c r="J250" s="35">
        <f>+G250-H250+I250</f>
        <v>3163747</v>
      </c>
      <c r="K250" s="27" t="s">
        <v>297</v>
      </c>
      <c r="L250" s="32">
        <v>0</v>
      </c>
      <c r="M250" s="35">
        <f>+J250+L250</f>
        <v>3163747</v>
      </c>
      <c r="N250" s="55" t="s">
        <v>298</v>
      </c>
      <c r="O250" s="56" t="s">
        <v>299</v>
      </c>
      <c r="P250" s="56">
        <v>44502</v>
      </c>
      <c r="Q250" s="49">
        <v>30403.919999999998</v>
      </c>
      <c r="R250" s="57">
        <f>+M250/Q250</f>
        <v>104.05720709697961</v>
      </c>
    </row>
    <row r="251" spans="1:18" s="30" customFormat="1" ht="15" customHeight="1">
      <c r="A251" s="37" t="s">
        <v>189</v>
      </c>
      <c r="B251" s="26" t="s">
        <v>225</v>
      </c>
      <c r="C251" s="39" t="s">
        <v>564</v>
      </c>
      <c r="D251" s="40" t="s">
        <v>568</v>
      </c>
      <c r="E251" s="38" t="s">
        <v>3</v>
      </c>
      <c r="F251" s="38" t="s">
        <v>10</v>
      </c>
      <c r="G251" s="32">
        <v>1830778</v>
      </c>
      <c r="H251" s="32">
        <v>902696</v>
      </c>
      <c r="I251" s="52">
        <v>0</v>
      </c>
      <c r="J251" s="35">
        <f>+G251-H251+I251</f>
        <v>928082</v>
      </c>
      <c r="K251" s="28">
        <v>0</v>
      </c>
      <c r="L251" s="32">
        <v>0</v>
      </c>
      <c r="M251" s="35">
        <f>+J251+L251</f>
        <v>928082</v>
      </c>
      <c r="N251" s="28" t="s">
        <v>443</v>
      </c>
      <c r="O251" s="29" t="s">
        <v>444</v>
      </c>
      <c r="P251" s="36">
        <v>44014</v>
      </c>
      <c r="Q251" s="31">
        <v>28694.5</v>
      </c>
      <c r="R251" s="33">
        <f>M251/Q251</f>
        <v>32.343550157695724</v>
      </c>
    </row>
    <row r="252" spans="1:18" s="30" customFormat="1" ht="15" customHeight="1">
      <c r="A252" s="37" t="s">
        <v>52</v>
      </c>
      <c r="B252" s="26" t="s">
        <v>195</v>
      </c>
      <c r="C252" s="65" t="s">
        <v>564</v>
      </c>
      <c r="D252" s="51" t="s">
        <v>569</v>
      </c>
      <c r="E252" s="38" t="s">
        <v>3</v>
      </c>
      <c r="F252" s="38" t="s">
        <v>199</v>
      </c>
      <c r="G252" s="52"/>
      <c r="H252" s="52">
        <v>31274485</v>
      </c>
      <c r="I252" s="52">
        <v>112737262</v>
      </c>
      <c r="J252" s="53">
        <f>+G252-H252+I252</f>
        <v>81462777</v>
      </c>
      <c r="K252" s="28">
        <v>0</v>
      </c>
      <c r="L252" s="32">
        <v>0</v>
      </c>
      <c r="M252" s="53">
        <f>+J252+L252</f>
        <v>81462777</v>
      </c>
      <c r="N252" s="55" t="s">
        <v>289</v>
      </c>
      <c r="O252" s="29" t="s">
        <v>290</v>
      </c>
      <c r="P252" s="36">
        <v>44764</v>
      </c>
      <c r="Q252" s="49">
        <v>33330.449999999997</v>
      </c>
      <c r="R252" s="33">
        <f>M252/Q252</f>
        <v>2444.0947241936428</v>
      </c>
    </row>
    <row r="253" spans="1:18" s="30" customFormat="1" ht="15" customHeight="1">
      <c r="A253" s="37" t="s">
        <v>189</v>
      </c>
      <c r="B253" s="26" t="s">
        <v>190</v>
      </c>
      <c r="C253" s="39" t="s">
        <v>570</v>
      </c>
      <c r="D253" s="40" t="s">
        <v>571</v>
      </c>
      <c r="E253" s="38" t="s">
        <v>4</v>
      </c>
      <c r="F253" s="38" t="s">
        <v>15</v>
      </c>
      <c r="G253" s="32">
        <v>9391620</v>
      </c>
      <c r="H253" s="32">
        <v>2667128</v>
      </c>
      <c r="I253" s="52">
        <v>0</v>
      </c>
      <c r="J253" s="35">
        <f>+G253-H253+I253</f>
        <v>6724492</v>
      </c>
      <c r="K253" s="28">
        <v>0</v>
      </c>
      <c r="L253" s="32">
        <v>0</v>
      </c>
      <c r="M253" s="35">
        <f>+J253+L253</f>
        <v>6724492</v>
      </c>
      <c r="N253" s="28" t="s">
        <v>223</v>
      </c>
      <c r="O253" s="29" t="s">
        <v>224</v>
      </c>
      <c r="P253" s="36">
        <v>44265</v>
      </c>
      <c r="Q253" s="31">
        <v>29355.01</v>
      </c>
      <c r="R253" s="33">
        <f>M253/Q253</f>
        <v>229.0747644098912</v>
      </c>
    </row>
    <row r="254" spans="1:18" s="30" customFormat="1" ht="15" customHeight="1">
      <c r="A254" s="37" t="s">
        <v>52</v>
      </c>
      <c r="B254" s="26" t="s">
        <v>262</v>
      </c>
      <c r="C254" s="39" t="s">
        <v>572</v>
      </c>
      <c r="D254" s="40" t="s">
        <v>573</v>
      </c>
      <c r="E254" s="38" t="s">
        <v>4</v>
      </c>
      <c r="F254" s="38" t="s">
        <v>13</v>
      </c>
      <c r="G254" s="32">
        <v>11336634</v>
      </c>
      <c r="H254" s="32">
        <v>9127404</v>
      </c>
      <c r="I254" s="52">
        <v>0</v>
      </c>
      <c r="J254" s="35">
        <f>+G254-H254+I254</f>
        <v>2209230</v>
      </c>
      <c r="K254" s="28">
        <v>0</v>
      </c>
      <c r="L254" s="32">
        <v>0</v>
      </c>
      <c r="M254" s="35">
        <f>+J254+L254</f>
        <v>2209230</v>
      </c>
      <c r="N254" s="28" t="s">
        <v>265</v>
      </c>
      <c r="O254" s="29" t="s">
        <v>266</v>
      </c>
      <c r="P254" s="36">
        <v>43846</v>
      </c>
      <c r="Q254" s="31">
        <v>28324.55</v>
      </c>
      <c r="R254" s="33">
        <f>M254/Q254</f>
        <v>77.99700260021784</v>
      </c>
    </row>
    <row r="255" spans="1:18" s="30" customFormat="1" ht="15" customHeight="1">
      <c r="A255" s="37" t="s">
        <v>184</v>
      </c>
      <c r="B255" s="26" t="s">
        <v>185</v>
      </c>
      <c r="C255" s="39">
        <v>10</v>
      </c>
      <c r="D255" s="40" t="s">
        <v>574</v>
      </c>
      <c r="E255" s="38" t="s">
        <v>3</v>
      </c>
      <c r="F255" s="38" t="s">
        <v>13</v>
      </c>
      <c r="G255" s="32">
        <v>0</v>
      </c>
      <c r="H255" s="32">
        <v>1487500</v>
      </c>
      <c r="I255" s="32">
        <v>3322872</v>
      </c>
      <c r="J255" s="35">
        <f>+G255-H255+I255</f>
        <v>1835372</v>
      </c>
      <c r="K255" s="27"/>
      <c r="L255" s="32">
        <v>0</v>
      </c>
      <c r="M255" s="35">
        <f>+J255+L255</f>
        <v>1835372</v>
      </c>
      <c r="N255" s="28" t="s">
        <v>187</v>
      </c>
      <c r="O255" s="29" t="s">
        <v>188</v>
      </c>
      <c r="P255" s="36">
        <v>44166</v>
      </c>
      <c r="Q255" s="31">
        <v>29036.92</v>
      </c>
      <c r="R255" s="33">
        <f>M255/Q255</f>
        <v>63.208219053535984</v>
      </c>
    </row>
    <row r="256" spans="1:18" s="30" customFormat="1" ht="15" customHeight="1">
      <c r="A256" s="37" t="s">
        <v>293</v>
      </c>
      <c r="B256" s="26" t="s">
        <v>294</v>
      </c>
      <c r="C256" s="39">
        <v>607</v>
      </c>
      <c r="D256" s="40" t="s">
        <v>575</v>
      </c>
      <c r="E256" s="38" t="s">
        <v>3</v>
      </c>
      <c r="F256" s="38" t="s">
        <v>296</v>
      </c>
      <c r="G256" s="32">
        <v>0</v>
      </c>
      <c r="H256" s="32">
        <v>0</v>
      </c>
      <c r="I256" s="32">
        <v>3343105</v>
      </c>
      <c r="J256" s="35">
        <f>+G256-H256+I256</f>
        <v>3343105</v>
      </c>
      <c r="K256" s="27" t="s">
        <v>401</v>
      </c>
      <c r="L256" s="32">
        <v>0</v>
      </c>
      <c r="M256" s="35">
        <f>+J256+L256</f>
        <v>3343105</v>
      </c>
      <c r="N256" s="55" t="s">
        <v>402</v>
      </c>
      <c r="O256" s="56" t="s">
        <v>403</v>
      </c>
      <c r="P256" s="56">
        <v>44524</v>
      </c>
      <c r="Q256" s="49">
        <v>30683.439999999999</v>
      </c>
      <c r="R256" s="57">
        <f>+M256/Q256</f>
        <v>108.95469999452474</v>
      </c>
    </row>
    <row r="257" spans="1:18" s="30" customFormat="1" ht="15" customHeight="1">
      <c r="A257" s="37" t="s">
        <v>189</v>
      </c>
      <c r="B257" s="26" t="s">
        <v>225</v>
      </c>
      <c r="C257" s="39" t="s">
        <v>572</v>
      </c>
      <c r="D257" s="40" t="s">
        <v>576</v>
      </c>
      <c r="E257" s="38" t="s">
        <v>3</v>
      </c>
      <c r="F257" s="38" t="s">
        <v>11</v>
      </c>
      <c r="G257" s="32">
        <v>21384893</v>
      </c>
      <c r="H257" s="32">
        <v>14200021</v>
      </c>
      <c r="I257" s="52">
        <v>0</v>
      </c>
      <c r="J257" s="35">
        <f>+G257-H257+I257</f>
        <v>7184872</v>
      </c>
      <c r="K257" s="28">
        <v>0</v>
      </c>
      <c r="L257" s="32">
        <v>0</v>
      </c>
      <c r="M257" s="35">
        <f>+J257+L257</f>
        <v>7184872</v>
      </c>
      <c r="N257" s="28" t="s">
        <v>443</v>
      </c>
      <c r="O257" s="29" t="s">
        <v>444</v>
      </c>
      <c r="P257" s="36">
        <v>44014</v>
      </c>
      <c r="Q257" s="31">
        <v>28694.5</v>
      </c>
      <c r="R257" s="33">
        <f>M257/Q257</f>
        <v>250.39195664674415</v>
      </c>
    </row>
    <row r="258" spans="1:18" s="30" customFormat="1" ht="15" customHeight="1">
      <c r="A258" s="37" t="s">
        <v>189</v>
      </c>
      <c r="B258" s="26" t="s">
        <v>190</v>
      </c>
      <c r="C258" s="39" t="s">
        <v>577</v>
      </c>
      <c r="D258" s="40" t="s">
        <v>578</v>
      </c>
      <c r="E258" s="38" t="s">
        <v>3</v>
      </c>
      <c r="F258" s="38" t="s">
        <v>11</v>
      </c>
      <c r="G258" s="32">
        <v>0</v>
      </c>
      <c r="H258" s="32">
        <v>145233805</v>
      </c>
      <c r="I258" s="32">
        <v>165737226</v>
      </c>
      <c r="J258" s="35">
        <f>+G258-H258+I258</f>
        <v>20503421</v>
      </c>
      <c r="K258" s="28">
        <v>0</v>
      </c>
      <c r="L258" s="32">
        <v>0</v>
      </c>
      <c r="M258" s="35">
        <f>+J258+L258</f>
        <v>20503421</v>
      </c>
      <c r="N258" s="28" t="s">
        <v>223</v>
      </c>
      <c r="O258" s="29" t="s">
        <v>224</v>
      </c>
      <c r="P258" s="36">
        <v>44265</v>
      </c>
      <c r="Q258" s="31">
        <v>29355.01</v>
      </c>
      <c r="R258" s="33">
        <f>M258/Q258</f>
        <v>698.46411225886152</v>
      </c>
    </row>
    <row r="259" spans="1:18" s="30" customFormat="1" ht="15" customHeight="1">
      <c r="A259" s="37" t="s">
        <v>52</v>
      </c>
      <c r="B259" s="26" t="s">
        <v>262</v>
      </c>
      <c r="C259" s="39" t="s">
        <v>579</v>
      </c>
      <c r="D259" s="40" t="s">
        <v>580</v>
      </c>
      <c r="E259" s="38" t="s">
        <v>4</v>
      </c>
      <c r="F259" s="38" t="s">
        <v>11</v>
      </c>
      <c r="G259" s="32">
        <v>6388902</v>
      </c>
      <c r="H259" s="32">
        <v>7837044</v>
      </c>
      <c r="I259" s="32">
        <v>1448142</v>
      </c>
      <c r="J259" s="35">
        <f>+G259-H259+I259</f>
        <v>0</v>
      </c>
      <c r="K259" s="28">
        <v>0</v>
      </c>
      <c r="L259" s="32">
        <v>0</v>
      </c>
      <c r="M259" s="35">
        <f>+J259+L259</f>
        <v>0</v>
      </c>
      <c r="N259" s="28" t="s">
        <v>265</v>
      </c>
      <c r="O259" s="29" t="s">
        <v>266</v>
      </c>
      <c r="P259" s="36">
        <v>43846</v>
      </c>
      <c r="Q259" s="31">
        <v>28324.55</v>
      </c>
      <c r="R259" s="33">
        <f>M259/Q259</f>
        <v>0</v>
      </c>
    </row>
    <row r="260" spans="1:18" s="30" customFormat="1" ht="15" customHeight="1">
      <c r="A260" s="37" t="s">
        <v>189</v>
      </c>
      <c r="B260" s="26" t="s">
        <v>225</v>
      </c>
      <c r="C260" s="39" t="s">
        <v>579</v>
      </c>
      <c r="D260" s="40" t="s">
        <v>581</v>
      </c>
      <c r="E260" s="38" t="s">
        <v>4</v>
      </c>
      <c r="F260" s="38" t="s">
        <v>10</v>
      </c>
      <c r="G260" s="32">
        <v>6236258</v>
      </c>
      <c r="H260" s="32">
        <v>0</v>
      </c>
      <c r="I260" s="32">
        <v>4541916</v>
      </c>
      <c r="J260" s="35">
        <f>+G260-H260+I260</f>
        <v>10778174</v>
      </c>
      <c r="K260" s="28">
        <v>0</v>
      </c>
      <c r="L260" s="32">
        <v>0</v>
      </c>
      <c r="M260" s="35">
        <f>+J260+L260</f>
        <v>10778174</v>
      </c>
      <c r="N260" s="28" t="s">
        <v>538</v>
      </c>
      <c r="O260" s="29" t="s">
        <v>539</v>
      </c>
      <c r="P260" s="36">
        <v>44067</v>
      </c>
      <c r="Q260" s="31">
        <v>28672.97</v>
      </c>
      <c r="R260" s="33">
        <f>M260/Q260</f>
        <v>375.90015962769115</v>
      </c>
    </row>
    <row r="261" spans="1:18" s="30" customFormat="1" ht="15" customHeight="1">
      <c r="A261" s="37" t="s">
        <v>293</v>
      </c>
      <c r="B261" s="26" t="s">
        <v>294</v>
      </c>
      <c r="C261" s="39">
        <v>534</v>
      </c>
      <c r="D261" s="40" t="s">
        <v>582</v>
      </c>
      <c r="E261" s="38" t="s">
        <v>3</v>
      </c>
      <c r="F261" s="38" t="s">
        <v>12</v>
      </c>
      <c r="G261" s="32">
        <v>0</v>
      </c>
      <c r="H261" s="32">
        <v>0</v>
      </c>
      <c r="I261" s="32">
        <v>3525981</v>
      </c>
      <c r="J261" s="35">
        <f>+G261-H261+I261</f>
        <v>3525981</v>
      </c>
      <c r="K261" s="27" t="s">
        <v>297</v>
      </c>
      <c r="L261" s="32">
        <v>0</v>
      </c>
      <c r="M261" s="35">
        <f>+J261+L261</f>
        <v>3525981</v>
      </c>
      <c r="N261" s="55" t="s">
        <v>298</v>
      </c>
      <c r="O261" s="56" t="s">
        <v>299</v>
      </c>
      <c r="P261" s="56">
        <v>44502</v>
      </c>
      <c r="Q261" s="49">
        <v>30403.919999999998</v>
      </c>
      <c r="R261" s="57">
        <f>+M261/Q261</f>
        <v>115.97126291609767</v>
      </c>
    </row>
    <row r="262" spans="1:18" s="30" customFormat="1" ht="15" customHeight="1">
      <c r="A262" s="37" t="s">
        <v>189</v>
      </c>
      <c r="B262" s="26" t="s">
        <v>190</v>
      </c>
      <c r="C262" s="39" t="s">
        <v>583</v>
      </c>
      <c r="D262" s="40" t="s">
        <v>584</v>
      </c>
      <c r="E262" s="38" t="s">
        <v>3</v>
      </c>
      <c r="F262" s="38" t="s">
        <v>13</v>
      </c>
      <c r="G262" s="32">
        <v>8636158</v>
      </c>
      <c r="H262" s="32">
        <v>0</v>
      </c>
      <c r="I262" s="52">
        <v>0</v>
      </c>
      <c r="J262" s="35">
        <f>+G262-H262+I262</f>
        <v>8636158</v>
      </c>
      <c r="K262" s="28">
        <v>0</v>
      </c>
      <c r="L262" s="32">
        <v>0</v>
      </c>
      <c r="M262" s="35">
        <f>+J262+L262</f>
        <v>8636158</v>
      </c>
      <c r="N262" s="28" t="s">
        <v>223</v>
      </c>
      <c r="O262" s="29" t="s">
        <v>224</v>
      </c>
      <c r="P262" s="36">
        <v>44265</v>
      </c>
      <c r="Q262" s="31">
        <v>29355.01</v>
      </c>
      <c r="R262" s="33">
        <f>M262/Q262</f>
        <v>294.19707232257798</v>
      </c>
    </row>
    <row r="263" spans="1:18" s="30" customFormat="1" ht="15" customHeight="1">
      <c r="A263" s="37" t="s">
        <v>189</v>
      </c>
      <c r="B263" s="26" t="s">
        <v>225</v>
      </c>
      <c r="C263" s="39" t="s">
        <v>585</v>
      </c>
      <c r="D263" s="40" t="s">
        <v>586</v>
      </c>
      <c r="E263" s="38" t="s">
        <v>3</v>
      </c>
      <c r="F263" s="38" t="s">
        <v>10</v>
      </c>
      <c r="G263" s="32">
        <v>0</v>
      </c>
      <c r="H263" s="32">
        <v>1712828</v>
      </c>
      <c r="I263" s="52">
        <v>0</v>
      </c>
      <c r="J263" s="35">
        <f>+G263-H263+I263</f>
        <v>-1712828</v>
      </c>
      <c r="K263" s="28">
        <v>0</v>
      </c>
      <c r="L263" s="32">
        <v>0</v>
      </c>
      <c r="M263" s="35">
        <f>+J263+L263</f>
        <v>-1712828</v>
      </c>
      <c r="N263" s="28" t="s">
        <v>456</v>
      </c>
      <c r="O263" s="29" t="s">
        <v>457</v>
      </c>
      <c r="P263" s="36">
        <v>44097</v>
      </c>
      <c r="Q263" s="31">
        <v>28701.15</v>
      </c>
      <c r="R263" s="33">
        <f>M263/Q263</f>
        <v>-59.678026838645835</v>
      </c>
    </row>
    <row r="264" spans="1:18" s="30" customFormat="1" ht="15" customHeight="1">
      <c r="A264" s="37" t="s">
        <v>293</v>
      </c>
      <c r="B264" s="26" t="s">
        <v>294</v>
      </c>
      <c r="C264" s="39">
        <v>506</v>
      </c>
      <c r="D264" s="40" t="s">
        <v>587</v>
      </c>
      <c r="E264" s="38" t="s">
        <v>3</v>
      </c>
      <c r="F264" s="38" t="s">
        <v>12</v>
      </c>
      <c r="G264" s="32">
        <v>0</v>
      </c>
      <c r="H264" s="32">
        <v>1621639</v>
      </c>
      <c r="I264" s="32">
        <v>3739092</v>
      </c>
      <c r="J264" s="35">
        <f>+G264-H264+I264</f>
        <v>2117453</v>
      </c>
      <c r="K264" s="27" t="s">
        <v>297</v>
      </c>
      <c r="L264" s="32">
        <v>0</v>
      </c>
      <c r="M264" s="35">
        <f>+J264+L264</f>
        <v>2117453</v>
      </c>
      <c r="N264" s="55" t="s">
        <v>298</v>
      </c>
      <c r="O264" s="56" t="s">
        <v>299</v>
      </c>
      <c r="P264" s="56">
        <v>44502</v>
      </c>
      <c r="Q264" s="49">
        <v>30403.919999999998</v>
      </c>
      <c r="R264" s="57">
        <f>+M264/Q264</f>
        <v>69.644078789840265</v>
      </c>
    </row>
    <row r="265" spans="1:18" s="30" customFormat="1" ht="15" customHeight="1">
      <c r="A265" s="37" t="s">
        <v>52</v>
      </c>
      <c r="B265" s="26" t="s">
        <v>262</v>
      </c>
      <c r="C265" s="39" t="s">
        <v>588</v>
      </c>
      <c r="D265" s="40" t="s">
        <v>589</v>
      </c>
      <c r="E265" s="38" t="s">
        <v>6</v>
      </c>
      <c r="F265" s="38" t="s">
        <v>13</v>
      </c>
      <c r="G265" s="32">
        <v>1593162</v>
      </c>
      <c r="H265" s="32">
        <v>0</v>
      </c>
      <c r="I265" s="32">
        <v>2205301</v>
      </c>
      <c r="J265" s="35">
        <f>+G265-H265+I265</f>
        <v>3798463</v>
      </c>
      <c r="K265" s="28">
        <v>0</v>
      </c>
      <c r="L265" s="32">
        <v>0</v>
      </c>
      <c r="M265" s="35">
        <f>+J265+L265</f>
        <v>3798463</v>
      </c>
      <c r="N265" s="28" t="s">
        <v>265</v>
      </c>
      <c r="O265" s="29" t="s">
        <v>266</v>
      </c>
      <c r="P265" s="36">
        <v>43846</v>
      </c>
      <c r="Q265" s="31">
        <v>28324.55</v>
      </c>
      <c r="R265" s="33">
        <f>M265/Q265</f>
        <v>134.10497254148785</v>
      </c>
    </row>
    <row r="266" spans="1:18" s="30" customFormat="1" ht="15" customHeight="1">
      <c r="A266" s="37" t="s">
        <v>52</v>
      </c>
      <c r="B266" s="26" t="s">
        <v>195</v>
      </c>
      <c r="C266" s="65" t="s">
        <v>588</v>
      </c>
      <c r="D266" s="51" t="s">
        <v>590</v>
      </c>
      <c r="E266" s="38" t="s">
        <v>3</v>
      </c>
      <c r="F266" s="48" t="s">
        <v>11</v>
      </c>
      <c r="G266" s="52">
        <v>9573038</v>
      </c>
      <c r="H266" s="52">
        <v>1423913</v>
      </c>
      <c r="I266" s="52">
        <v>2593377</v>
      </c>
      <c r="J266" s="53">
        <f>+G266-H266+I266</f>
        <v>10742502</v>
      </c>
      <c r="K266" s="28">
        <v>0</v>
      </c>
      <c r="L266" s="32">
        <v>0</v>
      </c>
      <c r="M266" s="53">
        <f>+J266+L266</f>
        <v>10742502</v>
      </c>
      <c r="N266" s="55" t="s">
        <v>385</v>
      </c>
      <c r="O266" s="29" t="s">
        <v>386</v>
      </c>
      <c r="P266" s="36">
        <v>44727</v>
      </c>
      <c r="Q266" s="49">
        <v>33086.83</v>
      </c>
      <c r="R266" s="33">
        <f>M266/Q266</f>
        <v>324.67607202019656</v>
      </c>
    </row>
    <row r="267" spans="1:18" s="30" customFormat="1" ht="15" customHeight="1">
      <c r="A267" s="37" t="s">
        <v>52</v>
      </c>
      <c r="B267" s="26" t="s">
        <v>262</v>
      </c>
      <c r="C267" s="39" t="s">
        <v>591</v>
      </c>
      <c r="D267" s="40" t="s">
        <v>592</v>
      </c>
      <c r="E267" s="38" t="s">
        <v>4</v>
      </c>
      <c r="F267" s="38" t="s">
        <v>21</v>
      </c>
      <c r="G267" s="32">
        <v>1397487</v>
      </c>
      <c r="H267" s="32">
        <v>0</v>
      </c>
      <c r="I267" s="32">
        <v>11185832</v>
      </c>
      <c r="J267" s="35">
        <f>+G267-H267+I267</f>
        <v>12583319</v>
      </c>
      <c r="K267" s="28">
        <v>0</v>
      </c>
      <c r="L267" s="32">
        <v>0</v>
      </c>
      <c r="M267" s="35">
        <f>+J267+L267</f>
        <v>12583319</v>
      </c>
      <c r="N267" s="28" t="s">
        <v>265</v>
      </c>
      <c r="O267" s="29" t="s">
        <v>266</v>
      </c>
      <c r="P267" s="36">
        <v>43846</v>
      </c>
      <c r="Q267" s="31">
        <v>28324.55</v>
      </c>
      <c r="R267" s="33">
        <f>M267/Q267</f>
        <v>444.25486018312739</v>
      </c>
    </row>
    <row r="268" spans="1:18" s="30" customFormat="1" ht="15" customHeight="1">
      <c r="A268" s="37" t="s">
        <v>52</v>
      </c>
      <c r="B268" s="26" t="s">
        <v>262</v>
      </c>
      <c r="C268" s="39" t="s">
        <v>593</v>
      </c>
      <c r="D268" s="40" t="s">
        <v>594</v>
      </c>
      <c r="E268" s="38" t="s">
        <v>4</v>
      </c>
      <c r="F268" s="38" t="s">
        <v>21</v>
      </c>
      <c r="G268" s="32">
        <v>1928239</v>
      </c>
      <c r="H268" s="32">
        <v>0</v>
      </c>
      <c r="I268" s="32">
        <v>12202709</v>
      </c>
      <c r="J268" s="35">
        <f>+G268-H268+I268</f>
        <v>14130948</v>
      </c>
      <c r="K268" s="28">
        <v>0</v>
      </c>
      <c r="L268" s="32">
        <v>0</v>
      </c>
      <c r="M268" s="35">
        <f>+J268+L268</f>
        <v>14130948</v>
      </c>
      <c r="N268" s="28" t="s">
        <v>265</v>
      </c>
      <c r="O268" s="29" t="s">
        <v>266</v>
      </c>
      <c r="P268" s="36">
        <v>43846</v>
      </c>
      <c r="Q268" s="31">
        <v>28324.55</v>
      </c>
      <c r="R268" s="33">
        <f>M268/Q268</f>
        <v>498.89399831594852</v>
      </c>
    </row>
    <row r="269" spans="1:18" s="30" customFormat="1" ht="15" customHeight="1">
      <c r="A269" s="37" t="s">
        <v>189</v>
      </c>
      <c r="B269" s="26" t="s">
        <v>190</v>
      </c>
      <c r="C269" s="39" t="s">
        <v>593</v>
      </c>
      <c r="D269" s="40" t="s">
        <v>595</v>
      </c>
      <c r="E269" s="38" t="s">
        <v>4</v>
      </c>
      <c r="F269" s="38" t="s">
        <v>11</v>
      </c>
      <c r="G269" s="32">
        <v>0</v>
      </c>
      <c r="H269" s="32">
        <v>1757171691</v>
      </c>
      <c r="I269" s="52">
        <v>0</v>
      </c>
      <c r="J269" s="35">
        <f>+G269-H269+I269</f>
        <v>-1757171691</v>
      </c>
      <c r="K269" s="28">
        <v>0</v>
      </c>
      <c r="L269" s="32">
        <v>0</v>
      </c>
      <c r="M269" s="35">
        <f>+J269+L269</f>
        <v>-1757171691</v>
      </c>
      <c r="N269" s="28" t="s">
        <v>223</v>
      </c>
      <c r="O269" s="29" t="s">
        <v>224</v>
      </c>
      <c r="P269" s="36">
        <v>44265</v>
      </c>
      <c r="Q269" s="31">
        <v>29355.01</v>
      </c>
      <c r="R269" s="33">
        <f>M269/Q269</f>
        <v>-59859.345678982907</v>
      </c>
    </row>
    <row r="270" spans="1:18" s="30" customFormat="1" ht="15" customHeight="1">
      <c r="A270" s="37" t="s">
        <v>52</v>
      </c>
      <c r="B270" s="26" t="s">
        <v>195</v>
      </c>
      <c r="C270" s="65" t="s">
        <v>593</v>
      </c>
      <c r="D270" s="51" t="s">
        <v>596</v>
      </c>
      <c r="E270" s="38" t="s">
        <v>3</v>
      </c>
      <c r="F270" s="38" t="s">
        <v>199</v>
      </c>
      <c r="G270" s="52">
        <v>40275420</v>
      </c>
      <c r="H270" s="52"/>
      <c r="I270" s="52"/>
      <c r="J270" s="53">
        <f>+G270-H270+I270</f>
        <v>40275420</v>
      </c>
      <c r="K270" s="28">
        <v>0</v>
      </c>
      <c r="L270" s="32">
        <v>0</v>
      </c>
      <c r="M270" s="53">
        <f>+J270+L270</f>
        <v>40275420</v>
      </c>
      <c r="N270" s="55" t="s">
        <v>289</v>
      </c>
      <c r="O270" s="29" t="s">
        <v>290</v>
      </c>
      <c r="P270" s="36">
        <v>44764</v>
      </c>
      <c r="Q270" s="49">
        <v>33330.449999999997</v>
      </c>
      <c r="R270" s="33">
        <f>M270/Q270</f>
        <v>1208.367123756205</v>
      </c>
    </row>
    <row r="271" spans="1:18" s="30" customFormat="1" ht="15" customHeight="1">
      <c r="A271" s="37" t="s">
        <v>52</v>
      </c>
      <c r="B271" s="26" t="s">
        <v>262</v>
      </c>
      <c r="C271" s="39" t="s">
        <v>597</v>
      </c>
      <c r="D271" s="40" t="s">
        <v>598</v>
      </c>
      <c r="E271" s="38" t="s">
        <v>3</v>
      </c>
      <c r="F271" s="38" t="s">
        <v>21</v>
      </c>
      <c r="G271" s="32">
        <v>5367524</v>
      </c>
      <c r="H271" s="32">
        <v>0</v>
      </c>
      <c r="I271" s="32">
        <v>16598728</v>
      </c>
      <c r="J271" s="35">
        <f>+G271-H271+I271</f>
        <v>21966252</v>
      </c>
      <c r="K271" s="28">
        <v>0</v>
      </c>
      <c r="L271" s="32">
        <v>0</v>
      </c>
      <c r="M271" s="35">
        <f>+J271+L271</f>
        <v>21966252</v>
      </c>
      <c r="N271" s="28" t="s">
        <v>265</v>
      </c>
      <c r="O271" s="29" t="s">
        <v>266</v>
      </c>
      <c r="P271" s="36">
        <v>43846</v>
      </c>
      <c r="Q271" s="31">
        <v>28324.55</v>
      </c>
      <c r="R271" s="33">
        <f>M271/Q271</f>
        <v>775.51989351993234</v>
      </c>
    </row>
    <row r="272" spans="1:18" s="30" customFormat="1" ht="15" customHeight="1">
      <c r="A272" s="37" t="s">
        <v>189</v>
      </c>
      <c r="B272" s="26" t="s">
        <v>190</v>
      </c>
      <c r="C272" s="39" t="s">
        <v>597</v>
      </c>
      <c r="D272" s="40" t="s">
        <v>599</v>
      </c>
      <c r="E272" s="38" t="s">
        <v>3</v>
      </c>
      <c r="F272" s="38" t="s">
        <v>11</v>
      </c>
      <c r="G272" s="32">
        <v>91239637</v>
      </c>
      <c r="H272" s="32">
        <v>24891699</v>
      </c>
      <c r="I272" s="32">
        <v>327866</v>
      </c>
      <c r="J272" s="35">
        <f>+G272-H272+I272</f>
        <v>66675804</v>
      </c>
      <c r="K272" s="28">
        <v>0</v>
      </c>
      <c r="L272" s="32">
        <v>0</v>
      </c>
      <c r="M272" s="35">
        <f>+J272+L272</f>
        <v>66675804</v>
      </c>
      <c r="N272" s="28" t="s">
        <v>600</v>
      </c>
      <c r="O272" s="29" t="s">
        <v>601</v>
      </c>
      <c r="P272" s="36">
        <v>43999</v>
      </c>
      <c r="Q272" s="31">
        <v>28709.82</v>
      </c>
      <c r="R272" s="33">
        <f>M272/Q272</f>
        <v>2322.4041112065488</v>
      </c>
    </row>
    <row r="273" spans="1:18" s="30" customFormat="1" ht="15" customHeight="1">
      <c r="A273" s="37" t="s">
        <v>189</v>
      </c>
      <c r="B273" s="26" t="s">
        <v>225</v>
      </c>
      <c r="C273" s="39" t="s">
        <v>597</v>
      </c>
      <c r="D273" s="40" t="s">
        <v>602</v>
      </c>
      <c r="E273" s="38" t="s">
        <v>4</v>
      </c>
      <c r="F273" s="38" t="s">
        <v>13</v>
      </c>
      <c r="G273" s="32">
        <v>6976633</v>
      </c>
      <c r="H273" s="32">
        <v>2199968</v>
      </c>
      <c r="I273" s="32">
        <v>5069117</v>
      </c>
      <c r="J273" s="35">
        <f>+G273-H273+I273</f>
        <v>9845782</v>
      </c>
      <c r="K273" s="28">
        <v>0</v>
      </c>
      <c r="L273" s="32">
        <v>0</v>
      </c>
      <c r="M273" s="35">
        <f>+J273+L273</f>
        <v>9845782</v>
      </c>
      <c r="N273" s="28" t="s">
        <v>228</v>
      </c>
      <c r="O273" s="29" t="s">
        <v>229</v>
      </c>
      <c r="P273" s="36">
        <v>44280</v>
      </c>
      <c r="Q273" s="31">
        <v>29383.41</v>
      </c>
      <c r="R273" s="33">
        <f>M273/Q273</f>
        <v>335.07962486314557</v>
      </c>
    </row>
    <row r="274" spans="1:18" s="30" customFormat="1" ht="15" customHeight="1">
      <c r="A274" s="37" t="s">
        <v>52</v>
      </c>
      <c r="B274" s="26" t="s">
        <v>195</v>
      </c>
      <c r="C274" s="65" t="s">
        <v>597</v>
      </c>
      <c r="D274" s="51" t="s">
        <v>603</v>
      </c>
      <c r="E274" s="38" t="s">
        <v>3</v>
      </c>
      <c r="F274" s="38" t="s">
        <v>199</v>
      </c>
      <c r="G274" s="52">
        <v>464148</v>
      </c>
      <c r="H274" s="52"/>
      <c r="I274" s="52"/>
      <c r="J274" s="53">
        <f>+G274-H274+I274</f>
        <v>464148</v>
      </c>
      <c r="K274" s="28">
        <v>0</v>
      </c>
      <c r="L274" s="32">
        <v>0</v>
      </c>
      <c r="M274" s="53">
        <f>+J274+L274</f>
        <v>464148</v>
      </c>
      <c r="N274" s="55" t="s">
        <v>289</v>
      </c>
      <c r="O274" s="29" t="s">
        <v>290</v>
      </c>
      <c r="P274" s="36">
        <v>44764</v>
      </c>
      <c r="Q274" s="49">
        <v>33330.449999999997</v>
      </c>
      <c r="R274" s="33">
        <f>M274/Q274</f>
        <v>13.925644568255155</v>
      </c>
    </row>
    <row r="275" spans="1:18" s="30" customFormat="1" ht="15" customHeight="1">
      <c r="A275" s="37" t="s">
        <v>293</v>
      </c>
      <c r="B275" s="26" t="s">
        <v>294</v>
      </c>
      <c r="C275" s="39">
        <v>578</v>
      </c>
      <c r="D275" s="40" t="s">
        <v>604</v>
      </c>
      <c r="E275" s="38" t="s">
        <v>3</v>
      </c>
      <c r="F275" s="38" t="s">
        <v>296</v>
      </c>
      <c r="G275" s="32">
        <v>0</v>
      </c>
      <c r="H275" s="32">
        <v>0</v>
      </c>
      <c r="I275" s="32">
        <v>4047513</v>
      </c>
      <c r="J275" s="35">
        <f>+G275-H275+I275</f>
        <v>4047513</v>
      </c>
      <c r="K275" s="27" t="s">
        <v>401</v>
      </c>
      <c r="L275" s="32">
        <v>0</v>
      </c>
      <c r="M275" s="35">
        <f>+J275+L275</f>
        <v>4047513</v>
      </c>
      <c r="N275" s="55" t="s">
        <v>402</v>
      </c>
      <c r="O275" s="56" t="s">
        <v>403</v>
      </c>
      <c r="P275" s="56">
        <v>44524</v>
      </c>
      <c r="Q275" s="49">
        <v>30683.439999999999</v>
      </c>
      <c r="R275" s="57">
        <f>+M275/Q275</f>
        <v>131.91196945322949</v>
      </c>
    </row>
    <row r="276" spans="1:18" s="30" customFormat="1" ht="15" customHeight="1">
      <c r="A276" s="37" t="s">
        <v>189</v>
      </c>
      <c r="B276" s="26" t="s">
        <v>225</v>
      </c>
      <c r="C276" s="39" t="s">
        <v>605</v>
      </c>
      <c r="D276" s="40" t="s">
        <v>606</v>
      </c>
      <c r="E276" s="38" t="s">
        <v>4</v>
      </c>
      <c r="F276" s="38" t="s">
        <v>12</v>
      </c>
      <c r="G276" s="32">
        <v>5639972</v>
      </c>
      <c r="H276" s="32">
        <v>0</v>
      </c>
      <c r="I276" s="32">
        <v>734276</v>
      </c>
      <c r="J276" s="35">
        <f>+G276-H276+I276</f>
        <v>6374248</v>
      </c>
      <c r="K276" s="28">
        <v>0</v>
      </c>
      <c r="L276" s="32">
        <v>0</v>
      </c>
      <c r="M276" s="35">
        <f>+J276+L276</f>
        <v>6374248</v>
      </c>
      <c r="N276" s="28" t="s">
        <v>456</v>
      </c>
      <c r="O276" s="29" t="s">
        <v>457</v>
      </c>
      <c r="P276" s="36">
        <v>44097</v>
      </c>
      <c r="Q276" s="31">
        <v>28701.15</v>
      </c>
      <c r="R276" s="33">
        <f>M276/Q276</f>
        <v>222.09033435942462</v>
      </c>
    </row>
    <row r="277" spans="1:18" s="30" customFormat="1" ht="15" customHeight="1">
      <c r="A277" s="37" t="s">
        <v>52</v>
      </c>
      <c r="B277" s="26" t="s">
        <v>262</v>
      </c>
      <c r="C277" s="39" t="s">
        <v>607</v>
      </c>
      <c r="D277" s="40" t="s">
        <v>608</v>
      </c>
      <c r="E277" s="38" t="s">
        <v>6</v>
      </c>
      <c r="F277" s="38" t="s">
        <v>11</v>
      </c>
      <c r="G277" s="32">
        <v>618466</v>
      </c>
      <c r="H277" s="32">
        <v>0</v>
      </c>
      <c r="I277" s="32">
        <v>1131313</v>
      </c>
      <c r="J277" s="35">
        <f>+G277-H277+I277</f>
        <v>1749779</v>
      </c>
      <c r="K277" s="28">
        <v>0</v>
      </c>
      <c r="L277" s="32">
        <v>0</v>
      </c>
      <c r="M277" s="35">
        <f>+J277+L277</f>
        <v>1749779</v>
      </c>
      <c r="N277" s="28" t="s">
        <v>265</v>
      </c>
      <c r="O277" s="29" t="s">
        <v>266</v>
      </c>
      <c r="P277" s="36">
        <v>43846</v>
      </c>
      <c r="Q277" s="31">
        <v>28324.55</v>
      </c>
      <c r="R277" s="33">
        <f>M277/Q277</f>
        <v>61.776056459855496</v>
      </c>
    </row>
    <row r="278" spans="1:18" s="30" customFormat="1" ht="15" customHeight="1">
      <c r="A278" s="37" t="s">
        <v>189</v>
      </c>
      <c r="B278" s="26" t="s">
        <v>190</v>
      </c>
      <c r="C278" s="39" t="s">
        <v>607</v>
      </c>
      <c r="D278" s="40" t="s">
        <v>609</v>
      </c>
      <c r="E278" s="38" t="s">
        <v>3</v>
      </c>
      <c r="F278" s="38" t="s">
        <v>11</v>
      </c>
      <c r="G278" s="32">
        <v>0</v>
      </c>
      <c r="H278" s="32">
        <v>3045822</v>
      </c>
      <c r="I278" s="32">
        <v>4367803</v>
      </c>
      <c r="J278" s="35">
        <f>+G278-H278+I278</f>
        <v>1321981</v>
      </c>
      <c r="K278" s="28">
        <v>0</v>
      </c>
      <c r="L278" s="32">
        <v>0</v>
      </c>
      <c r="M278" s="35">
        <f>+J278+L278</f>
        <v>1321981</v>
      </c>
      <c r="N278" s="28" t="s">
        <v>600</v>
      </c>
      <c r="O278" s="29" t="s">
        <v>601</v>
      </c>
      <c r="P278" s="36">
        <v>43999</v>
      </c>
      <c r="Q278" s="31">
        <v>28709.82</v>
      </c>
      <c r="R278" s="33">
        <f>M278/Q278</f>
        <v>46.046300534102969</v>
      </c>
    </row>
    <row r="279" spans="1:18" s="30" customFormat="1" ht="15" customHeight="1">
      <c r="A279" s="37" t="s">
        <v>52</v>
      </c>
      <c r="B279" s="26" t="s">
        <v>195</v>
      </c>
      <c r="C279" s="65" t="s">
        <v>607</v>
      </c>
      <c r="D279" s="51" t="s">
        <v>610</v>
      </c>
      <c r="E279" s="38" t="s">
        <v>3</v>
      </c>
      <c r="F279" s="38" t="s">
        <v>199</v>
      </c>
      <c r="G279" s="52"/>
      <c r="H279" s="52"/>
      <c r="I279" s="52">
        <v>32591455</v>
      </c>
      <c r="J279" s="53">
        <f>+G279-H279+I279</f>
        <v>32591455</v>
      </c>
      <c r="K279" s="28">
        <v>0</v>
      </c>
      <c r="L279" s="32">
        <v>0</v>
      </c>
      <c r="M279" s="53">
        <f>+J279+L279</f>
        <v>32591455</v>
      </c>
      <c r="N279" s="55" t="s">
        <v>289</v>
      </c>
      <c r="O279" s="29" t="s">
        <v>290</v>
      </c>
      <c r="P279" s="36">
        <v>44764</v>
      </c>
      <c r="Q279" s="49">
        <v>33330.449999999997</v>
      </c>
      <c r="R279" s="33">
        <f>M279/Q279</f>
        <v>977.82823214208042</v>
      </c>
    </row>
    <row r="280" spans="1:18" s="30" customFormat="1" ht="15" customHeight="1">
      <c r="A280" s="37" t="s">
        <v>189</v>
      </c>
      <c r="B280" s="26" t="s">
        <v>225</v>
      </c>
      <c r="C280" s="39" t="s">
        <v>611</v>
      </c>
      <c r="D280" s="40" t="s">
        <v>612</v>
      </c>
      <c r="E280" s="38" t="s">
        <v>3</v>
      </c>
      <c r="F280" s="38" t="s">
        <v>15</v>
      </c>
      <c r="G280" s="32">
        <v>3671302</v>
      </c>
      <c r="H280" s="32">
        <v>0</v>
      </c>
      <c r="I280" s="32">
        <v>203910</v>
      </c>
      <c r="J280" s="35">
        <f>+G280-H280+I280</f>
        <v>3875212</v>
      </c>
      <c r="K280" s="28">
        <v>0</v>
      </c>
      <c r="L280" s="32">
        <v>0</v>
      </c>
      <c r="M280" s="35">
        <f>+J280+L280</f>
        <v>3875212</v>
      </c>
      <c r="N280" s="28" t="s">
        <v>456</v>
      </c>
      <c r="O280" s="29" t="s">
        <v>457</v>
      </c>
      <c r="P280" s="36">
        <v>44097</v>
      </c>
      <c r="Q280" s="31">
        <v>28701.15</v>
      </c>
      <c r="R280" s="33">
        <f>M280/Q280</f>
        <v>135.01939817742493</v>
      </c>
    </row>
    <row r="281" spans="1:18" s="30" customFormat="1" ht="15" customHeight="1">
      <c r="A281" s="37" t="s">
        <v>52</v>
      </c>
      <c r="B281" s="26" t="s">
        <v>262</v>
      </c>
      <c r="C281" s="39" t="s">
        <v>613</v>
      </c>
      <c r="D281" s="40" t="s">
        <v>614</v>
      </c>
      <c r="E281" s="38" t="s">
        <v>6</v>
      </c>
      <c r="F281" s="38" t="s">
        <v>11</v>
      </c>
      <c r="G281" s="32">
        <v>3739163</v>
      </c>
      <c r="H281" s="32">
        <v>5397227</v>
      </c>
      <c r="I281" s="52">
        <v>0</v>
      </c>
      <c r="J281" s="35">
        <f>+G281-H281+I281</f>
        <v>-1658064</v>
      </c>
      <c r="K281" s="28">
        <v>0</v>
      </c>
      <c r="L281" s="32">
        <v>0</v>
      </c>
      <c r="M281" s="35">
        <f>+J281+L281</f>
        <v>-1658064</v>
      </c>
      <c r="N281" s="28" t="s">
        <v>615</v>
      </c>
      <c r="O281" s="29" t="s">
        <v>616</v>
      </c>
      <c r="P281" s="36">
        <v>43671</v>
      </c>
      <c r="Q281" s="31">
        <v>27953.42</v>
      </c>
      <c r="R281" s="33">
        <f>M281/Q281</f>
        <v>-59.315246578057355</v>
      </c>
    </row>
    <row r="282" spans="1:18" s="30" customFormat="1" ht="15" customHeight="1">
      <c r="A282" s="37" t="s">
        <v>189</v>
      </c>
      <c r="B282" s="26" t="s">
        <v>190</v>
      </c>
      <c r="C282" s="39" t="s">
        <v>613</v>
      </c>
      <c r="D282" s="40" t="s">
        <v>617</v>
      </c>
      <c r="E282" s="38" t="s">
        <v>6</v>
      </c>
      <c r="F282" s="38" t="s">
        <v>10</v>
      </c>
      <c r="G282" s="32">
        <v>46290</v>
      </c>
      <c r="H282" s="32">
        <v>0</v>
      </c>
      <c r="I282" s="32">
        <v>228096</v>
      </c>
      <c r="J282" s="35">
        <f>+G282-H282+I282</f>
        <v>274386</v>
      </c>
      <c r="K282" s="28">
        <v>0</v>
      </c>
      <c r="L282" s="32">
        <v>0</v>
      </c>
      <c r="M282" s="35">
        <f>+J282+L282</f>
        <v>274386</v>
      </c>
      <c r="N282" s="28" t="s">
        <v>600</v>
      </c>
      <c r="O282" s="29" t="s">
        <v>601</v>
      </c>
      <c r="P282" s="36">
        <v>43999</v>
      </c>
      <c r="Q282" s="31">
        <v>28709.82</v>
      </c>
      <c r="R282" s="33">
        <f>M282/Q282</f>
        <v>9.5572177046042093</v>
      </c>
    </row>
    <row r="283" spans="1:18" s="30" customFormat="1" ht="15" customHeight="1">
      <c r="A283" s="37" t="s">
        <v>236</v>
      </c>
      <c r="B283" s="26" t="s">
        <v>237</v>
      </c>
      <c r="C283" s="39" t="s">
        <v>618</v>
      </c>
      <c r="D283" s="40" t="s">
        <v>619</v>
      </c>
      <c r="E283" s="38" t="s">
        <v>4</v>
      </c>
      <c r="F283" s="38" t="s">
        <v>11</v>
      </c>
      <c r="G283" s="32">
        <v>716736848</v>
      </c>
      <c r="H283" s="32">
        <v>8110431</v>
      </c>
      <c r="I283" s="32"/>
      <c r="J283" s="35">
        <f>+G283-H283+I283</f>
        <v>708626417</v>
      </c>
      <c r="K283" s="28">
        <v>0</v>
      </c>
      <c r="L283" s="32">
        <v>0</v>
      </c>
      <c r="M283" s="35">
        <f>+J283+L283</f>
        <v>708626417</v>
      </c>
      <c r="N283" s="28" t="s">
        <v>620</v>
      </c>
      <c r="O283" s="29" t="s">
        <v>621</v>
      </c>
      <c r="P283" s="36">
        <v>44573</v>
      </c>
      <c r="Q283" s="31">
        <v>31060.59</v>
      </c>
      <c r="R283" s="33">
        <f>M283/Q283</f>
        <v>22814.325709846464</v>
      </c>
    </row>
    <row r="284" spans="1:18" s="30" customFormat="1" ht="15" customHeight="1">
      <c r="A284" s="37" t="s">
        <v>52</v>
      </c>
      <c r="B284" s="26" t="s">
        <v>622</v>
      </c>
      <c r="C284" s="65" t="s">
        <v>618</v>
      </c>
      <c r="D284" s="51" t="s">
        <v>623</v>
      </c>
      <c r="E284" s="38" t="s">
        <v>3</v>
      </c>
      <c r="F284" s="38" t="s">
        <v>11</v>
      </c>
      <c r="G284" s="32">
        <v>0</v>
      </c>
      <c r="H284" s="52">
        <v>1366456</v>
      </c>
      <c r="I284" s="32">
        <v>0</v>
      </c>
      <c r="J284" s="53">
        <f>+G284-H284+I284</f>
        <v>-1366456</v>
      </c>
      <c r="K284" s="28">
        <v>0</v>
      </c>
      <c r="L284" s="32">
        <v>0</v>
      </c>
      <c r="M284" s="53">
        <f>+J284+L284</f>
        <v>-1366456</v>
      </c>
      <c r="N284" s="55" t="s">
        <v>624</v>
      </c>
      <c r="O284" s="29" t="s">
        <v>625</v>
      </c>
      <c r="P284" s="36">
        <v>44900</v>
      </c>
      <c r="Q284" s="49">
        <v>34840.75</v>
      </c>
      <c r="R284" s="33">
        <f>M284/Q284</f>
        <v>-39.220051233110652</v>
      </c>
    </row>
    <row r="285" spans="1:18" s="30" customFormat="1" ht="15" customHeight="1">
      <c r="A285" s="37" t="s">
        <v>52</v>
      </c>
      <c r="B285" s="26" t="s">
        <v>555</v>
      </c>
      <c r="C285" s="39" t="s">
        <v>618</v>
      </c>
      <c r="D285" s="40" t="s">
        <v>626</v>
      </c>
      <c r="E285" s="38" t="s">
        <v>6</v>
      </c>
      <c r="F285" s="38" t="s">
        <v>11</v>
      </c>
      <c r="G285" s="32">
        <v>20365169</v>
      </c>
      <c r="H285" s="32">
        <v>24281444</v>
      </c>
      <c r="I285" s="32">
        <v>56701000.263157874</v>
      </c>
      <c r="J285" s="35">
        <f>+G285-H285+I285</f>
        <v>52784725.263157874</v>
      </c>
      <c r="K285" s="28">
        <v>0</v>
      </c>
      <c r="L285" s="32">
        <v>0</v>
      </c>
      <c r="M285" s="35">
        <f>+J285+L285</f>
        <v>52784725.263157874</v>
      </c>
      <c r="N285" s="28" t="s">
        <v>558</v>
      </c>
      <c r="O285" s="29" t="s">
        <v>559</v>
      </c>
      <c r="P285" s="36">
        <v>43922</v>
      </c>
      <c r="Q285" s="31">
        <v>28601.15</v>
      </c>
      <c r="R285" s="33">
        <f>M285/Q285</f>
        <v>1845.5455554464722</v>
      </c>
    </row>
    <row r="286" spans="1:18" s="30" customFormat="1" ht="15" customHeight="1">
      <c r="A286" s="37" t="s">
        <v>627</v>
      </c>
      <c r="B286" s="26" t="s">
        <v>628</v>
      </c>
      <c r="C286" s="39">
        <v>13</v>
      </c>
      <c r="D286" s="40" t="s">
        <v>629</v>
      </c>
      <c r="E286" s="38" t="s">
        <v>6</v>
      </c>
      <c r="F286" s="38" t="s">
        <v>15</v>
      </c>
      <c r="G286" s="32">
        <v>0</v>
      </c>
      <c r="H286" s="32">
        <v>0</v>
      </c>
      <c r="I286" s="32">
        <v>4799310</v>
      </c>
      <c r="J286" s="35">
        <f>+G286-H286+I286</f>
        <v>4799310</v>
      </c>
      <c r="K286" s="27" t="s">
        <v>630</v>
      </c>
      <c r="L286" s="32">
        <v>0</v>
      </c>
      <c r="M286" s="35">
        <f>+J286+L286</f>
        <v>4799310</v>
      </c>
      <c r="N286" s="28" t="s">
        <v>631</v>
      </c>
      <c r="O286" s="29" t="s">
        <v>632</v>
      </c>
      <c r="P286" s="36">
        <v>43826</v>
      </c>
      <c r="Q286" s="31">
        <v>28306.29</v>
      </c>
      <c r="R286" s="33">
        <f>M286/Q286</f>
        <v>169.5492415290029</v>
      </c>
    </row>
    <row r="287" spans="1:18" s="30" customFormat="1" ht="15" customHeight="1">
      <c r="A287" s="37" t="s">
        <v>293</v>
      </c>
      <c r="B287" s="26" t="s">
        <v>294</v>
      </c>
      <c r="C287" s="39">
        <v>608</v>
      </c>
      <c r="D287" s="40" t="s">
        <v>633</v>
      </c>
      <c r="E287" s="38" t="s">
        <v>4</v>
      </c>
      <c r="F287" s="38" t="s">
        <v>296</v>
      </c>
      <c r="G287" s="32">
        <v>0</v>
      </c>
      <c r="H287" s="32">
        <v>0</v>
      </c>
      <c r="I287" s="32">
        <v>5012167</v>
      </c>
      <c r="J287" s="35">
        <f>+G287-H287+I287</f>
        <v>5012167</v>
      </c>
      <c r="K287" s="27" t="s">
        <v>401</v>
      </c>
      <c r="L287" s="32">
        <v>0</v>
      </c>
      <c r="M287" s="35">
        <f>+J287+L287</f>
        <v>5012167</v>
      </c>
      <c r="N287" s="55" t="s">
        <v>402</v>
      </c>
      <c r="O287" s="56" t="s">
        <v>403</v>
      </c>
      <c r="P287" s="56">
        <v>44524</v>
      </c>
      <c r="Q287" s="49">
        <v>30683.439999999999</v>
      </c>
      <c r="R287" s="57">
        <f>+M287/Q287</f>
        <v>163.35088243039243</v>
      </c>
    </row>
    <row r="288" spans="1:18" s="30" customFormat="1" ht="15" customHeight="1">
      <c r="A288" s="37" t="s">
        <v>52</v>
      </c>
      <c r="B288" s="26" t="s">
        <v>262</v>
      </c>
      <c r="C288" s="39" t="s">
        <v>634</v>
      </c>
      <c r="D288" s="40" t="s">
        <v>635</v>
      </c>
      <c r="E288" s="38" t="s">
        <v>3</v>
      </c>
      <c r="F288" s="38" t="s">
        <v>21</v>
      </c>
      <c r="G288" s="32">
        <v>0</v>
      </c>
      <c r="H288" s="32">
        <v>100987546</v>
      </c>
      <c r="I288" s="32">
        <v>499992469</v>
      </c>
      <c r="J288" s="35">
        <f>+G288-H288+I288</f>
        <v>399004923</v>
      </c>
      <c r="K288" s="28">
        <v>0</v>
      </c>
      <c r="L288" s="32">
        <v>0</v>
      </c>
      <c r="M288" s="35">
        <f>+J288+L288</f>
        <v>399004923</v>
      </c>
      <c r="N288" s="28" t="s">
        <v>615</v>
      </c>
      <c r="O288" s="29" t="s">
        <v>616</v>
      </c>
      <c r="P288" s="36">
        <v>43671</v>
      </c>
      <c r="Q288" s="31">
        <v>27953.42</v>
      </c>
      <c r="R288" s="33">
        <f>M288/Q288</f>
        <v>14273.921509425323</v>
      </c>
    </row>
    <row r="289" spans="1:18" s="30" customFormat="1" ht="15" customHeight="1">
      <c r="A289" s="37" t="s">
        <v>189</v>
      </c>
      <c r="B289" s="26" t="s">
        <v>190</v>
      </c>
      <c r="C289" s="39" t="s">
        <v>634</v>
      </c>
      <c r="D289" s="40" t="s">
        <v>636</v>
      </c>
      <c r="E289" s="38" t="s">
        <v>3</v>
      </c>
      <c r="F289" s="38" t="s">
        <v>11</v>
      </c>
      <c r="G289" s="32">
        <v>14098</v>
      </c>
      <c r="H289" s="32">
        <v>0</v>
      </c>
      <c r="I289" s="32">
        <v>5102611</v>
      </c>
      <c r="J289" s="35">
        <f>+G289-H289+I289</f>
        <v>5116709</v>
      </c>
      <c r="K289" s="28">
        <v>0</v>
      </c>
      <c r="L289" s="32">
        <v>0</v>
      </c>
      <c r="M289" s="35">
        <f>+J289+L289</f>
        <v>5116709</v>
      </c>
      <c r="N289" s="28" t="s">
        <v>600</v>
      </c>
      <c r="O289" s="29" t="s">
        <v>601</v>
      </c>
      <c r="P289" s="36">
        <v>43999</v>
      </c>
      <c r="Q289" s="31">
        <v>28709.82</v>
      </c>
      <c r="R289" s="33">
        <f>M289/Q289</f>
        <v>178.22156321425911</v>
      </c>
    </row>
    <row r="290" spans="1:18" s="30" customFormat="1" ht="15" customHeight="1">
      <c r="A290" s="37" t="s">
        <v>189</v>
      </c>
      <c r="B290" s="26" t="s">
        <v>225</v>
      </c>
      <c r="C290" s="39" t="s">
        <v>634</v>
      </c>
      <c r="D290" s="40" t="s">
        <v>637</v>
      </c>
      <c r="E290" s="38" t="s">
        <v>3</v>
      </c>
      <c r="F290" s="38" t="s">
        <v>13</v>
      </c>
      <c r="G290" s="32">
        <v>10404850</v>
      </c>
      <c r="H290" s="32">
        <v>4673373</v>
      </c>
      <c r="I290" s="52">
        <v>0</v>
      </c>
      <c r="J290" s="35">
        <f>+G290-H290+I290</f>
        <v>5731477</v>
      </c>
      <c r="K290" s="28">
        <v>0</v>
      </c>
      <c r="L290" s="32">
        <v>0</v>
      </c>
      <c r="M290" s="35">
        <f>+J290+L290</f>
        <v>5731477</v>
      </c>
      <c r="N290" s="28" t="s">
        <v>228</v>
      </c>
      <c r="O290" s="29" t="s">
        <v>229</v>
      </c>
      <c r="P290" s="36">
        <v>44280</v>
      </c>
      <c r="Q290" s="31">
        <v>29383.41</v>
      </c>
      <c r="R290" s="33">
        <f>M290/Q290</f>
        <v>195.05826587179635</v>
      </c>
    </row>
    <row r="291" spans="1:18" s="30" customFormat="1" ht="15" customHeight="1">
      <c r="A291" s="37" t="s">
        <v>293</v>
      </c>
      <c r="B291" s="26" t="s">
        <v>294</v>
      </c>
      <c r="C291" s="39">
        <v>505</v>
      </c>
      <c r="D291" s="40" t="s">
        <v>638</v>
      </c>
      <c r="E291" s="38" t="s">
        <v>3</v>
      </c>
      <c r="F291" s="38" t="s">
        <v>12</v>
      </c>
      <c r="G291" s="32">
        <v>0</v>
      </c>
      <c r="H291" s="32">
        <v>0</v>
      </c>
      <c r="I291" s="32">
        <v>5262713</v>
      </c>
      <c r="J291" s="35">
        <f>+G291-H291+I291</f>
        <v>5262713</v>
      </c>
      <c r="K291" s="27" t="s">
        <v>297</v>
      </c>
      <c r="L291" s="32">
        <v>0</v>
      </c>
      <c r="M291" s="35">
        <f>+J291+L291</f>
        <v>5262713</v>
      </c>
      <c r="N291" s="55" t="s">
        <v>298</v>
      </c>
      <c r="O291" s="56" t="s">
        <v>299</v>
      </c>
      <c r="P291" s="56">
        <v>44502</v>
      </c>
      <c r="Q291" s="49">
        <v>30403.919999999998</v>
      </c>
      <c r="R291" s="57">
        <f>+M291/Q291</f>
        <v>173.09323929282803</v>
      </c>
    </row>
    <row r="292" spans="1:18" s="30" customFormat="1" ht="15" customHeight="1">
      <c r="A292" s="37" t="s">
        <v>52</v>
      </c>
      <c r="B292" s="26" t="s">
        <v>195</v>
      </c>
      <c r="C292" s="65" t="s">
        <v>634</v>
      </c>
      <c r="D292" s="51" t="s">
        <v>639</v>
      </c>
      <c r="E292" s="38" t="s">
        <v>3</v>
      </c>
      <c r="F292" s="38" t="s">
        <v>199</v>
      </c>
      <c r="G292" s="52">
        <v>563949</v>
      </c>
      <c r="H292" s="52">
        <v>1098140</v>
      </c>
      <c r="I292" s="52">
        <v>29611598</v>
      </c>
      <c r="J292" s="53">
        <f>+G292-H292+I292</f>
        <v>29077407</v>
      </c>
      <c r="K292" s="28">
        <v>0</v>
      </c>
      <c r="L292" s="32">
        <v>0</v>
      </c>
      <c r="M292" s="53">
        <f>+J292+L292</f>
        <v>29077407</v>
      </c>
      <c r="N292" s="55" t="s">
        <v>289</v>
      </c>
      <c r="O292" s="29" t="s">
        <v>290</v>
      </c>
      <c r="P292" s="36">
        <v>44764</v>
      </c>
      <c r="Q292" s="49">
        <v>33330.449999999997</v>
      </c>
      <c r="R292" s="33">
        <f>M292/Q292</f>
        <v>872.39767239866251</v>
      </c>
    </row>
    <row r="293" spans="1:18" s="30" customFormat="1" ht="15" customHeight="1">
      <c r="A293" s="37" t="s">
        <v>166</v>
      </c>
      <c r="B293" s="26" t="s">
        <v>167</v>
      </c>
      <c r="C293" s="39" t="s">
        <v>640</v>
      </c>
      <c r="D293" s="40" t="s">
        <v>641</v>
      </c>
      <c r="E293" s="38" t="s">
        <v>3</v>
      </c>
      <c r="F293" s="38" t="s">
        <v>10</v>
      </c>
      <c r="G293" s="32">
        <v>0</v>
      </c>
      <c r="H293" s="32">
        <v>0</v>
      </c>
      <c r="I293" s="32">
        <v>5516103</v>
      </c>
      <c r="J293" s="35">
        <f>+G293-H293+I293</f>
        <v>5516103</v>
      </c>
      <c r="K293" s="27" t="s">
        <v>170</v>
      </c>
      <c r="L293" s="32">
        <v>0</v>
      </c>
      <c r="M293" s="35">
        <f>+J293+L293</f>
        <v>5516103</v>
      </c>
      <c r="N293" s="28" t="s">
        <v>171</v>
      </c>
      <c r="O293" s="29" t="s">
        <v>642</v>
      </c>
      <c r="P293" s="36">
        <v>44341</v>
      </c>
      <c r="Q293" s="31">
        <v>29513.759999999998</v>
      </c>
      <c r="R293" s="33">
        <v>187</v>
      </c>
    </row>
    <row r="294" spans="1:18" s="30" customFormat="1" ht="15" customHeight="1">
      <c r="A294" s="37" t="s">
        <v>52</v>
      </c>
      <c r="B294" s="26" t="s">
        <v>262</v>
      </c>
      <c r="C294" s="39" t="s">
        <v>643</v>
      </c>
      <c r="D294" s="40" t="s">
        <v>644</v>
      </c>
      <c r="E294" s="38" t="s">
        <v>3</v>
      </c>
      <c r="F294" s="38" t="s">
        <v>11</v>
      </c>
      <c r="G294" s="32">
        <v>0</v>
      </c>
      <c r="H294" s="32">
        <v>3984621</v>
      </c>
      <c r="I294" s="52">
        <v>0</v>
      </c>
      <c r="J294" s="35">
        <f>+G294-H294+I294</f>
        <v>-3984621</v>
      </c>
      <c r="K294" s="28">
        <v>0</v>
      </c>
      <c r="L294" s="32">
        <v>0</v>
      </c>
      <c r="M294" s="35">
        <f>+J294+L294</f>
        <v>-3984621</v>
      </c>
      <c r="N294" s="28" t="s">
        <v>615</v>
      </c>
      <c r="O294" s="29" t="s">
        <v>616</v>
      </c>
      <c r="P294" s="36">
        <v>43671</v>
      </c>
      <c r="Q294" s="31">
        <v>27953.42</v>
      </c>
      <c r="R294" s="33">
        <f>M294/Q294</f>
        <v>-142.5450266908307</v>
      </c>
    </row>
    <row r="295" spans="1:18" s="30" customFormat="1" ht="15" customHeight="1">
      <c r="A295" s="37" t="s">
        <v>293</v>
      </c>
      <c r="B295" s="26" t="s">
        <v>294</v>
      </c>
      <c r="C295" s="39">
        <v>556</v>
      </c>
      <c r="D295" s="40" t="s">
        <v>645</v>
      </c>
      <c r="E295" s="38" t="s">
        <v>3</v>
      </c>
      <c r="F295" s="38" t="s">
        <v>12</v>
      </c>
      <c r="G295" s="32">
        <v>0</v>
      </c>
      <c r="H295" s="32">
        <v>4568642</v>
      </c>
      <c r="I295" s="32">
        <v>5742198</v>
      </c>
      <c r="J295" s="35">
        <f>+G295-H295+I295</f>
        <v>1173556</v>
      </c>
      <c r="K295" s="27" t="s">
        <v>401</v>
      </c>
      <c r="L295" s="32">
        <v>0</v>
      </c>
      <c r="M295" s="35">
        <f>+J295+L295</f>
        <v>1173556</v>
      </c>
      <c r="N295" s="55" t="s">
        <v>402</v>
      </c>
      <c r="O295" s="56" t="s">
        <v>403</v>
      </c>
      <c r="P295" s="56">
        <v>44524</v>
      </c>
      <c r="Q295" s="49">
        <v>30683.439999999999</v>
      </c>
      <c r="R295" s="57">
        <f>+M295/Q295</f>
        <v>38.247210873357098</v>
      </c>
    </row>
    <row r="296" spans="1:18" s="30" customFormat="1" ht="15" customHeight="1">
      <c r="A296" s="37" t="s">
        <v>189</v>
      </c>
      <c r="B296" s="26" t="s">
        <v>190</v>
      </c>
      <c r="C296" s="39" t="s">
        <v>643</v>
      </c>
      <c r="D296" s="40" t="s">
        <v>646</v>
      </c>
      <c r="E296" s="38" t="s">
        <v>3</v>
      </c>
      <c r="F296" s="38" t="s">
        <v>18</v>
      </c>
      <c r="G296" s="32">
        <v>61262423</v>
      </c>
      <c r="H296" s="32">
        <v>298548079</v>
      </c>
      <c r="I296" s="52">
        <v>0</v>
      </c>
      <c r="J296" s="35">
        <f>+G296-H296+I296</f>
        <v>-237285656</v>
      </c>
      <c r="K296" s="28">
        <v>0</v>
      </c>
      <c r="L296" s="32">
        <v>0</v>
      </c>
      <c r="M296" s="35">
        <f>+J296+L296</f>
        <v>-237285656</v>
      </c>
      <c r="N296" s="28" t="s">
        <v>600</v>
      </c>
      <c r="O296" s="29" t="s">
        <v>601</v>
      </c>
      <c r="P296" s="36">
        <v>43999</v>
      </c>
      <c r="Q296" s="31">
        <v>28709.82</v>
      </c>
      <c r="R296" s="33">
        <f>M296/Q296</f>
        <v>-8264.964949275196</v>
      </c>
    </row>
    <row r="297" spans="1:18" s="30" customFormat="1" ht="15" customHeight="1">
      <c r="A297" s="37" t="s">
        <v>52</v>
      </c>
      <c r="B297" s="26" t="s">
        <v>195</v>
      </c>
      <c r="C297" s="65" t="s">
        <v>643</v>
      </c>
      <c r="D297" s="51" t="s">
        <v>647</v>
      </c>
      <c r="E297" s="38" t="s">
        <v>3</v>
      </c>
      <c r="F297" s="38" t="s">
        <v>13</v>
      </c>
      <c r="G297" s="52">
        <v>7326080</v>
      </c>
      <c r="H297" s="52"/>
      <c r="I297" s="52"/>
      <c r="J297" s="53">
        <f>+G297-H297+I297</f>
        <v>7326080</v>
      </c>
      <c r="K297" s="28">
        <v>0</v>
      </c>
      <c r="L297" s="32">
        <v>0</v>
      </c>
      <c r="M297" s="53">
        <f>+J297+L297</f>
        <v>7326080</v>
      </c>
      <c r="N297" s="55" t="s">
        <v>289</v>
      </c>
      <c r="O297" s="29" t="s">
        <v>290</v>
      </c>
      <c r="P297" s="36">
        <v>44764</v>
      </c>
      <c r="Q297" s="49">
        <v>33330.449999999997</v>
      </c>
      <c r="R297" s="33">
        <f>M297/Q297</f>
        <v>219.80141282220913</v>
      </c>
    </row>
    <row r="298" spans="1:18" s="30" customFormat="1" ht="15" customHeight="1">
      <c r="A298" s="37" t="s">
        <v>52</v>
      </c>
      <c r="B298" s="26" t="s">
        <v>262</v>
      </c>
      <c r="C298" s="39" t="s">
        <v>648</v>
      </c>
      <c r="D298" s="40" t="s">
        <v>649</v>
      </c>
      <c r="E298" s="38" t="s">
        <v>3</v>
      </c>
      <c r="F298" s="38" t="s">
        <v>10</v>
      </c>
      <c r="G298" s="32">
        <v>10969277</v>
      </c>
      <c r="H298" s="32">
        <v>0</v>
      </c>
      <c r="I298" s="52">
        <v>0</v>
      </c>
      <c r="J298" s="35">
        <f>+G298-H298+I298</f>
        <v>10969277</v>
      </c>
      <c r="K298" s="28">
        <v>0</v>
      </c>
      <c r="L298" s="32">
        <v>0</v>
      </c>
      <c r="M298" s="35">
        <f>+J298+L298</f>
        <v>10969277</v>
      </c>
      <c r="N298" s="28" t="s">
        <v>615</v>
      </c>
      <c r="O298" s="29" t="s">
        <v>616</v>
      </c>
      <c r="P298" s="36">
        <v>43671</v>
      </c>
      <c r="Q298" s="31">
        <v>27953.42</v>
      </c>
      <c r="R298" s="33">
        <f>M298/Q298</f>
        <v>392.41269941209345</v>
      </c>
    </row>
    <row r="299" spans="1:18" s="30" customFormat="1" ht="15" customHeight="1">
      <c r="A299" s="37" t="s">
        <v>189</v>
      </c>
      <c r="B299" s="26" t="s">
        <v>190</v>
      </c>
      <c r="C299" s="39" t="s">
        <v>648</v>
      </c>
      <c r="D299" s="40" t="s">
        <v>650</v>
      </c>
      <c r="E299" s="38" t="s">
        <v>4</v>
      </c>
      <c r="F299" s="38" t="s">
        <v>12</v>
      </c>
      <c r="G299" s="32"/>
      <c r="H299" s="32">
        <v>17071018</v>
      </c>
      <c r="I299" s="32">
        <v>6453021</v>
      </c>
      <c r="J299" s="35">
        <f>+G299-H299+I299</f>
        <v>-10617997</v>
      </c>
      <c r="K299" s="28">
        <v>0</v>
      </c>
      <c r="L299" s="32">
        <v>0</v>
      </c>
      <c r="M299" s="35">
        <f>+J299+L299</f>
        <v>-10617997</v>
      </c>
      <c r="N299" s="28" t="s">
        <v>193</v>
      </c>
      <c r="O299" s="29" t="s">
        <v>194</v>
      </c>
      <c r="P299" s="36">
        <v>44383</v>
      </c>
      <c r="Q299" s="31">
        <v>29981.279999999999</v>
      </c>
      <c r="R299" s="33">
        <f>M299/Q299</f>
        <v>-354.15422557008907</v>
      </c>
    </row>
    <row r="300" spans="1:18" s="30" customFormat="1" ht="15" customHeight="1">
      <c r="A300" s="37" t="s">
        <v>52</v>
      </c>
      <c r="B300" s="26" t="s">
        <v>195</v>
      </c>
      <c r="C300" s="65" t="s">
        <v>648</v>
      </c>
      <c r="D300" s="51" t="s">
        <v>651</v>
      </c>
      <c r="E300" s="38" t="s">
        <v>3</v>
      </c>
      <c r="F300" s="38" t="s">
        <v>199</v>
      </c>
      <c r="G300" s="52"/>
      <c r="H300" s="52"/>
      <c r="I300" s="52">
        <v>2513942</v>
      </c>
      <c r="J300" s="53">
        <f>+G300-H300+I300</f>
        <v>2513942</v>
      </c>
      <c r="K300" s="28">
        <v>0</v>
      </c>
      <c r="L300" s="32">
        <v>0</v>
      </c>
      <c r="M300" s="53">
        <f>+J300+L300</f>
        <v>2513942</v>
      </c>
      <c r="N300" s="55" t="s">
        <v>289</v>
      </c>
      <c r="O300" s="29" t="s">
        <v>290</v>
      </c>
      <c r="P300" s="36">
        <v>44764</v>
      </c>
      <c r="Q300" s="49">
        <v>33330.449999999997</v>
      </c>
      <c r="R300" s="33">
        <f>M300/Q300</f>
        <v>75.424784243837095</v>
      </c>
    </row>
    <row r="301" spans="1:18" s="30" customFormat="1" ht="15" customHeight="1">
      <c r="A301" s="37" t="s">
        <v>189</v>
      </c>
      <c r="B301" s="26" t="s">
        <v>225</v>
      </c>
      <c r="C301" s="39" t="s">
        <v>652</v>
      </c>
      <c r="D301" s="40" t="s">
        <v>653</v>
      </c>
      <c r="E301" s="38" t="s">
        <v>3</v>
      </c>
      <c r="F301" s="38" t="s">
        <v>13</v>
      </c>
      <c r="G301" s="32">
        <v>948154</v>
      </c>
      <c r="H301" s="32">
        <v>0</v>
      </c>
      <c r="I301" s="32">
        <v>197140</v>
      </c>
      <c r="J301" s="35">
        <f>+G301-H301+I301</f>
        <v>1145294</v>
      </c>
      <c r="K301" s="28">
        <v>0</v>
      </c>
      <c r="L301" s="32">
        <v>0</v>
      </c>
      <c r="M301" s="35">
        <f>+J301+L301</f>
        <v>1145294</v>
      </c>
      <c r="N301" s="28" t="s">
        <v>247</v>
      </c>
      <c r="O301" s="29" t="s">
        <v>248</v>
      </c>
      <c r="P301" s="36">
        <v>44257</v>
      </c>
      <c r="Q301" s="31">
        <v>29301.98</v>
      </c>
      <c r="R301" s="33">
        <f>M301/Q301</f>
        <v>39.085891124081037</v>
      </c>
    </row>
    <row r="302" spans="1:18" s="30" customFormat="1" ht="15" customHeight="1">
      <c r="A302" s="37" t="s">
        <v>52</v>
      </c>
      <c r="B302" s="26" t="s">
        <v>262</v>
      </c>
      <c r="C302" s="39" t="s">
        <v>654</v>
      </c>
      <c r="D302" s="40" t="s">
        <v>655</v>
      </c>
      <c r="E302" s="38" t="s">
        <v>198</v>
      </c>
      <c r="F302" s="38" t="s">
        <v>13</v>
      </c>
      <c r="G302" s="32">
        <v>61063627</v>
      </c>
      <c r="H302" s="32">
        <v>0</v>
      </c>
      <c r="I302" s="32">
        <v>53800394</v>
      </c>
      <c r="J302" s="35">
        <f>+G302-H302+I302</f>
        <v>114864021</v>
      </c>
      <c r="K302" s="28">
        <v>0</v>
      </c>
      <c r="L302" s="32">
        <v>0</v>
      </c>
      <c r="M302" s="35">
        <f>+J302+L302</f>
        <v>114864021</v>
      </c>
      <c r="N302" s="28" t="s">
        <v>615</v>
      </c>
      <c r="O302" s="29" t="s">
        <v>616</v>
      </c>
      <c r="P302" s="36">
        <v>43671</v>
      </c>
      <c r="Q302" s="31">
        <v>27953.42</v>
      </c>
      <c r="R302" s="33">
        <f>M302/Q302</f>
        <v>4109.1222827117399</v>
      </c>
    </row>
    <row r="303" spans="1:18" s="30" customFormat="1" ht="15" customHeight="1">
      <c r="A303" s="37" t="s">
        <v>189</v>
      </c>
      <c r="B303" s="26" t="s">
        <v>190</v>
      </c>
      <c r="C303" s="39" t="s">
        <v>654</v>
      </c>
      <c r="D303" s="40" t="s">
        <v>656</v>
      </c>
      <c r="E303" s="38" t="s">
        <v>3</v>
      </c>
      <c r="F303" s="38" t="s">
        <v>13</v>
      </c>
      <c r="G303" s="32">
        <v>0</v>
      </c>
      <c r="H303" s="32">
        <v>30377407</v>
      </c>
      <c r="I303" s="52">
        <v>0</v>
      </c>
      <c r="J303" s="35">
        <f>+G303-H303+I303</f>
        <v>-30377407</v>
      </c>
      <c r="K303" s="28">
        <v>0</v>
      </c>
      <c r="L303" s="32">
        <v>0</v>
      </c>
      <c r="M303" s="35">
        <f>+J303+L303</f>
        <v>-30377407</v>
      </c>
      <c r="N303" s="28" t="s">
        <v>600</v>
      </c>
      <c r="O303" s="29" t="s">
        <v>601</v>
      </c>
      <c r="P303" s="36">
        <v>43999</v>
      </c>
      <c r="Q303" s="31">
        <v>28709.82</v>
      </c>
      <c r="R303" s="33">
        <f>M303/Q303</f>
        <v>-1058.0842025481177</v>
      </c>
    </row>
    <row r="304" spans="1:18" s="30" customFormat="1" ht="15" customHeight="1">
      <c r="A304" s="37" t="s">
        <v>52</v>
      </c>
      <c r="B304" s="26" t="s">
        <v>195</v>
      </c>
      <c r="C304" s="65" t="s">
        <v>654</v>
      </c>
      <c r="D304" s="51" t="s">
        <v>657</v>
      </c>
      <c r="E304" s="38" t="s">
        <v>3</v>
      </c>
      <c r="F304" s="38" t="s">
        <v>199</v>
      </c>
      <c r="G304" s="52">
        <v>1139304</v>
      </c>
      <c r="H304" s="52"/>
      <c r="I304" s="52">
        <v>33198451</v>
      </c>
      <c r="J304" s="53">
        <f>+G304-H304+I304</f>
        <v>34337755</v>
      </c>
      <c r="K304" s="28">
        <v>0</v>
      </c>
      <c r="L304" s="32">
        <v>0</v>
      </c>
      <c r="M304" s="53">
        <f>+J304+L304</f>
        <v>34337755</v>
      </c>
      <c r="N304" s="55" t="s">
        <v>289</v>
      </c>
      <c r="O304" s="29" t="s">
        <v>290</v>
      </c>
      <c r="P304" s="36">
        <v>44764</v>
      </c>
      <c r="Q304" s="49">
        <v>33330.449999999997</v>
      </c>
      <c r="R304" s="33">
        <f>M304/Q304</f>
        <v>1030.2217641826019</v>
      </c>
    </row>
    <row r="305" spans="1:18" s="30" customFormat="1" ht="15" customHeight="1">
      <c r="A305" s="37" t="s">
        <v>52</v>
      </c>
      <c r="B305" s="26" t="s">
        <v>262</v>
      </c>
      <c r="C305" s="39" t="s">
        <v>658</v>
      </c>
      <c r="D305" s="40" t="s">
        <v>659</v>
      </c>
      <c r="E305" s="38" t="s">
        <v>6</v>
      </c>
      <c r="F305" s="38" t="s">
        <v>13</v>
      </c>
      <c r="G305" s="32">
        <v>9198172</v>
      </c>
      <c r="H305" s="32">
        <v>20517073</v>
      </c>
      <c r="I305" s="32">
        <v>33417867</v>
      </c>
      <c r="J305" s="35">
        <f>+G305-H305+I305</f>
        <v>22098966</v>
      </c>
      <c r="K305" s="28">
        <v>0</v>
      </c>
      <c r="L305" s="32">
        <v>0</v>
      </c>
      <c r="M305" s="35">
        <f>+J305+L305</f>
        <v>22098966</v>
      </c>
      <c r="N305" s="28" t="s">
        <v>615</v>
      </c>
      <c r="O305" s="29" t="s">
        <v>616</v>
      </c>
      <c r="P305" s="36">
        <v>43671</v>
      </c>
      <c r="Q305" s="31">
        <v>27953.42</v>
      </c>
      <c r="R305" s="33">
        <f>M305/Q305</f>
        <v>790.5639453061558</v>
      </c>
    </row>
    <row r="306" spans="1:18" s="30" customFormat="1" ht="15" customHeight="1">
      <c r="A306" s="37" t="s">
        <v>189</v>
      </c>
      <c r="B306" s="26" t="s">
        <v>190</v>
      </c>
      <c r="C306" s="39" t="s">
        <v>658</v>
      </c>
      <c r="D306" s="40" t="s">
        <v>660</v>
      </c>
      <c r="E306" s="38" t="s">
        <v>3</v>
      </c>
      <c r="F306" s="38" t="s">
        <v>10</v>
      </c>
      <c r="G306" s="32">
        <v>154874309</v>
      </c>
      <c r="H306" s="32">
        <v>18731076</v>
      </c>
      <c r="I306" s="32">
        <v>123650740</v>
      </c>
      <c r="J306" s="35">
        <f>+G306-H306+I306</f>
        <v>259793973</v>
      </c>
      <c r="K306" s="28">
        <v>0</v>
      </c>
      <c r="L306" s="32">
        <v>0</v>
      </c>
      <c r="M306" s="35">
        <f>+J306+L306</f>
        <v>259793973</v>
      </c>
      <c r="N306" s="28" t="s">
        <v>223</v>
      </c>
      <c r="O306" s="29" t="s">
        <v>224</v>
      </c>
      <c r="P306" s="36">
        <v>44265</v>
      </c>
      <c r="Q306" s="31">
        <v>29355.01</v>
      </c>
      <c r="R306" s="33">
        <f>M306/Q306</f>
        <v>8850.0727133119708</v>
      </c>
    </row>
    <row r="307" spans="1:18" s="30" customFormat="1" ht="15" customHeight="1">
      <c r="A307" s="37" t="s">
        <v>52</v>
      </c>
      <c r="B307" s="26" t="s">
        <v>262</v>
      </c>
      <c r="C307" s="39" t="s">
        <v>661</v>
      </c>
      <c r="D307" s="40" t="s">
        <v>662</v>
      </c>
      <c r="E307" s="38" t="s">
        <v>198</v>
      </c>
      <c r="F307" s="38" t="s">
        <v>13</v>
      </c>
      <c r="G307" s="32">
        <v>29235643</v>
      </c>
      <c r="H307" s="32">
        <v>0</v>
      </c>
      <c r="I307" s="52">
        <v>0</v>
      </c>
      <c r="J307" s="35">
        <f>+G307-H307+I307</f>
        <v>29235643</v>
      </c>
      <c r="K307" s="28">
        <v>0</v>
      </c>
      <c r="L307" s="32">
        <v>0</v>
      </c>
      <c r="M307" s="35">
        <f>+J307+L307</f>
        <v>29235643</v>
      </c>
      <c r="N307" s="28" t="s">
        <v>615</v>
      </c>
      <c r="O307" s="29" t="s">
        <v>616</v>
      </c>
      <c r="P307" s="36">
        <v>43671</v>
      </c>
      <c r="Q307" s="31">
        <v>27953.42</v>
      </c>
      <c r="R307" s="33">
        <f>M307/Q307</f>
        <v>1045.8699865705164</v>
      </c>
    </row>
    <row r="308" spans="1:18" s="30" customFormat="1" ht="15" customHeight="1">
      <c r="A308" s="37" t="s">
        <v>52</v>
      </c>
      <c r="B308" s="26" t="s">
        <v>195</v>
      </c>
      <c r="C308" s="65" t="s">
        <v>661</v>
      </c>
      <c r="D308" s="51" t="s">
        <v>663</v>
      </c>
      <c r="E308" s="38" t="s">
        <v>3</v>
      </c>
      <c r="F308" s="38" t="s">
        <v>199</v>
      </c>
      <c r="G308" s="52"/>
      <c r="H308" s="52"/>
      <c r="I308" s="52">
        <v>56883255</v>
      </c>
      <c r="J308" s="53">
        <f>+G308-H308+I308</f>
        <v>56883255</v>
      </c>
      <c r="K308" s="28">
        <v>0</v>
      </c>
      <c r="L308" s="32">
        <v>0</v>
      </c>
      <c r="M308" s="53">
        <f>+J308+L308</f>
        <v>56883255</v>
      </c>
      <c r="N308" s="55" t="s">
        <v>289</v>
      </c>
      <c r="O308" s="29" t="s">
        <v>290</v>
      </c>
      <c r="P308" s="36">
        <v>44764</v>
      </c>
      <c r="Q308" s="49">
        <v>33330.449999999997</v>
      </c>
      <c r="R308" s="33">
        <f>M308/Q308</f>
        <v>1706.6452748162717</v>
      </c>
    </row>
    <row r="309" spans="1:18" s="30" customFormat="1" ht="15" customHeight="1">
      <c r="A309" s="37" t="s">
        <v>52</v>
      </c>
      <c r="B309" s="26" t="s">
        <v>262</v>
      </c>
      <c r="C309" s="39" t="s">
        <v>664</v>
      </c>
      <c r="D309" s="40" t="s">
        <v>665</v>
      </c>
      <c r="E309" s="38" t="s">
        <v>198</v>
      </c>
      <c r="F309" s="38" t="s">
        <v>12</v>
      </c>
      <c r="G309" s="32">
        <v>14956923</v>
      </c>
      <c r="H309" s="32">
        <v>47487539</v>
      </c>
      <c r="I309" s="32">
        <v>123631927</v>
      </c>
      <c r="J309" s="35">
        <f>+G309-H309+I309</f>
        <v>91101311</v>
      </c>
      <c r="K309" s="28">
        <v>0</v>
      </c>
      <c r="L309" s="32">
        <v>0</v>
      </c>
      <c r="M309" s="35">
        <f>+J309+L309</f>
        <v>91101311</v>
      </c>
      <c r="N309" s="28" t="s">
        <v>615</v>
      </c>
      <c r="O309" s="29" t="s">
        <v>616</v>
      </c>
      <c r="P309" s="36">
        <v>43671</v>
      </c>
      <c r="Q309" s="31">
        <v>27953.42</v>
      </c>
      <c r="R309" s="33">
        <f>M309/Q309</f>
        <v>3259.0398956549861</v>
      </c>
    </row>
    <row r="310" spans="1:18" s="30" customFormat="1" ht="15" customHeight="1">
      <c r="A310" s="37" t="s">
        <v>52</v>
      </c>
      <c r="B310" s="26" t="s">
        <v>195</v>
      </c>
      <c r="C310" s="65" t="s">
        <v>664</v>
      </c>
      <c r="D310" s="51" t="s">
        <v>666</v>
      </c>
      <c r="E310" s="38" t="s">
        <v>3</v>
      </c>
      <c r="F310" s="38" t="s">
        <v>18</v>
      </c>
      <c r="G310" s="52"/>
      <c r="H310" s="52"/>
      <c r="I310" s="52">
        <v>125296761</v>
      </c>
      <c r="J310" s="53">
        <f>+G310-H310+I310</f>
        <v>125296761</v>
      </c>
      <c r="K310" s="28">
        <v>0</v>
      </c>
      <c r="L310" s="32">
        <v>0</v>
      </c>
      <c r="M310" s="53">
        <f>+J310+L310</f>
        <v>125296761</v>
      </c>
      <c r="N310" s="55" t="s">
        <v>289</v>
      </c>
      <c r="O310" s="29" t="s">
        <v>290</v>
      </c>
      <c r="P310" s="36">
        <v>44764</v>
      </c>
      <c r="Q310" s="49">
        <v>33330.449999999997</v>
      </c>
      <c r="R310" s="33">
        <f>M310/Q310</f>
        <v>3759.2280032222789</v>
      </c>
    </row>
    <row r="311" spans="1:18" s="30" customFormat="1" ht="15" customHeight="1">
      <c r="A311" s="37" t="s">
        <v>52</v>
      </c>
      <c r="B311" s="26" t="s">
        <v>262</v>
      </c>
      <c r="C311" s="39" t="s">
        <v>667</v>
      </c>
      <c r="D311" s="40" t="s">
        <v>668</v>
      </c>
      <c r="E311" s="38" t="s">
        <v>6</v>
      </c>
      <c r="F311" s="38" t="s">
        <v>15</v>
      </c>
      <c r="G311" s="32">
        <v>910073</v>
      </c>
      <c r="H311" s="32">
        <v>0</v>
      </c>
      <c r="I311" s="32">
        <v>8924633</v>
      </c>
      <c r="J311" s="35">
        <f>+G311-H311+I311</f>
        <v>9834706</v>
      </c>
      <c r="K311" s="28">
        <v>0</v>
      </c>
      <c r="L311" s="32">
        <v>0</v>
      </c>
      <c r="M311" s="35">
        <f>+J311+L311</f>
        <v>9834706</v>
      </c>
      <c r="N311" s="28" t="s">
        <v>615</v>
      </c>
      <c r="O311" s="29" t="s">
        <v>616</v>
      </c>
      <c r="P311" s="36">
        <v>43671</v>
      </c>
      <c r="Q311" s="31">
        <v>27953.42</v>
      </c>
      <c r="R311" s="33">
        <f>M311/Q311</f>
        <v>351.82478566128941</v>
      </c>
    </row>
    <row r="312" spans="1:18" s="30" customFormat="1" ht="15" customHeight="1">
      <c r="A312" s="37" t="s">
        <v>293</v>
      </c>
      <c r="B312" s="26" t="s">
        <v>294</v>
      </c>
      <c r="C312" s="39">
        <v>507</v>
      </c>
      <c r="D312" s="40" t="s">
        <v>669</v>
      </c>
      <c r="E312" s="38" t="s">
        <v>3</v>
      </c>
      <c r="F312" s="38" t="s">
        <v>12</v>
      </c>
      <c r="G312" s="32">
        <v>0</v>
      </c>
      <c r="H312" s="32">
        <v>276067</v>
      </c>
      <c r="I312" s="32">
        <v>7557712</v>
      </c>
      <c r="J312" s="35">
        <f>+G312-H312+I312</f>
        <v>7281645</v>
      </c>
      <c r="K312" s="27" t="s">
        <v>297</v>
      </c>
      <c r="L312" s="32">
        <v>0</v>
      </c>
      <c r="M312" s="35">
        <f>+J312+L312</f>
        <v>7281645</v>
      </c>
      <c r="N312" s="55" t="s">
        <v>298</v>
      </c>
      <c r="O312" s="56" t="s">
        <v>299</v>
      </c>
      <c r="P312" s="56">
        <v>44502</v>
      </c>
      <c r="Q312" s="49">
        <v>30403.919999999998</v>
      </c>
      <c r="R312" s="57">
        <f>+M312/Q312</f>
        <v>239.49691355588359</v>
      </c>
    </row>
    <row r="313" spans="1:18" s="30" customFormat="1" ht="15" customHeight="1">
      <c r="A313" s="37" t="s">
        <v>189</v>
      </c>
      <c r="B313" s="26" t="s">
        <v>190</v>
      </c>
      <c r="C313" s="39" t="s">
        <v>667</v>
      </c>
      <c r="D313" s="40" t="s">
        <v>670</v>
      </c>
      <c r="E313" s="38" t="s">
        <v>3</v>
      </c>
      <c r="F313" s="38" t="s">
        <v>10</v>
      </c>
      <c r="G313" s="32">
        <v>13455537</v>
      </c>
      <c r="H313" s="32">
        <v>8172640</v>
      </c>
      <c r="I313" s="32">
        <v>11235477</v>
      </c>
      <c r="J313" s="35">
        <f>+G313-H313+I313</f>
        <v>16518374</v>
      </c>
      <c r="K313" s="28">
        <v>0</v>
      </c>
      <c r="L313" s="32">
        <v>0</v>
      </c>
      <c r="M313" s="35">
        <f>+J313+L313</f>
        <v>16518374</v>
      </c>
      <c r="N313" s="28" t="s">
        <v>223</v>
      </c>
      <c r="O313" s="29" t="s">
        <v>224</v>
      </c>
      <c r="P313" s="36">
        <v>44265</v>
      </c>
      <c r="Q313" s="31">
        <v>29355.01</v>
      </c>
      <c r="R313" s="33">
        <f>M313/Q313</f>
        <v>562.71055605159052</v>
      </c>
    </row>
    <row r="314" spans="1:18" s="30" customFormat="1" ht="15" customHeight="1">
      <c r="A314" s="37" t="s">
        <v>52</v>
      </c>
      <c r="B314" s="26" t="s">
        <v>195</v>
      </c>
      <c r="C314" s="65" t="s">
        <v>667</v>
      </c>
      <c r="D314" s="51" t="s">
        <v>671</v>
      </c>
      <c r="E314" s="38" t="s">
        <v>3</v>
      </c>
      <c r="F314" s="38" t="s">
        <v>199</v>
      </c>
      <c r="G314" s="52"/>
      <c r="H314" s="52">
        <v>355978</v>
      </c>
      <c r="I314" s="52">
        <v>6899794</v>
      </c>
      <c r="J314" s="53">
        <f>+G314-H314+I314</f>
        <v>6543816</v>
      </c>
      <c r="K314" s="28">
        <v>0</v>
      </c>
      <c r="L314" s="32">
        <v>0</v>
      </c>
      <c r="M314" s="53">
        <f>+J314+L314</f>
        <v>6543816</v>
      </c>
      <c r="N314" s="55" t="s">
        <v>289</v>
      </c>
      <c r="O314" s="29" t="s">
        <v>290</v>
      </c>
      <c r="P314" s="36">
        <v>44764</v>
      </c>
      <c r="Q314" s="49">
        <v>33330.449999999997</v>
      </c>
      <c r="R314" s="33">
        <f>M314/Q314</f>
        <v>196.33146267152111</v>
      </c>
    </row>
    <row r="315" spans="1:18" s="30" customFormat="1" ht="15" customHeight="1">
      <c r="A315" s="37" t="s">
        <v>52</v>
      </c>
      <c r="B315" s="26" t="s">
        <v>262</v>
      </c>
      <c r="C315" s="39" t="s">
        <v>672</v>
      </c>
      <c r="D315" s="40" t="s">
        <v>673</v>
      </c>
      <c r="E315" s="38" t="s">
        <v>4</v>
      </c>
      <c r="F315" s="38" t="s">
        <v>20</v>
      </c>
      <c r="G315" s="32">
        <v>8351227</v>
      </c>
      <c r="H315" s="32">
        <v>3139127</v>
      </c>
      <c r="I315" s="32">
        <v>39893034</v>
      </c>
      <c r="J315" s="35">
        <f>+G315-H315+I315</f>
        <v>45105134</v>
      </c>
      <c r="K315" s="28">
        <v>0</v>
      </c>
      <c r="L315" s="32">
        <v>0</v>
      </c>
      <c r="M315" s="35">
        <f>+J315+L315</f>
        <v>45105134</v>
      </c>
      <c r="N315" s="28" t="s">
        <v>615</v>
      </c>
      <c r="O315" s="29" t="s">
        <v>616</v>
      </c>
      <c r="P315" s="36">
        <v>43671</v>
      </c>
      <c r="Q315" s="31">
        <v>27953.42</v>
      </c>
      <c r="R315" s="33">
        <f>M315/Q315</f>
        <v>1613.5819516896324</v>
      </c>
    </row>
    <row r="316" spans="1:18" s="30" customFormat="1" ht="15" customHeight="1">
      <c r="A316" s="37" t="s">
        <v>189</v>
      </c>
      <c r="B316" s="26" t="s">
        <v>190</v>
      </c>
      <c r="C316" s="39" t="s">
        <v>672</v>
      </c>
      <c r="D316" s="40" t="s">
        <v>674</v>
      </c>
      <c r="E316" s="38" t="s">
        <v>3</v>
      </c>
      <c r="F316" s="38" t="s">
        <v>13</v>
      </c>
      <c r="G316" s="32">
        <v>27610275</v>
      </c>
      <c r="H316" s="32">
        <v>30734492</v>
      </c>
      <c r="I316" s="32">
        <v>13811002</v>
      </c>
      <c r="J316" s="35">
        <f>+G316-H316+I316</f>
        <v>10686785</v>
      </c>
      <c r="K316" s="28">
        <v>0</v>
      </c>
      <c r="L316" s="32">
        <v>0</v>
      </c>
      <c r="M316" s="35">
        <f>+J316+L316</f>
        <v>10686785</v>
      </c>
      <c r="N316" s="28" t="s">
        <v>223</v>
      </c>
      <c r="O316" s="29" t="s">
        <v>224</v>
      </c>
      <c r="P316" s="36">
        <v>44265</v>
      </c>
      <c r="Q316" s="31">
        <v>29355.01</v>
      </c>
      <c r="R316" s="33">
        <f>M316/Q316</f>
        <v>364.05318887644734</v>
      </c>
    </row>
    <row r="317" spans="1:18" s="30" customFormat="1" ht="15" customHeight="1">
      <c r="A317" s="37" t="s">
        <v>189</v>
      </c>
      <c r="B317" s="26" t="s">
        <v>225</v>
      </c>
      <c r="C317" s="39" t="s">
        <v>672</v>
      </c>
      <c r="D317" s="40" t="s">
        <v>675</v>
      </c>
      <c r="E317" s="38" t="s">
        <v>3</v>
      </c>
      <c r="F317" s="38" t="s">
        <v>13</v>
      </c>
      <c r="G317" s="32">
        <v>355011</v>
      </c>
      <c r="H317" s="32">
        <v>108779</v>
      </c>
      <c r="I317" s="52">
        <v>0</v>
      </c>
      <c r="J317" s="35">
        <f>+G317-H317+I317</f>
        <v>246232</v>
      </c>
      <c r="K317" s="28">
        <v>0</v>
      </c>
      <c r="L317" s="32">
        <v>0</v>
      </c>
      <c r="M317" s="35">
        <f>+J317+L317</f>
        <v>246232</v>
      </c>
      <c r="N317" s="28" t="s">
        <v>538</v>
      </c>
      <c r="O317" s="29" t="s">
        <v>539</v>
      </c>
      <c r="P317" s="36">
        <v>44067</v>
      </c>
      <c r="Q317" s="31">
        <v>28672.97</v>
      </c>
      <c r="R317" s="33">
        <f>M317/Q317</f>
        <v>8.5876000986294763</v>
      </c>
    </row>
    <row r="318" spans="1:18" s="30" customFormat="1" ht="15" customHeight="1">
      <c r="A318" s="37" t="s">
        <v>52</v>
      </c>
      <c r="B318" s="26" t="s">
        <v>195</v>
      </c>
      <c r="C318" s="65" t="s">
        <v>672</v>
      </c>
      <c r="D318" s="51" t="s">
        <v>676</v>
      </c>
      <c r="E318" s="38" t="s">
        <v>4</v>
      </c>
      <c r="F318" s="48" t="s">
        <v>11</v>
      </c>
      <c r="G318" s="52">
        <v>37395819</v>
      </c>
      <c r="H318" s="52">
        <v>0</v>
      </c>
      <c r="I318" s="52">
        <v>4007265</v>
      </c>
      <c r="J318" s="53">
        <f>+G318-H318+I318</f>
        <v>41403084</v>
      </c>
      <c r="K318" s="28">
        <v>0</v>
      </c>
      <c r="L318" s="32">
        <v>0</v>
      </c>
      <c r="M318" s="53">
        <f>+J318+L318</f>
        <v>41403084</v>
      </c>
      <c r="N318" s="55" t="s">
        <v>385</v>
      </c>
      <c r="O318" s="29" t="s">
        <v>386</v>
      </c>
      <c r="P318" s="36">
        <v>44727</v>
      </c>
      <c r="Q318" s="49">
        <v>33086.83</v>
      </c>
      <c r="R318" s="33">
        <f>M318/Q318</f>
        <v>1251.3463514032621</v>
      </c>
    </row>
    <row r="319" spans="1:18" s="30" customFormat="1" ht="15" customHeight="1">
      <c r="A319" s="37" t="s">
        <v>293</v>
      </c>
      <c r="B319" s="26" t="s">
        <v>294</v>
      </c>
      <c r="C319" s="39">
        <v>596</v>
      </c>
      <c r="D319" s="40" t="s">
        <v>677</v>
      </c>
      <c r="E319" s="38" t="s">
        <v>3</v>
      </c>
      <c r="F319" s="38" t="s">
        <v>678</v>
      </c>
      <c r="G319" s="32">
        <v>0</v>
      </c>
      <c r="H319" s="32">
        <v>0</v>
      </c>
      <c r="I319" s="32">
        <v>8078129</v>
      </c>
      <c r="J319" s="35">
        <f>+G319-H319+I319</f>
        <v>8078129</v>
      </c>
      <c r="K319" s="27" t="s">
        <v>401</v>
      </c>
      <c r="L319" s="32">
        <v>0</v>
      </c>
      <c r="M319" s="35">
        <f>+J319+L319</f>
        <v>8078129</v>
      </c>
      <c r="N319" s="55" t="s">
        <v>402</v>
      </c>
      <c r="O319" s="56" t="s">
        <v>403</v>
      </c>
      <c r="P319" s="56">
        <v>44524</v>
      </c>
      <c r="Q319" s="49">
        <v>30683.439999999999</v>
      </c>
      <c r="R319" s="57">
        <f>+M319/Q319</f>
        <v>263.27325097837792</v>
      </c>
    </row>
    <row r="320" spans="1:18" s="30" customFormat="1" ht="15" customHeight="1">
      <c r="A320" s="37" t="s">
        <v>166</v>
      </c>
      <c r="B320" s="26" t="s">
        <v>167</v>
      </c>
      <c r="C320" s="39" t="s">
        <v>679</v>
      </c>
      <c r="D320" s="40" t="s">
        <v>680</v>
      </c>
      <c r="E320" s="38" t="s">
        <v>3</v>
      </c>
      <c r="F320" s="38" t="s">
        <v>10</v>
      </c>
      <c r="G320" s="32">
        <v>0</v>
      </c>
      <c r="H320" s="32">
        <v>17219637</v>
      </c>
      <c r="I320" s="32">
        <v>8392996</v>
      </c>
      <c r="J320" s="35">
        <f>+G320-H320+I320</f>
        <v>-8826641</v>
      </c>
      <c r="K320" s="27">
        <v>235</v>
      </c>
      <c r="L320" s="32">
        <v>0</v>
      </c>
      <c r="M320" s="35">
        <f>+J320+L320</f>
        <v>-8826641</v>
      </c>
      <c r="N320" s="28" t="s">
        <v>171</v>
      </c>
      <c r="O320" s="29" t="s">
        <v>172</v>
      </c>
      <c r="P320" s="36">
        <v>44341</v>
      </c>
      <c r="Q320" s="31">
        <v>29513.759999999998</v>
      </c>
      <c r="R320" s="33">
        <v>-299</v>
      </c>
    </row>
    <row r="321" spans="1:18" s="30" customFormat="1" ht="15" customHeight="1">
      <c r="A321" s="37" t="s">
        <v>189</v>
      </c>
      <c r="B321" s="26" t="s">
        <v>225</v>
      </c>
      <c r="C321" s="39" t="s">
        <v>681</v>
      </c>
      <c r="D321" s="40" t="s">
        <v>682</v>
      </c>
      <c r="E321" s="38" t="s">
        <v>198</v>
      </c>
      <c r="F321" s="38" t="s">
        <v>11</v>
      </c>
      <c r="G321" s="32">
        <v>5311295</v>
      </c>
      <c r="H321" s="32">
        <v>0</v>
      </c>
      <c r="I321" s="32">
        <v>53325157</v>
      </c>
      <c r="J321" s="35">
        <f>+G321-H321+I321</f>
        <v>58636452</v>
      </c>
      <c r="K321" s="28">
        <v>0</v>
      </c>
      <c r="L321" s="32">
        <v>0</v>
      </c>
      <c r="M321" s="35">
        <f>+J321+L321</f>
        <v>58636452</v>
      </c>
      <c r="N321" s="28" t="s">
        <v>228</v>
      </c>
      <c r="O321" s="29" t="s">
        <v>229</v>
      </c>
      <c r="P321" s="36">
        <v>44280</v>
      </c>
      <c r="Q321" s="31">
        <v>29383.41</v>
      </c>
      <c r="R321" s="33">
        <f>M321/Q321</f>
        <v>1995.5632106688774</v>
      </c>
    </row>
    <row r="322" spans="1:18" s="30" customFormat="1" ht="15" customHeight="1">
      <c r="A322" s="37" t="s">
        <v>391</v>
      </c>
      <c r="B322" s="26" t="s">
        <v>392</v>
      </c>
      <c r="C322" s="39">
        <v>162</v>
      </c>
      <c r="D322" s="40" t="s">
        <v>683</v>
      </c>
      <c r="E322" s="38" t="s">
        <v>3</v>
      </c>
      <c r="F322" s="38" t="s">
        <v>11</v>
      </c>
      <c r="G322" s="32">
        <v>0</v>
      </c>
      <c r="H322" s="32">
        <v>0</v>
      </c>
      <c r="I322" s="32">
        <v>8515383</v>
      </c>
      <c r="J322" s="35">
        <f>+G322-H322+I322</f>
        <v>8515383</v>
      </c>
      <c r="K322" s="27"/>
      <c r="L322" s="32">
        <v>0</v>
      </c>
      <c r="M322" s="35">
        <f>+J322+L322</f>
        <v>8515383</v>
      </c>
      <c r="N322" s="28" t="s">
        <v>684</v>
      </c>
      <c r="O322" s="29" t="s">
        <v>395</v>
      </c>
      <c r="P322" s="36">
        <v>44293</v>
      </c>
      <c r="Q322" s="31">
        <v>29408.04</v>
      </c>
      <c r="R322" s="33">
        <f>M322/Q322</f>
        <v>289.55969183937452</v>
      </c>
    </row>
    <row r="323" spans="1:18" s="30" customFormat="1" ht="15" customHeight="1">
      <c r="A323" s="37" t="s">
        <v>293</v>
      </c>
      <c r="B323" s="26" t="s">
        <v>294</v>
      </c>
      <c r="C323" s="39">
        <v>557</v>
      </c>
      <c r="D323" s="40" t="s">
        <v>685</v>
      </c>
      <c r="E323" s="38" t="s">
        <v>3</v>
      </c>
      <c r="F323" s="38" t="s">
        <v>12</v>
      </c>
      <c r="G323" s="32">
        <v>0</v>
      </c>
      <c r="H323" s="32">
        <v>0</v>
      </c>
      <c r="I323" s="32">
        <v>8626496</v>
      </c>
      <c r="J323" s="35">
        <f>+G323-H323+I323</f>
        <v>8626496</v>
      </c>
      <c r="K323" s="27" t="s">
        <v>401</v>
      </c>
      <c r="L323" s="32">
        <v>0</v>
      </c>
      <c r="M323" s="35">
        <f>+J323+L323</f>
        <v>8626496</v>
      </c>
      <c r="N323" s="55" t="s">
        <v>402</v>
      </c>
      <c r="O323" s="56" t="s">
        <v>403</v>
      </c>
      <c r="P323" s="56">
        <v>44524</v>
      </c>
      <c r="Q323" s="49">
        <v>30683.439999999999</v>
      </c>
      <c r="R323" s="57">
        <f>+M323/Q323</f>
        <v>281.14500851273522</v>
      </c>
    </row>
    <row r="324" spans="1:18" s="30" customFormat="1" ht="15" customHeight="1">
      <c r="A324" s="37" t="s">
        <v>52</v>
      </c>
      <c r="B324" s="26" t="s">
        <v>262</v>
      </c>
      <c r="C324" s="39" t="s">
        <v>686</v>
      </c>
      <c r="D324" s="40" t="s">
        <v>687</v>
      </c>
      <c r="E324" s="38" t="s">
        <v>3</v>
      </c>
      <c r="F324" s="38" t="s">
        <v>10</v>
      </c>
      <c r="G324" s="32">
        <v>0</v>
      </c>
      <c r="H324" s="32">
        <v>0</v>
      </c>
      <c r="I324" s="32">
        <v>6244248</v>
      </c>
      <c r="J324" s="35">
        <f>+G324-H324+I324</f>
        <v>6244248</v>
      </c>
      <c r="K324" s="28">
        <v>0</v>
      </c>
      <c r="L324" s="32">
        <v>0</v>
      </c>
      <c r="M324" s="35">
        <f>+J324+L324</f>
        <v>6244248</v>
      </c>
      <c r="N324" s="28" t="s">
        <v>615</v>
      </c>
      <c r="O324" s="29" t="s">
        <v>616</v>
      </c>
      <c r="P324" s="36">
        <v>43671</v>
      </c>
      <c r="Q324" s="31">
        <v>27953.42</v>
      </c>
      <c r="R324" s="33">
        <f>M324/Q324</f>
        <v>223.38046650463522</v>
      </c>
    </row>
    <row r="325" spans="1:18" s="30" customFormat="1" ht="15" customHeight="1">
      <c r="A325" s="37" t="s">
        <v>688</v>
      </c>
      <c r="B325" s="26" t="s">
        <v>689</v>
      </c>
      <c r="C325" s="39">
        <v>3</v>
      </c>
      <c r="D325" s="40" t="s">
        <v>690</v>
      </c>
      <c r="E325" s="38" t="s">
        <v>3</v>
      </c>
      <c r="F325" s="38" t="s">
        <v>13</v>
      </c>
      <c r="G325" s="32">
        <v>0</v>
      </c>
      <c r="H325" s="32">
        <v>0</v>
      </c>
      <c r="I325" s="32">
        <v>9097776</v>
      </c>
      <c r="J325" s="35">
        <f>+G325-H325+I325</f>
        <v>9097776</v>
      </c>
      <c r="K325" s="27">
        <v>30</v>
      </c>
      <c r="L325" s="32">
        <v>0</v>
      </c>
      <c r="M325" s="35">
        <f>+J325+L325</f>
        <v>9097776</v>
      </c>
      <c r="N325" s="28" t="s">
        <v>691</v>
      </c>
      <c r="O325" s="29" t="s">
        <v>692</v>
      </c>
      <c r="P325" s="36">
        <v>44880</v>
      </c>
      <c r="Q325" s="31">
        <v>33594.58</v>
      </c>
      <c r="R325" s="33">
        <f>M325/Q325</f>
        <v>270.81082722272458</v>
      </c>
    </row>
    <row r="326" spans="1:18" s="30" customFormat="1" ht="15" customHeight="1">
      <c r="A326" s="37" t="s">
        <v>189</v>
      </c>
      <c r="B326" s="26" t="s">
        <v>190</v>
      </c>
      <c r="C326" s="39" t="s">
        <v>686</v>
      </c>
      <c r="D326" s="40" t="s">
        <v>693</v>
      </c>
      <c r="E326" s="38" t="s">
        <v>3</v>
      </c>
      <c r="F326" s="38" t="s">
        <v>10</v>
      </c>
      <c r="G326" s="32">
        <v>8521654</v>
      </c>
      <c r="H326" s="32">
        <v>2534801</v>
      </c>
      <c r="I326" s="52">
        <v>0</v>
      </c>
      <c r="J326" s="35">
        <f>+G326-H326+I326</f>
        <v>5986853</v>
      </c>
      <c r="K326" s="28">
        <v>0</v>
      </c>
      <c r="L326" s="32">
        <v>0</v>
      </c>
      <c r="M326" s="35">
        <f>+J326+L326</f>
        <v>5986853</v>
      </c>
      <c r="N326" s="28" t="s">
        <v>600</v>
      </c>
      <c r="O326" s="29" t="s">
        <v>601</v>
      </c>
      <c r="P326" s="36">
        <v>43999</v>
      </c>
      <c r="Q326" s="31">
        <v>28709.82</v>
      </c>
      <c r="R326" s="33">
        <f>M326/Q326</f>
        <v>208.52979921155898</v>
      </c>
    </row>
    <row r="327" spans="1:18" s="30" customFormat="1" ht="15" customHeight="1">
      <c r="A327" s="37" t="s">
        <v>52</v>
      </c>
      <c r="B327" s="26" t="s">
        <v>195</v>
      </c>
      <c r="C327" s="65" t="s">
        <v>686</v>
      </c>
      <c r="D327" s="51" t="s">
        <v>694</v>
      </c>
      <c r="E327" s="38" t="s">
        <v>3</v>
      </c>
      <c r="F327" s="38" t="s">
        <v>199</v>
      </c>
      <c r="G327" s="52">
        <v>53885572</v>
      </c>
      <c r="H327" s="52">
        <v>9021551</v>
      </c>
      <c r="I327" s="52">
        <v>77621523</v>
      </c>
      <c r="J327" s="53">
        <f>+G327-H327+I327</f>
        <v>122485544</v>
      </c>
      <c r="K327" s="28">
        <v>0</v>
      </c>
      <c r="L327" s="32">
        <v>0</v>
      </c>
      <c r="M327" s="53">
        <f>+J327+L327</f>
        <v>122485544</v>
      </c>
      <c r="N327" s="55" t="s">
        <v>289</v>
      </c>
      <c r="O327" s="29" t="s">
        <v>290</v>
      </c>
      <c r="P327" s="36">
        <v>44764</v>
      </c>
      <c r="Q327" s="49">
        <v>33330.449999999997</v>
      </c>
      <c r="R327" s="33">
        <f>M327/Q327</f>
        <v>3674.8841974830825</v>
      </c>
    </row>
    <row r="328" spans="1:18" s="30" customFormat="1" ht="15" customHeight="1">
      <c r="A328" s="37" t="s">
        <v>356</v>
      </c>
      <c r="B328" s="26" t="s">
        <v>357</v>
      </c>
      <c r="C328" s="39" t="s">
        <v>695</v>
      </c>
      <c r="D328" s="40" t="s">
        <v>696</v>
      </c>
      <c r="E328" s="38" t="s">
        <v>3</v>
      </c>
      <c r="F328" s="38" t="s">
        <v>10</v>
      </c>
      <c r="G328" s="32">
        <v>8645421</v>
      </c>
      <c r="H328" s="32">
        <v>2569876</v>
      </c>
      <c r="I328" s="32">
        <v>2308499</v>
      </c>
      <c r="J328" s="35">
        <f>+G328-H328+I328</f>
        <v>8384044</v>
      </c>
      <c r="K328" s="28">
        <v>0</v>
      </c>
      <c r="L328" s="32">
        <v>0</v>
      </c>
      <c r="M328" s="35">
        <f>+J328+L328</f>
        <v>8384044</v>
      </c>
      <c r="N328" s="28" t="s">
        <v>697</v>
      </c>
      <c r="O328" s="29" t="s">
        <v>698</v>
      </c>
      <c r="P328" s="36">
        <v>43404</v>
      </c>
      <c r="Q328" s="31">
        <v>27432.1</v>
      </c>
      <c r="R328" s="33">
        <f>+M328/Q328</f>
        <v>305.62895294199132</v>
      </c>
    </row>
    <row r="329" spans="1:18" s="30" customFormat="1" ht="15" customHeight="1">
      <c r="A329" s="37" t="s">
        <v>166</v>
      </c>
      <c r="B329" s="26" t="s">
        <v>167</v>
      </c>
      <c r="C329" s="39" t="s">
        <v>699</v>
      </c>
      <c r="D329" s="40" t="s">
        <v>700</v>
      </c>
      <c r="E329" s="38" t="s">
        <v>3</v>
      </c>
      <c r="F329" s="38" t="s">
        <v>9</v>
      </c>
      <c r="G329" s="32">
        <v>0</v>
      </c>
      <c r="H329" s="32">
        <v>0</v>
      </c>
      <c r="I329" s="32">
        <v>9722432</v>
      </c>
      <c r="J329" s="35">
        <f>+G329-H329+I329</f>
        <v>9722432</v>
      </c>
      <c r="K329" s="27" t="s">
        <v>170</v>
      </c>
      <c r="L329" s="32">
        <v>0</v>
      </c>
      <c r="M329" s="35">
        <f>+J329+L329</f>
        <v>9722432</v>
      </c>
      <c r="N329" s="28" t="s">
        <v>171</v>
      </c>
      <c r="O329" s="29" t="s">
        <v>269</v>
      </c>
      <c r="P329" s="36">
        <v>44341</v>
      </c>
      <c r="Q329" s="31">
        <v>29513.759999999998</v>
      </c>
      <c r="R329" s="33">
        <v>329</v>
      </c>
    </row>
    <row r="330" spans="1:18" s="30" customFormat="1" ht="15" customHeight="1">
      <c r="A330" s="37" t="s">
        <v>293</v>
      </c>
      <c r="B330" s="26" t="s">
        <v>294</v>
      </c>
      <c r="C330" s="39">
        <v>359</v>
      </c>
      <c r="D330" s="40" t="s">
        <v>701</v>
      </c>
      <c r="E330" s="38" t="s">
        <v>3</v>
      </c>
      <c r="F330" s="38" t="s">
        <v>296</v>
      </c>
      <c r="G330" s="32">
        <v>0</v>
      </c>
      <c r="H330" s="32">
        <v>36052715</v>
      </c>
      <c r="I330" s="32">
        <v>9737856</v>
      </c>
      <c r="J330" s="35">
        <f>+G330-H330+I330</f>
        <v>-26314859</v>
      </c>
      <c r="K330" s="27" t="s">
        <v>297</v>
      </c>
      <c r="L330" s="32">
        <v>0</v>
      </c>
      <c r="M330" s="35">
        <f>+J330+L330</f>
        <v>-26314859</v>
      </c>
      <c r="N330" s="55" t="s">
        <v>298</v>
      </c>
      <c r="O330" s="56" t="s">
        <v>299</v>
      </c>
      <c r="P330" s="56">
        <v>44502</v>
      </c>
      <c r="Q330" s="49">
        <v>30403.919999999998</v>
      </c>
      <c r="R330" s="57">
        <f>+M330/Q330</f>
        <v>-865.50875676557507</v>
      </c>
    </row>
    <row r="331" spans="1:18" s="30" customFormat="1" ht="15" customHeight="1">
      <c r="A331" s="37" t="s">
        <v>293</v>
      </c>
      <c r="B331" s="26" t="s">
        <v>294</v>
      </c>
      <c r="C331" s="39">
        <v>492</v>
      </c>
      <c r="D331" s="40" t="s">
        <v>702</v>
      </c>
      <c r="E331" s="38" t="s">
        <v>198</v>
      </c>
      <c r="F331" s="38" t="s">
        <v>11</v>
      </c>
      <c r="G331" s="32">
        <v>0</v>
      </c>
      <c r="H331" s="32">
        <v>0</v>
      </c>
      <c r="I331" s="32">
        <v>9951905</v>
      </c>
      <c r="J331" s="35">
        <f>+G331-H331+I331</f>
        <v>9951905</v>
      </c>
      <c r="K331" s="27" t="s">
        <v>297</v>
      </c>
      <c r="L331" s="32">
        <v>0</v>
      </c>
      <c r="M331" s="35">
        <f>+J331+L331</f>
        <v>9951905</v>
      </c>
      <c r="N331" s="28" t="s">
        <v>459</v>
      </c>
      <c r="O331" s="29" t="s">
        <v>460</v>
      </c>
      <c r="P331" s="36" t="s">
        <v>461</v>
      </c>
      <c r="Q331" s="31">
        <v>30683.439999999999</v>
      </c>
      <c r="R331" s="33">
        <f>+M331/Q331</f>
        <v>324.34124074745205</v>
      </c>
    </row>
    <row r="332" spans="1:18" s="30" customFormat="1" ht="15" customHeight="1">
      <c r="A332" s="37" t="s">
        <v>236</v>
      </c>
      <c r="B332" s="26" t="s">
        <v>237</v>
      </c>
      <c r="C332" s="39" t="s">
        <v>695</v>
      </c>
      <c r="D332" s="40" t="s">
        <v>703</v>
      </c>
      <c r="E332" s="38" t="s">
        <v>3</v>
      </c>
      <c r="F332" s="38" t="s">
        <v>9</v>
      </c>
      <c r="G332" s="32">
        <v>0</v>
      </c>
      <c r="H332" s="32">
        <v>544287</v>
      </c>
      <c r="I332" s="32">
        <v>5848438</v>
      </c>
      <c r="J332" s="35">
        <f>+G332-H332+I332</f>
        <v>5304151</v>
      </c>
      <c r="K332" s="28">
        <v>0</v>
      </c>
      <c r="L332" s="32">
        <v>0</v>
      </c>
      <c r="M332" s="35">
        <f>+J332+L332</f>
        <v>5304151</v>
      </c>
      <c r="N332" s="28" t="s">
        <v>240</v>
      </c>
      <c r="O332" s="29" t="s">
        <v>241</v>
      </c>
      <c r="P332" s="36">
        <v>44294</v>
      </c>
      <c r="Q332" s="31">
        <v>29409.93</v>
      </c>
      <c r="R332" s="33">
        <f>M332/Q332</f>
        <v>180.35238438173772</v>
      </c>
    </row>
    <row r="333" spans="1:18" s="30" customFormat="1" ht="15" customHeight="1">
      <c r="A333" s="37" t="s">
        <v>52</v>
      </c>
      <c r="B333" s="26" t="s">
        <v>622</v>
      </c>
      <c r="C333" s="65" t="s">
        <v>695</v>
      </c>
      <c r="D333" s="51" t="s">
        <v>704</v>
      </c>
      <c r="E333" s="38" t="s">
        <v>4</v>
      </c>
      <c r="F333" s="38" t="s">
        <v>11</v>
      </c>
      <c r="G333" s="32">
        <v>0</v>
      </c>
      <c r="H333" s="32">
        <v>0</v>
      </c>
      <c r="I333" s="52">
        <v>3807244</v>
      </c>
      <c r="J333" s="53">
        <f>+G333-H333+I333</f>
        <v>3807244</v>
      </c>
      <c r="K333" s="28">
        <v>0</v>
      </c>
      <c r="L333" s="32">
        <v>0</v>
      </c>
      <c r="M333" s="53">
        <f>+J333+L333</f>
        <v>3807244</v>
      </c>
      <c r="N333" s="55" t="s">
        <v>624</v>
      </c>
      <c r="O333" s="29" t="s">
        <v>625</v>
      </c>
      <c r="P333" s="36">
        <v>44900</v>
      </c>
      <c r="Q333" s="49">
        <v>34840.75</v>
      </c>
      <c r="R333" s="33">
        <f>M333/Q333</f>
        <v>109.27560399819177</v>
      </c>
    </row>
    <row r="334" spans="1:18" s="30" customFormat="1" ht="15" customHeight="1">
      <c r="A334" s="37" t="s">
        <v>293</v>
      </c>
      <c r="B334" s="26" t="s">
        <v>294</v>
      </c>
      <c r="C334" s="39">
        <v>579</v>
      </c>
      <c r="D334" s="40" t="s">
        <v>705</v>
      </c>
      <c r="E334" s="38" t="s">
        <v>3</v>
      </c>
      <c r="F334" s="38" t="s">
        <v>15</v>
      </c>
      <c r="G334" s="32">
        <v>0</v>
      </c>
      <c r="H334" s="32">
        <v>0</v>
      </c>
      <c r="I334" s="32">
        <v>10960082</v>
      </c>
      <c r="J334" s="35">
        <f>+G334-H334+I334</f>
        <v>10960082</v>
      </c>
      <c r="K334" s="27" t="s">
        <v>297</v>
      </c>
      <c r="L334" s="32">
        <v>0</v>
      </c>
      <c r="M334" s="35">
        <f>+J334+L334</f>
        <v>10960082</v>
      </c>
      <c r="N334" s="55" t="s">
        <v>298</v>
      </c>
      <c r="O334" s="56" t="s">
        <v>299</v>
      </c>
      <c r="P334" s="56">
        <v>44502</v>
      </c>
      <c r="Q334" s="49">
        <v>30403.919999999998</v>
      </c>
      <c r="R334" s="57">
        <f>+M334/Q334</f>
        <v>360.48252988430443</v>
      </c>
    </row>
    <row r="335" spans="1:18" s="30" customFormat="1" ht="15" customHeight="1">
      <c r="A335" s="37" t="s">
        <v>52</v>
      </c>
      <c r="B335" s="26" t="s">
        <v>555</v>
      </c>
      <c r="C335" s="39" t="s">
        <v>695</v>
      </c>
      <c r="D335" s="40" t="s">
        <v>706</v>
      </c>
      <c r="E335" s="38" t="s">
        <v>6</v>
      </c>
      <c r="F335" s="38" t="s">
        <v>11</v>
      </c>
      <c r="G335" s="32">
        <v>15834670</v>
      </c>
      <c r="H335" s="32">
        <v>46428731</v>
      </c>
      <c r="I335" s="32">
        <v>112305437</v>
      </c>
      <c r="J335" s="35">
        <f>+G335-H335+I335</f>
        <v>81711376</v>
      </c>
      <c r="K335" s="28">
        <v>0</v>
      </c>
      <c r="L335" s="32">
        <v>0</v>
      </c>
      <c r="M335" s="35">
        <f>+J335+L335</f>
        <v>81711376</v>
      </c>
      <c r="N335" s="28" t="s">
        <v>558</v>
      </c>
      <c r="O335" s="29" t="s">
        <v>559</v>
      </c>
      <c r="P335" s="36">
        <v>43922</v>
      </c>
      <c r="Q335" s="31">
        <v>28601.15</v>
      </c>
      <c r="R335" s="33">
        <f>M335/Q335</f>
        <v>2856.9262424762637</v>
      </c>
    </row>
    <row r="336" spans="1:18" s="30" customFormat="1" ht="15" customHeight="1">
      <c r="A336" s="37" t="s">
        <v>189</v>
      </c>
      <c r="B336" s="26" t="s">
        <v>225</v>
      </c>
      <c r="C336" s="39" t="s">
        <v>695</v>
      </c>
      <c r="D336" s="40" t="s">
        <v>707</v>
      </c>
      <c r="E336" s="38" t="s">
        <v>3</v>
      </c>
      <c r="F336" s="38" t="s">
        <v>10</v>
      </c>
      <c r="G336" s="32">
        <v>2109105</v>
      </c>
      <c r="H336" s="32">
        <v>0</v>
      </c>
      <c r="I336" s="52">
        <v>0</v>
      </c>
      <c r="J336" s="35">
        <f>+G336-H336+I336</f>
        <v>2109105</v>
      </c>
      <c r="K336" s="28">
        <v>0</v>
      </c>
      <c r="L336" s="32">
        <v>0</v>
      </c>
      <c r="M336" s="35">
        <f>+J336+L336</f>
        <v>2109105</v>
      </c>
      <c r="N336" s="28" t="s">
        <v>243</v>
      </c>
      <c r="O336" s="29" t="s">
        <v>244</v>
      </c>
      <c r="P336" s="36">
        <v>43993</v>
      </c>
      <c r="Q336" s="31">
        <v>28714.6</v>
      </c>
      <c r="R336" s="33">
        <f>M336/Q336</f>
        <v>73.450613973379404</v>
      </c>
    </row>
    <row r="337" spans="1:18" s="30" customFormat="1" ht="15" customHeight="1">
      <c r="A337" s="37" t="s">
        <v>52</v>
      </c>
      <c r="B337" s="26" t="s">
        <v>195</v>
      </c>
      <c r="C337" s="65" t="s">
        <v>695</v>
      </c>
      <c r="D337" s="51" t="s">
        <v>708</v>
      </c>
      <c r="E337" s="38" t="s">
        <v>3</v>
      </c>
      <c r="F337" s="38" t="s">
        <v>10</v>
      </c>
      <c r="G337" s="52">
        <v>317448041</v>
      </c>
      <c r="H337" s="52">
        <v>463532074</v>
      </c>
      <c r="I337" s="52">
        <v>335698992</v>
      </c>
      <c r="J337" s="53">
        <f>+G337-H337+I337</f>
        <v>189614959</v>
      </c>
      <c r="K337" s="28">
        <v>0</v>
      </c>
      <c r="L337" s="32">
        <v>0</v>
      </c>
      <c r="M337" s="53">
        <f>+J337+L337</f>
        <v>189614959</v>
      </c>
      <c r="N337" s="55" t="s">
        <v>289</v>
      </c>
      <c r="O337" s="29" t="s">
        <v>290</v>
      </c>
      <c r="P337" s="36">
        <v>44764</v>
      </c>
      <c r="Q337" s="49">
        <v>33330.449999999997</v>
      </c>
      <c r="R337" s="33">
        <f>M337/Q337</f>
        <v>5688.9408633846833</v>
      </c>
    </row>
    <row r="338" spans="1:18" s="30" customFormat="1" ht="15" customHeight="1">
      <c r="A338" s="37" t="s">
        <v>52</v>
      </c>
      <c r="B338" s="26" t="s">
        <v>262</v>
      </c>
      <c r="C338" s="39" t="s">
        <v>709</v>
      </c>
      <c r="D338" s="40" t="s">
        <v>710</v>
      </c>
      <c r="E338" s="38" t="s">
        <v>3</v>
      </c>
      <c r="F338" s="38" t="s">
        <v>15</v>
      </c>
      <c r="G338" s="32">
        <v>326968</v>
      </c>
      <c r="H338" s="32">
        <v>0</v>
      </c>
      <c r="I338" s="32">
        <v>10756136</v>
      </c>
      <c r="J338" s="35">
        <f>+G338-H338+I338</f>
        <v>11083104</v>
      </c>
      <c r="K338" s="28">
        <v>0</v>
      </c>
      <c r="L338" s="32">
        <v>0</v>
      </c>
      <c r="M338" s="35">
        <f>+J338+L338</f>
        <v>11083104</v>
      </c>
      <c r="N338" s="28" t="s">
        <v>615</v>
      </c>
      <c r="O338" s="29" t="s">
        <v>616</v>
      </c>
      <c r="P338" s="36">
        <v>43671</v>
      </c>
      <c r="Q338" s="31">
        <v>27953.42</v>
      </c>
      <c r="R338" s="33">
        <f>M338/Q338</f>
        <v>396.48472351504756</v>
      </c>
    </row>
    <row r="339" spans="1:18" s="30" customFormat="1" ht="15" customHeight="1">
      <c r="A339" s="37" t="s">
        <v>189</v>
      </c>
      <c r="B339" s="26" t="s">
        <v>190</v>
      </c>
      <c r="C339" s="39" t="s">
        <v>709</v>
      </c>
      <c r="D339" s="40" t="s">
        <v>711</v>
      </c>
      <c r="E339" s="38" t="s">
        <v>3</v>
      </c>
      <c r="F339" s="38" t="s">
        <v>10</v>
      </c>
      <c r="G339" s="32">
        <v>974317</v>
      </c>
      <c r="H339" s="32">
        <v>279472</v>
      </c>
      <c r="I339" s="52">
        <v>0</v>
      </c>
      <c r="J339" s="35">
        <f>+G339-H339+I339</f>
        <v>694845</v>
      </c>
      <c r="K339" s="28">
        <v>0</v>
      </c>
      <c r="L339" s="32">
        <v>0</v>
      </c>
      <c r="M339" s="35">
        <f>+J339+L339</f>
        <v>694845</v>
      </c>
      <c r="N339" s="28" t="s">
        <v>600</v>
      </c>
      <c r="O339" s="29" t="s">
        <v>601</v>
      </c>
      <c r="P339" s="36">
        <v>43999</v>
      </c>
      <c r="Q339" s="31">
        <v>28709.82</v>
      </c>
      <c r="R339" s="33">
        <f>M339/Q339</f>
        <v>24.20234609621377</v>
      </c>
    </row>
    <row r="340" spans="1:18" s="30" customFormat="1" ht="15" customHeight="1">
      <c r="A340" s="37" t="s">
        <v>189</v>
      </c>
      <c r="B340" s="26" t="s">
        <v>225</v>
      </c>
      <c r="C340" s="39" t="s">
        <v>709</v>
      </c>
      <c r="D340" s="40" t="s">
        <v>712</v>
      </c>
      <c r="E340" s="38" t="s">
        <v>3</v>
      </c>
      <c r="F340" s="38" t="s">
        <v>10</v>
      </c>
      <c r="G340" s="32">
        <v>3654480</v>
      </c>
      <c r="H340" s="32">
        <v>921791</v>
      </c>
      <c r="I340" s="52">
        <v>0</v>
      </c>
      <c r="J340" s="35">
        <f>+G340-H340+I340</f>
        <v>2732689</v>
      </c>
      <c r="K340" s="28">
        <v>0</v>
      </c>
      <c r="L340" s="32">
        <v>0</v>
      </c>
      <c r="M340" s="35">
        <f>+J340+L340</f>
        <v>2732689</v>
      </c>
      <c r="N340" s="28" t="s">
        <v>443</v>
      </c>
      <c r="O340" s="29" t="s">
        <v>444</v>
      </c>
      <c r="P340" s="36">
        <v>44014</v>
      </c>
      <c r="Q340" s="31">
        <v>28694.5</v>
      </c>
      <c r="R340" s="33">
        <f>M340/Q340</f>
        <v>95.233894997299132</v>
      </c>
    </row>
    <row r="341" spans="1:18" s="30" customFormat="1" ht="15" customHeight="1">
      <c r="A341" s="37" t="s">
        <v>52</v>
      </c>
      <c r="B341" s="26" t="s">
        <v>195</v>
      </c>
      <c r="C341" s="65" t="s">
        <v>709</v>
      </c>
      <c r="D341" s="51" t="s">
        <v>713</v>
      </c>
      <c r="E341" s="38" t="s">
        <v>3</v>
      </c>
      <c r="F341" s="38" t="s">
        <v>199</v>
      </c>
      <c r="G341" s="52">
        <v>4570642</v>
      </c>
      <c r="H341" s="52"/>
      <c r="I341" s="52"/>
      <c r="J341" s="53">
        <f>+G341-H341+I341</f>
        <v>4570642</v>
      </c>
      <c r="K341" s="28">
        <v>0</v>
      </c>
      <c r="L341" s="32">
        <v>0</v>
      </c>
      <c r="M341" s="53">
        <f>+J341+L341</f>
        <v>4570642</v>
      </c>
      <c r="N341" s="55" t="s">
        <v>289</v>
      </c>
      <c r="O341" s="29" t="s">
        <v>290</v>
      </c>
      <c r="P341" s="36">
        <v>44764</v>
      </c>
      <c r="Q341" s="49">
        <v>33330.449999999997</v>
      </c>
      <c r="R341" s="33">
        <f>M341/Q341</f>
        <v>137.13112184203933</v>
      </c>
    </row>
    <row r="342" spans="1:18" s="30" customFormat="1" ht="15" customHeight="1">
      <c r="A342" s="37" t="s">
        <v>688</v>
      </c>
      <c r="B342" s="26" t="s">
        <v>689</v>
      </c>
      <c r="C342" s="39">
        <v>1</v>
      </c>
      <c r="D342" s="40" t="s">
        <v>714</v>
      </c>
      <c r="E342" s="38" t="s">
        <v>3</v>
      </c>
      <c r="F342" s="38" t="s">
        <v>12</v>
      </c>
      <c r="G342" s="32">
        <v>0</v>
      </c>
      <c r="H342" s="32">
        <v>0</v>
      </c>
      <c r="I342" s="32">
        <v>11847759</v>
      </c>
      <c r="J342" s="35">
        <f>+G342-H342+I342</f>
        <v>11847759</v>
      </c>
      <c r="K342" s="27">
        <v>60</v>
      </c>
      <c r="L342" s="32">
        <v>0</v>
      </c>
      <c r="M342" s="35">
        <f>+J342+L342</f>
        <v>11847759</v>
      </c>
      <c r="N342" s="28" t="s">
        <v>715</v>
      </c>
      <c r="O342" s="29" t="s">
        <v>716</v>
      </c>
      <c r="P342" s="36">
        <v>44755</v>
      </c>
      <c r="Q342" s="31">
        <v>33243.86</v>
      </c>
      <c r="R342" s="33">
        <f>M342/Q342</f>
        <v>356.3893904017163</v>
      </c>
    </row>
    <row r="343" spans="1:18" s="30" customFormat="1" ht="15" customHeight="1">
      <c r="A343" s="37" t="s">
        <v>391</v>
      </c>
      <c r="B343" s="26" t="s">
        <v>392</v>
      </c>
      <c r="C343" s="39">
        <v>158</v>
      </c>
      <c r="D343" s="40" t="s">
        <v>717</v>
      </c>
      <c r="E343" s="38" t="s">
        <v>3</v>
      </c>
      <c r="F343" s="38" t="s">
        <v>11</v>
      </c>
      <c r="G343" s="32">
        <v>0</v>
      </c>
      <c r="H343" s="32">
        <v>0</v>
      </c>
      <c r="I343" s="32">
        <v>12317808</v>
      </c>
      <c r="J343" s="35">
        <f>+G343-H343+I343</f>
        <v>12317808</v>
      </c>
      <c r="K343" s="27"/>
      <c r="L343" s="32">
        <v>0</v>
      </c>
      <c r="M343" s="35">
        <f>+J343+L343</f>
        <v>12317808</v>
      </c>
      <c r="N343" s="28" t="s">
        <v>481</v>
      </c>
      <c r="O343" s="29" t="s">
        <v>482</v>
      </c>
      <c r="P343" s="36">
        <v>44130</v>
      </c>
      <c r="Q343" s="31">
        <v>28810.82</v>
      </c>
      <c r="R343" s="33">
        <f>M343/Q343</f>
        <v>427.54104187246321</v>
      </c>
    </row>
    <row r="344" spans="1:18" s="30" customFormat="1" ht="15" customHeight="1">
      <c r="A344" s="37" t="s">
        <v>52</v>
      </c>
      <c r="B344" s="26" t="s">
        <v>262</v>
      </c>
      <c r="C344" s="39" t="s">
        <v>718</v>
      </c>
      <c r="D344" s="40" t="s">
        <v>719</v>
      </c>
      <c r="E344" s="38" t="s">
        <v>4</v>
      </c>
      <c r="F344" s="38" t="s">
        <v>11</v>
      </c>
      <c r="G344" s="32">
        <v>0</v>
      </c>
      <c r="H344" s="32">
        <v>7608081</v>
      </c>
      <c r="I344" s="52">
        <v>0</v>
      </c>
      <c r="J344" s="35">
        <f>+G344-H344+I344</f>
        <v>-7608081</v>
      </c>
      <c r="K344" s="28">
        <v>0</v>
      </c>
      <c r="L344" s="32">
        <v>0</v>
      </c>
      <c r="M344" s="35">
        <f>+J344+L344</f>
        <v>-7608081</v>
      </c>
      <c r="N344" s="55" t="s">
        <v>615</v>
      </c>
      <c r="O344" s="56" t="s">
        <v>616</v>
      </c>
      <c r="P344" s="56">
        <v>43671</v>
      </c>
      <c r="Q344" s="49">
        <v>27953.42</v>
      </c>
      <c r="R344" s="57">
        <f>M344/Q344</f>
        <v>-272.16995272850335</v>
      </c>
    </row>
    <row r="345" spans="1:18" s="30" customFormat="1" ht="15" customHeight="1">
      <c r="A345" s="37" t="s">
        <v>189</v>
      </c>
      <c r="B345" s="26" t="s">
        <v>190</v>
      </c>
      <c r="C345" s="39" t="s">
        <v>718</v>
      </c>
      <c r="D345" s="40" t="s">
        <v>720</v>
      </c>
      <c r="E345" s="38" t="s">
        <v>3</v>
      </c>
      <c r="F345" s="38" t="s">
        <v>11</v>
      </c>
      <c r="G345" s="32">
        <v>16208832</v>
      </c>
      <c r="H345" s="32">
        <v>9993775</v>
      </c>
      <c r="I345" s="52">
        <v>0</v>
      </c>
      <c r="J345" s="35">
        <f>+G345-H345+I345</f>
        <v>6215057</v>
      </c>
      <c r="K345" s="28">
        <v>0</v>
      </c>
      <c r="L345" s="32">
        <v>0</v>
      </c>
      <c r="M345" s="35">
        <f>+J345+L345</f>
        <v>6215057</v>
      </c>
      <c r="N345" s="28" t="s">
        <v>600</v>
      </c>
      <c r="O345" s="29" t="s">
        <v>601</v>
      </c>
      <c r="P345" s="36">
        <v>43999</v>
      </c>
      <c r="Q345" s="31">
        <v>28709.82</v>
      </c>
      <c r="R345" s="33">
        <f>M345/Q345</f>
        <v>216.47843838798013</v>
      </c>
    </row>
    <row r="346" spans="1:18" s="30" customFormat="1" ht="15" customHeight="1">
      <c r="A346" s="37" t="s">
        <v>189</v>
      </c>
      <c r="B346" s="26" t="s">
        <v>225</v>
      </c>
      <c r="C346" s="39" t="s">
        <v>718</v>
      </c>
      <c r="D346" s="40" t="s">
        <v>721</v>
      </c>
      <c r="E346" s="38" t="s">
        <v>3</v>
      </c>
      <c r="F346" s="38" t="s">
        <v>10</v>
      </c>
      <c r="G346" s="32">
        <v>5497247</v>
      </c>
      <c r="H346" s="32">
        <v>0</v>
      </c>
      <c r="I346" s="32">
        <v>1637180</v>
      </c>
      <c r="J346" s="35">
        <f>+G346-H346+I346</f>
        <v>7134427</v>
      </c>
      <c r="K346" s="28">
        <v>0</v>
      </c>
      <c r="L346" s="32">
        <v>0</v>
      </c>
      <c r="M346" s="35">
        <f>+J346+L346</f>
        <v>7134427</v>
      </c>
      <c r="N346" s="28" t="s">
        <v>443</v>
      </c>
      <c r="O346" s="29" t="s">
        <v>444</v>
      </c>
      <c r="P346" s="36">
        <v>44014</v>
      </c>
      <c r="Q346" s="31">
        <v>28694.5</v>
      </c>
      <c r="R346" s="33">
        <f>M346/Q346</f>
        <v>248.63395424210213</v>
      </c>
    </row>
    <row r="347" spans="1:18" s="30" customFormat="1" ht="15" customHeight="1">
      <c r="A347" s="37" t="s">
        <v>52</v>
      </c>
      <c r="B347" s="26" t="s">
        <v>195</v>
      </c>
      <c r="C347" s="65" t="s">
        <v>718</v>
      </c>
      <c r="D347" s="51" t="s">
        <v>722</v>
      </c>
      <c r="E347" s="38" t="s">
        <v>3</v>
      </c>
      <c r="F347" s="38" t="s">
        <v>10</v>
      </c>
      <c r="G347" s="52">
        <v>15473495</v>
      </c>
      <c r="H347" s="52"/>
      <c r="I347" s="52">
        <v>128552961</v>
      </c>
      <c r="J347" s="53">
        <f>+G347-H347+I347</f>
        <v>144026456</v>
      </c>
      <c r="K347" s="28">
        <v>0</v>
      </c>
      <c r="L347" s="32">
        <v>0</v>
      </c>
      <c r="M347" s="53">
        <f>+J347+L347</f>
        <v>144026456</v>
      </c>
      <c r="N347" s="55" t="s">
        <v>289</v>
      </c>
      <c r="O347" s="29" t="s">
        <v>290</v>
      </c>
      <c r="P347" s="36">
        <v>44764</v>
      </c>
      <c r="Q347" s="49">
        <v>33330.449999999997</v>
      </c>
      <c r="R347" s="33">
        <f>M347/Q347</f>
        <v>4321.1674609853753</v>
      </c>
    </row>
    <row r="348" spans="1:18" s="30" customFormat="1" ht="15" customHeight="1">
      <c r="A348" s="37" t="s">
        <v>52</v>
      </c>
      <c r="B348" s="26" t="s">
        <v>262</v>
      </c>
      <c r="C348" s="39" t="s">
        <v>723</v>
      </c>
      <c r="D348" s="40" t="s">
        <v>724</v>
      </c>
      <c r="E348" s="38" t="s">
        <v>3</v>
      </c>
      <c r="F348" s="38" t="s">
        <v>10</v>
      </c>
      <c r="G348" s="32">
        <v>32265649</v>
      </c>
      <c r="H348" s="32">
        <v>681399</v>
      </c>
      <c r="I348" s="52">
        <v>0</v>
      </c>
      <c r="J348" s="35">
        <f>+G348-H348+I348</f>
        <v>31584250</v>
      </c>
      <c r="K348" s="28">
        <v>0</v>
      </c>
      <c r="L348" s="32">
        <v>0</v>
      </c>
      <c r="M348" s="35">
        <f>+J348+L348</f>
        <v>31584250</v>
      </c>
      <c r="N348" s="55" t="s">
        <v>615</v>
      </c>
      <c r="O348" s="56" t="s">
        <v>616</v>
      </c>
      <c r="P348" s="56">
        <v>43671</v>
      </c>
      <c r="Q348" s="49">
        <v>27953.42</v>
      </c>
      <c r="R348" s="57">
        <f>M348/Q348</f>
        <v>1129.8885789288038</v>
      </c>
    </row>
    <row r="349" spans="1:18" s="30" customFormat="1" ht="15" customHeight="1">
      <c r="A349" s="37" t="s">
        <v>189</v>
      </c>
      <c r="B349" s="26" t="s">
        <v>190</v>
      </c>
      <c r="C349" s="39" t="s">
        <v>723</v>
      </c>
      <c r="D349" s="40" t="s">
        <v>725</v>
      </c>
      <c r="E349" s="38" t="s">
        <v>3</v>
      </c>
      <c r="F349" s="38" t="s">
        <v>11</v>
      </c>
      <c r="G349" s="32">
        <v>18946819</v>
      </c>
      <c r="H349" s="32">
        <v>7532097</v>
      </c>
      <c r="I349" s="52">
        <v>0</v>
      </c>
      <c r="J349" s="35">
        <f>+G349-H349+I349</f>
        <v>11414722</v>
      </c>
      <c r="K349" s="28">
        <v>0</v>
      </c>
      <c r="L349" s="32">
        <v>0</v>
      </c>
      <c r="M349" s="35">
        <f>+J349+L349</f>
        <v>11414722</v>
      </c>
      <c r="N349" s="28" t="s">
        <v>600</v>
      </c>
      <c r="O349" s="29" t="s">
        <v>601</v>
      </c>
      <c r="P349" s="36">
        <v>43999</v>
      </c>
      <c r="Q349" s="31">
        <v>28709.82</v>
      </c>
      <c r="R349" s="33">
        <f>M349/Q349</f>
        <v>397.5894659040008</v>
      </c>
    </row>
    <row r="350" spans="1:18" s="30" customFormat="1" ht="15" customHeight="1">
      <c r="A350" s="37" t="s">
        <v>189</v>
      </c>
      <c r="B350" s="26" t="s">
        <v>225</v>
      </c>
      <c r="C350" s="39" t="s">
        <v>723</v>
      </c>
      <c r="D350" s="40" t="s">
        <v>726</v>
      </c>
      <c r="E350" s="38" t="s">
        <v>3</v>
      </c>
      <c r="F350" s="38" t="s">
        <v>10</v>
      </c>
      <c r="G350" s="32">
        <v>25208</v>
      </c>
      <c r="H350" s="32">
        <v>0</v>
      </c>
      <c r="I350" s="52">
        <v>0</v>
      </c>
      <c r="J350" s="35">
        <f>+G350-H350+I350</f>
        <v>25208</v>
      </c>
      <c r="K350" s="28">
        <v>0</v>
      </c>
      <c r="L350" s="32">
        <v>0</v>
      </c>
      <c r="M350" s="35">
        <f>+J350+L350</f>
        <v>25208</v>
      </c>
      <c r="N350" s="28" t="s">
        <v>443</v>
      </c>
      <c r="O350" s="29" t="s">
        <v>444</v>
      </c>
      <c r="P350" s="36">
        <v>44014</v>
      </c>
      <c r="Q350" s="31">
        <v>28694.5</v>
      </c>
      <c r="R350" s="33">
        <f>M350/Q350</f>
        <v>0.8784958790012023</v>
      </c>
    </row>
    <row r="351" spans="1:18" s="30" customFormat="1" ht="15" customHeight="1">
      <c r="A351" s="37" t="s">
        <v>189</v>
      </c>
      <c r="B351" s="26" t="s">
        <v>225</v>
      </c>
      <c r="C351" s="39" t="s">
        <v>727</v>
      </c>
      <c r="D351" s="40" t="s">
        <v>728</v>
      </c>
      <c r="E351" s="38" t="s">
        <v>6</v>
      </c>
      <c r="F351" s="38" t="s">
        <v>13</v>
      </c>
      <c r="G351" s="32">
        <v>35725814</v>
      </c>
      <c r="H351" s="32">
        <v>7093726</v>
      </c>
      <c r="I351" s="32">
        <v>2320509</v>
      </c>
      <c r="J351" s="35">
        <f>+G351-H351+I351</f>
        <v>30952597</v>
      </c>
      <c r="K351" s="28">
        <v>0</v>
      </c>
      <c r="L351" s="32">
        <v>0</v>
      </c>
      <c r="M351" s="35">
        <f>+J351+L351</f>
        <v>30952597</v>
      </c>
      <c r="N351" s="28" t="s">
        <v>228</v>
      </c>
      <c r="O351" s="29" t="s">
        <v>415</v>
      </c>
      <c r="P351" s="36">
        <v>44280</v>
      </c>
      <c r="Q351" s="31">
        <v>29390.98</v>
      </c>
      <c r="R351" s="33">
        <f>M351/Q351</f>
        <v>1053.1325256932569</v>
      </c>
    </row>
    <row r="352" spans="1:18" s="30" customFormat="1" ht="15" customHeight="1">
      <c r="A352" s="37" t="s">
        <v>189</v>
      </c>
      <c r="B352" s="26" t="s">
        <v>225</v>
      </c>
      <c r="C352" s="39" t="s">
        <v>729</v>
      </c>
      <c r="D352" s="40" t="s">
        <v>730</v>
      </c>
      <c r="E352" s="38" t="s">
        <v>6</v>
      </c>
      <c r="F352" s="38" t="s">
        <v>12</v>
      </c>
      <c r="G352" s="32">
        <v>34047664</v>
      </c>
      <c r="H352" s="32">
        <v>3997818</v>
      </c>
      <c r="I352" s="32">
        <v>4283278</v>
      </c>
      <c r="J352" s="35">
        <f>+G352-H352+I352</f>
        <v>34333124</v>
      </c>
      <c r="K352" s="28">
        <v>0</v>
      </c>
      <c r="L352" s="32">
        <v>0</v>
      </c>
      <c r="M352" s="35">
        <f>+J352+L352</f>
        <v>34333124</v>
      </c>
      <c r="N352" s="28" t="s">
        <v>228</v>
      </c>
      <c r="O352" s="29" t="s">
        <v>415</v>
      </c>
      <c r="P352" s="36">
        <v>44280</v>
      </c>
      <c r="Q352" s="31">
        <v>29390.98</v>
      </c>
      <c r="R352" s="33">
        <f>M352/Q352</f>
        <v>1168.1517254613491</v>
      </c>
    </row>
    <row r="353" spans="1:18" s="30" customFormat="1" ht="15" customHeight="1">
      <c r="A353" s="37" t="s">
        <v>189</v>
      </c>
      <c r="B353" s="26" t="s">
        <v>225</v>
      </c>
      <c r="C353" s="39" t="s">
        <v>731</v>
      </c>
      <c r="D353" s="40" t="s">
        <v>732</v>
      </c>
      <c r="E353" s="38" t="s">
        <v>198</v>
      </c>
      <c r="F353" s="38" t="s">
        <v>13</v>
      </c>
      <c r="G353" s="32">
        <v>15061982</v>
      </c>
      <c r="H353" s="32">
        <v>14133286</v>
      </c>
      <c r="I353" s="52">
        <v>0</v>
      </c>
      <c r="J353" s="35">
        <f>+G353-H353+I353</f>
        <v>928696</v>
      </c>
      <c r="K353" s="28">
        <v>0</v>
      </c>
      <c r="L353" s="32">
        <v>0</v>
      </c>
      <c r="M353" s="35">
        <f>+J353+L353</f>
        <v>928696</v>
      </c>
      <c r="N353" s="28" t="s">
        <v>443</v>
      </c>
      <c r="O353" s="29" t="s">
        <v>444</v>
      </c>
      <c r="P353" s="36">
        <v>44014</v>
      </c>
      <c r="Q353" s="31">
        <v>28694.5</v>
      </c>
      <c r="R353" s="33">
        <f>M353/Q353</f>
        <v>32.364947986547946</v>
      </c>
    </row>
    <row r="354" spans="1:18" s="30" customFormat="1" ht="15" customHeight="1">
      <c r="A354" s="37" t="s">
        <v>52</v>
      </c>
      <c r="B354" s="26" t="s">
        <v>262</v>
      </c>
      <c r="C354" s="39" t="s">
        <v>733</v>
      </c>
      <c r="D354" s="40" t="s">
        <v>734</v>
      </c>
      <c r="E354" s="38" t="s">
        <v>4</v>
      </c>
      <c r="F354" s="38" t="s">
        <v>21</v>
      </c>
      <c r="G354" s="32">
        <v>11338293</v>
      </c>
      <c r="H354" s="32">
        <v>6553123</v>
      </c>
      <c r="I354" s="52">
        <v>0</v>
      </c>
      <c r="J354" s="35">
        <f>+G354-H354+I354</f>
        <v>4785170</v>
      </c>
      <c r="K354" s="28">
        <v>0</v>
      </c>
      <c r="L354" s="32">
        <v>0</v>
      </c>
      <c r="M354" s="35">
        <f>+J354+L354</f>
        <v>4785170</v>
      </c>
      <c r="N354" s="55" t="s">
        <v>615</v>
      </c>
      <c r="O354" s="56" t="s">
        <v>616</v>
      </c>
      <c r="P354" s="56">
        <v>43671</v>
      </c>
      <c r="Q354" s="49">
        <v>27953.42</v>
      </c>
      <c r="R354" s="57">
        <f>M354/Q354</f>
        <v>171.18370489192378</v>
      </c>
    </row>
    <row r="355" spans="1:18" s="30" customFormat="1" ht="15" customHeight="1">
      <c r="A355" s="37" t="s">
        <v>189</v>
      </c>
      <c r="B355" s="26" t="s">
        <v>190</v>
      </c>
      <c r="C355" s="39" t="s">
        <v>733</v>
      </c>
      <c r="D355" s="40" t="s">
        <v>735</v>
      </c>
      <c r="E355" s="38" t="s">
        <v>3</v>
      </c>
      <c r="F355" s="38" t="s">
        <v>20</v>
      </c>
      <c r="G355" s="32">
        <v>0</v>
      </c>
      <c r="H355" s="32">
        <v>30957395</v>
      </c>
      <c r="I355" s="52">
        <v>0</v>
      </c>
      <c r="J355" s="35">
        <f>+G355-H355+I355</f>
        <v>-30957395</v>
      </c>
      <c r="K355" s="28">
        <v>0</v>
      </c>
      <c r="L355" s="32">
        <v>0</v>
      </c>
      <c r="M355" s="35">
        <f>+J355+L355</f>
        <v>-30957395</v>
      </c>
      <c r="N355" s="28" t="s">
        <v>600</v>
      </c>
      <c r="O355" s="29" t="s">
        <v>601</v>
      </c>
      <c r="P355" s="36">
        <v>43999</v>
      </c>
      <c r="Q355" s="31">
        <v>28709.82</v>
      </c>
      <c r="R355" s="33">
        <f>M355/Q355</f>
        <v>-1078.2859314339137</v>
      </c>
    </row>
    <row r="356" spans="1:18" s="30" customFormat="1" ht="15" customHeight="1">
      <c r="A356" s="37" t="s">
        <v>688</v>
      </c>
      <c r="B356" s="26" t="s">
        <v>736</v>
      </c>
      <c r="C356" s="39" t="s">
        <v>737</v>
      </c>
      <c r="D356" s="40" t="s">
        <v>738</v>
      </c>
      <c r="E356" s="38" t="s">
        <v>3</v>
      </c>
      <c r="F356" s="38" t="s">
        <v>9</v>
      </c>
      <c r="G356" s="32">
        <v>0</v>
      </c>
      <c r="H356" s="32">
        <v>0</v>
      </c>
      <c r="I356" s="32">
        <v>14032923.085000001</v>
      </c>
      <c r="J356" s="35">
        <f>+G356-H356+I356</f>
        <v>14032923.085000001</v>
      </c>
      <c r="K356" s="27">
        <v>35</v>
      </c>
      <c r="L356" s="32">
        <v>0</v>
      </c>
      <c r="M356" s="35">
        <f>+J356+L356</f>
        <v>14032923.085000001</v>
      </c>
      <c r="N356" s="28" t="s">
        <v>739</v>
      </c>
      <c r="O356" s="29" t="s">
        <v>740</v>
      </c>
      <c r="P356" s="36">
        <v>43529</v>
      </c>
      <c r="Q356" s="31">
        <v>27561.82</v>
      </c>
      <c r="R356" s="33">
        <f>M356/Q356</f>
        <v>509.14355746463769</v>
      </c>
    </row>
    <row r="357" spans="1:18" s="30" customFormat="1" ht="15" customHeight="1">
      <c r="A357" s="37" t="s">
        <v>52</v>
      </c>
      <c r="B357" s="26" t="s">
        <v>195</v>
      </c>
      <c r="C357" s="65" t="s">
        <v>733</v>
      </c>
      <c r="D357" s="51" t="s">
        <v>741</v>
      </c>
      <c r="E357" s="38" t="s">
        <v>3</v>
      </c>
      <c r="F357" s="38" t="s">
        <v>10</v>
      </c>
      <c r="G357" s="52"/>
      <c r="H357" s="52"/>
      <c r="I357" s="52">
        <v>51374555</v>
      </c>
      <c r="J357" s="53">
        <f>+G357-H357+I357</f>
        <v>51374555</v>
      </c>
      <c r="K357" s="28">
        <v>0</v>
      </c>
      <c r="L357" s="32">
        <v>0</v>
      </c>
      <c r="M357" s="53">
        <f>+J357+L357</f>
        <v>51374555</v>
      </c>
      <c r="N357" s="55" t="s">
        <v>289</v>
      </c>
      <c r="O357" s="29" t="s">
        <v>290</v>
      </c>
      <c r="P357" s="36">
        <v>44764</v>
      </c>
      <c r="Q357" s="49">
        <v>33330.449999999997</v>
      </c>
      <c r="R357" s="33">
        <f>M357/Q357</f>
        <v>1541.3699785031406</v>
      </c>
    </row>
    <row r="358" spans="1:18" s="30" customFormat="1" ht="15" customHeight="1">
      <c r="A358" s="37" t="s">
        <v>52</v>
      </c>
      <c r="B358" s="26" t="s">
        <v>262</v>
      </c>
      <c r="C358" s="39" t="s">
        <v>742</v>
      </c>
      <c r="D358" s="40" t="s">
        <v>743</v>
      </c>
      <c r="E358" s="38" t="s">
        <v>3</v>
      </c>
      <c r="F358" s="38" t="s">
        <v>12</v>
      </c>
      <c r="G358" s="32">
        <v>6495381</v>
      </c>
      <c r="H358" s="32">
        <v>29861366</v>
      </c>
      <c r="I358" s="32">
        <v>69080191</v>
      </c>
      <c r="J358" s="35">
        <f>+G358-H358+I358</f>
        <v>45714206</v>
      </c>
      <c r="K358" s="28">
        <v>0</v>
      </c>
      <c r="L358" s="32">
        <v>0</v>
      </c>
      <c r="M358" s="35">
        <f>+J358+L358</f>
        <v>45714206</v>
      </c>
      <c r="N358" s="55" t="s">
        <v>615</v>
      </c>
      <c r="O358" s="56" t="s">
        <v>616</v>
      </c>
      <c r="P358" s="56">
        <v>43671</v>
      </c>
      <c r="Q358" s="49">
        <v>27953.42</v>
      </c>
      <c r="R358" s="57">
        <f>M358/Q358</f>
        <v>1635.3707703744301</v>
      </c>
    </row>
    <row r="359" spans="1:18" s="30" customFormat="1" ht="15" customHeight="1">
      <c r="A359" s="37" t="s">
        <v>189</v>
      </c>
      <c r="B359" s="26" t="s">
        <v>190</v>
      </c>
      <c r="C359" s="39" t="s">
        <v>742</v>
      </c>
      <c r="D359" s="40" t="s">
        <v>744</v>
      </c>
      <c r="E359" s="38" t="s">
        <v>3</v>
      </c>
      <c r="F359" s="38" t="s">
        <v>10</v>
      </c>
      <c r="G359" s="32">
        <v>131620</v>
      </c>
      <c r="H359" s="32">
        <v>0</v>
      </c>
      <c r="I359" s="32">
        <v>1446145</v>
      </c>
      <c r="J359" s="35">
        <f>+G359-H359+I359</f>
        <v>1577765</v>
      </c>
      <c r="K359" s="28">
        <v>0</v>
      </c>
      <c r="L359" s="32">
        <v>0</v>
      </c>
      <c r="M359" s="35">
        <f>+J359+L359</f>
        <v>1577765</v>
      </c>
      <c r="N359" s="28" t="s">
        <v>204</v>
      </c>
      <c r="O359" s="29" t="s">
        <v>205</v>
      </c>
      <c r="P359" s="36">
        <v>44335</v>
      </c>
      <c r="Q359" s="31">
        <v>29567.53</v>
      </c>
      <c r="R359" s="33">
        <f>M359/Q359</f>
        <v>53.361406921714462</v>
      </c>
    </row>
    <row r="360" spans="1:18" s="30" customFormat="1" ht="15" customHeight="1">
      <c r="A360" s="37" t="s">
        <v>52</v>
      </c>
      <c r="B360" s="26" t="s">
        <v>195</v>
      </c>
      <c r="C360" s="65" t="s">
        <v>742</v>
      </c>
      <c r="D360" s="51" t="s">
        <v>745</v>
      </c>
      <c r="E360" s="38" t="s">
        <v>3</v>
      </c>
      <c r="F360" s="38" t="s">
        <v>10</v>
      </c>
      <c r="G360" s="52">
        <v>12593121</v>
      </c>
      <c r="H360" s="52"/>
      <c r="I360" s="52"/>
      <c r="J360" s="53">
        <f>+G360-H360+I360</f>
        <v>12593121</v>
      </c>
      <c r="K360" s="28">
        <v>0</v>
      </c>
      <c r="L360" s="32">
        <v>0</v>
      </c>
      <c r="M360" s="53">
        <f>+J360+L360</f>
        <v>12593121</v>
      </c>
      <c r="N360" s="55" t="s">
        <v>289</v>
      </c>
      <c r="O360" s="29" t="s">
        <v>290</v>
      </c>
      <c r="P360" s="36">
        <v>44764</v>
      </c>
      <c r="Q360" s="49">
        <v>33330.449999999997</v>
      </c>
      <c r="R360" s="33">
        <f>M360/Q360</f>
        <v>377.82631197598596</v>
      </c>
    </row>
    <row r="361" spans="1:18" s="30" customFormat="1" ht="15" customHeight="1">
      <c r="A361" s="37" t="s">
        <v>52</v>
      </c>
      <c r="B361" s="26" t="s">
        <v>262</v>
      </c>
      <c r="C361" s="39" t="s">
        <v>746</v>
      </c>
      <c r="D361" s="40" t="s">
        <v>747</v>
      </c>
      <c r="E361" s="38" t="s">
        <v>3</v>
      </c>
      <c r="F361" s="38" t="s">
        <v>21</v>
      </c>
      <c r="G361" s="32">
        <v>21365573</v>
      </c>
      <c r="H361" s="32">
        <v>0</v>
      </c>
      <c r="I361" s="52">
        <v>0</v>
      </c>
      <c r="J361" s="35">
        <f>+G361-H361+I361</f>
        <v>21365573</v>
      </c>
      <c r="K361" s="28">
        <v>0</v>
      </c>
      <c r="L361" s="32">
        <v>0</v>
      </c>
      <c r="M361" s="35">
        <f>+J361+L361</f>
        <v>21365573</v>
      </c>
      <c r="N361" s="55" t="s">
        <v>615</v>
      </c>
      <c r="O361" s="56" t="s">
        <v>616</v>
      </c>
      <c r="P361" s="56">
        <v>43671</v>
      </c>
      <c r="Q361" s="49">
        <v>27953.42</v>
      </c>
      <c r="R361" s="57">
        <f>M361/Q361</f>
        <v>764.32769228237555</v>
      </c>
    </row>
    <row r="362" spans="1:18" s="30" customFormat="1" ht="15" customHeight="1">
      <c r="A362" s="37" t="s">
        <v>189</v>
      </c>
      <c r="B362" s="26" t="s">
        <v>190</v>
      </c>
      <c r="C362" s="39" t="s">
        <v>746</v>
      </c>
      <c r="D362" s="40" t="s">
        <v>748</v>
      </c>
      <c r="E362" s="38" t="s">
        <v>3</v>
      </c>
      <c r="F362" s="38" t="s">
        <v>10</v>
      </c>
      <c r="G362" s="32">
        <v>459503</v>
      </c>
      <c r="H362" s="32">
        <v>0</v>
      </c>
      <c r="I362" s="52">
        <v>0</v>
      </c>
      <c r="J362" s="35">
        <f>+G362-H362+I362</f>
        <v>459503</v>
      </c>
      <c r="K362" s="28">
        <v>0</v>
      </c>
      <c r="L362" s="32">
        <v>0</v>
      </c>
      <c r="M362" s="35">
        <f>+J362+L362</f>
        <v>459503</v>
      </c>
      <c r="N362" s="28" t="s">
        <v>749</v>
      </c>
      <c r="O362" s="29" t="s">
        <v>750</v>
      </c>
      <c r="P362" s="36">
        <v>43524</v>
      </c>
      <c r="Q362" s="31">
        <v>27556.9</v>
      </c>
      <c r="R362" s="33">
        <f>M362/Q362</f>
        <v>16.674698532853839</v>
      </c>
    </row>
    <row r="363" spans="1:18" s="30" customFormat="1" ht="15" customHeight="1">
      <c r="A363" s="37" t="s">
        <v>189</v>
      </c>
      <c r="B363" s="26" t="s">
        <v>225</v>
      </c>
      <c r="C363" s="39" t="s">
        <v>746</v>
      </c>
      <c r="D363" s="40" t="s">
        <v>751</v>
      </c>
      <c r="E363" s="38" t="s">
        <v>4</v>
      </c>
      <c r="F363" s="38" t="s">
        <v>10</v>
      </c>
      <c r="G363" s="32">
        <v>9833223</v>
      </c>
      <c r="H363" s="32">
        <v>261496</v>
      </c>
      <c r="I363" s="32">
        <v>2739649</v>
      </c>
      <c r="J363" s="35">
        <f>+G363-H363+I363</f>
        <v>12311376</v>
      </c>
      <c r="K363" s="28">
        <v>0</v>
      </c>
      <c r="L363" s="32">
        <v>0</v>
      </c>
      <c r="M363" s="35">
        <f>+J363+L363</f>
        <v>12311376</v>
      </c>
      <c r="N363" s="28" t="s">
        <v>228</v>
      </c>
      <c r="O363" s="29" t="s">
        <v>229</v>
      </c>
      <c r="P363" s="36">
        <v>44280</v>
      </c>
      <c r="Q363" s="31">
        <v>29383.41</v>
      </c>
      <c r="R363" s="33">
        <f>M363/Q363</f>
        <v>418.99071618984999</v>
      </c>
    </row>
    <row r="364" spans="1:18" s="30" customFormat="1" ht="15" customHeight="1">
      <c r="A364" s="37" t="s">
        <v>52</v>
      </c>
      <c r="B364" s="26" t="s">
        <v>262</v>
      </c>
      <c r="C364" s="39" t="s">
        <v>752</v>
      </c>
      <c r="D364" s="40" t="s">
        <v>753</v>
      </c>
      <c r="E364" s="38" t="s">
        <v>3</v>
      </c>
      <c r="F364" s="38" t="s">
        <v>18</v>
      </c>
      <c r="G364" s="32">
        <v>819056</v>
      </c>
      <c r="H364" s="32">
        <v>1473215</v>
      </c>
      <c r="I364" s="52">
        <v>0</v>
      </c>
      <c r="J364" s="35">
        <f>+G364-H364+I364</f>
        <v>-654159</v>
      </c>
      <c r="K364" s="28">
        <v>0</v>
      </c>
      <c r="L364" s="32">
        <v>0</v>
      </c>
      <c r="M364" s="35">
        <f>+J364+L364</f>
        <v>-654159</v>
      </c>
      <c r="N364" s="55" t="s">
        <v>615</v>
      </c>
      <c r="O364" s="56" t="s">
        <v>616</v>
      </c>
      <c r="P364" s="56">
        <v>43671</v>
      </c>
      <c r="Q364" s="49">
        <v>27953.42</v>
      </c>
      <c r="R364" s="57">
        <f>M364/Q364</f>
        <v>-23.401751914434801</v>
      </c>
    </row>
    <row r="365" spans="1:18" s="30" customFormat="1" ht="15" customHeight="1">
      <c r="A365" s="37" t="s">
        <v>189</v>
      </c>
      <c r="B365" s="26" t="s">
        <v>190</v>
      </c>
      <c r="C365" s="39" t="s">
        <v>752</v>
      </c>
      <c r="D365" s="40" t="s">
        <v>754</v>
      </c>
      <c r="E365" s="38" t="s">
        <v>3</v>
      </c>
      <c r="F365" s="38" t="s">
        <v>10</v>
      </c>
      <c r="G365" s="32">
        <v>0</v>
      </c>
      <c r="H365" s="32">
        <v>0</v>
      </c>
      <c r="I365" s="32">
        <v>15017351</v>
      </c>
      <c r="J365" s="35">
        <f>+G365-H365+I365</f>
        <v>15017351</v>
      </c>
      <c r="K365" s="28">
        <v>0</v>
      </c>
      <c r="L365" s="32">
        <v>0</v>
      </c>
      <c r="M365" s="35">
        <f>+J365+L365</f>
        <v>15017351</v>
      </c>
      <c r="N365" s="28" t="s">
        <v>749</v>
      </c>
      <c r="O365" s="29" t="s">
        <v>750</v>
      </c>
      <c r="P365" s="36">
        <v>43524</v>
      </c>
      <c r="Q365" s="31">
        <v>27556.9</v>
      </c>
      <c r="R365" s="33">
        <f>M365/Q365</f>
        <v>544.95792342389745</v>
      </c>
    </row>
    <row r="366" spans="1:18" s="30" customFormat="1" ht="15" customHeight="1">
      <c r="A366" s="37" t="s">
        <v>52</v>
      </c>
      <c r="B366" s="26" t="s">
        <v>262</v>
      </c>
      <c r="C366" s="39" t="s">
        <v>755</v>
      </c>
      <c r="D366" s="40" t="s">
        <v>756</v>
      </c>
      <c r="E366" s="38" t="s">
        <v>3</v>
      </c>
      <c r="F366" s="38" t="s">
        <v>11</v>
      </c>
      <c r="G366" s="32">
        <v>103211022</v>
      </c>
      <c r="H366" s="32">
        <v>37787339</v>
      </c>
      <c r="I366" s="32">
        <v>13975045</v>
      </c>
      <c r="J366" s="35">
        <f>+G366-H366+I366</f>
        <v>79398728</v>
      </c>
      <c r="K366" s="28">
        <v>0</v>
      </c>
      <c r="L366" s="32">
        <v>0</v>
      </c>
      <c r="M366" s="35">
        <f>+J366+L366</f>
        <v>79398728</v>
      </c>
      <c r="N366" s="55" t="s">
        <v>757</v>
      </c>
      <c r="O366" s="56" t="s">
        <v>758</v>
      </c>
      <c r="P366" s="56">
        <v>43313</v>
      </c>
      <c r="Q366" s="49">
        <v>26805.05</v>
      </c>
      <c r="R366" s="57">
        <f>M366/Q366</f>
        <v>2962.0809511640532</v>
      </c>
    </row>
    <row r="367" spans="1:18" s="30" customFormat="1" ht="15" customHeight="1">
      <c r="A367" s="37" t="s">
        <v>189</v>
      </c>
      <c r="B367" s="26" t="s">
        <v>190</v>
      </c>
      <c r="C367" s="39" t="s">
        <v>755</v>
      </c>
      <c r="D367" s="40" t="s">
        <v>759</v>
      </c>
      <c r="E367" s="38" t="s">
        <v>3</v>
      </c>
      <c r="F367" s="38" t="s">
        <v>10</v>
      </c>
      <c r="G367" s="32">
        <v>0</v>
      </c>
      <c r="H367" s="32">
        <v>0</v>
      </c>
      <c r="I367" s="32">
        <v>73095405</v>
      </c>
      <c r="J367" s="35">
        <f>+G367-H367+I367</f>
        <v>73095405</v>
      </c>
      <c r="K367" s="28">
        <v>0</v>
      </c>
      <c r="L367" s="32">
        <v>0</v>
      </c>
      <c r="M367" s="35">
        <f>+J367+L367</f>
        <v>73095405</v>
      </c>
      <c r="N367" s="28" t="s">
        <v>749</v>
      </c>
      <c r="O367" s="29" t="s">
        <v>750</v>
      </c>
      <c r="P367" s="36">
        <v>43524</v>
      </c>
      <c r="Q367" s="31">
        <v>27556.9</v>
      </c>
      <c r="R367" s="33">
        <f>M367/Q367</f>
        <v>2652.5264089937546</v>
      </c>
    </row>
    <row r="368" spans="1:18" s="30" customFormat="1" ht="15" customHeight="1">
      <c r="A368" s="37" t="s">
        <v>189</v>
      </c>
      <c r="B368" s="26" t="s">
        <v>225</v>
      </c>
      <c r="C368" s="39" t="s">
        <v>755</v>
      </c>
      <c r="D368" s="40" t="s">
        <v>760</v>
      </c>
      <c r="E368" s="38" t="s">
        <v>3</v>
      </c>
      <c r="F368" s="38" t="s">
        <v>10</v>
      </c>
      <c r="G368" s="32">
        <v>429659</v>
      </c>
      <c r="H368" s="32">
        <v>0</v>
      </c>
      <c r="I368" s="52">
        <v>0</v>
      </c>
      <c r="J368" s="35">
        <f>+G368-H368+I368</f>
        <v>429659</v>
      </c>
      <c r="K368" s="28">
        <v>0</v>
      </c>
      <c r="L368" s="32">
        <v>0</v>
      </c>
      <c r="M368" s="35">
        <f>+J368+L368</f>
        <v>429659</v>
      </c>
      <c r="N368" s="28" t="s">
        <v>228</v>
      </c>
      <c r="O368" s="29" t="s">
        <v>229</v>
      </c>
      <c r="P368" s="36">
        <v>44280</v>
      </c>
      <c r="Q368" s="31">
        <v>29383.41</v>
      </c>
      <c r="R368" s="33">
        <f>M368/Q368</f>
        <v>14.622502970213464</v>
      </c>
    </row>
    <row r="369" spans="1:18" s="30" customFormat="1" ht="15" customHeight="1">
      <c r="A369" s="37" t="s">
        <v>293</v>
      </c>
      <c r="B369" s="26" t="s">
        <v>294</v>
      </c>
      <c r="C369" s="39">
        <v>606</v>
      </c>
      <c r="D369" s="40" t="s">
        <v>761</v>
      </c>
      <c r="E369" s="38" t="s">
        <v>3</v>
      </c>
      <c r="F369" s="38" t="s">
        <v>12</v>
      </c>
      <c r="G369" s="32">
        <v>0</v>
      </c>
      <c r="H369" s="32">
        <v>0</v>
      </c>
      <c r="I369" s="32">
        <v>15934263</v>
      </c>
      <c r="J369" s="35">
        <f>+G369-H369+I369</f>
        <v>15934263</v>
      </c>
      <c r="K369" s="27" t="s">
        <v>401</v>
      </c>
      <c r="L369" s="32">
        <v>0</v>
      </c>
      <c r="M369" s="35">
        <f>+J369+L369</f>
        <v>15934263</v>
      </c>
      <c r="N369" s="55" t="s">
        <v>402</v>
      </c>
      <c r="O369" s="56" t="s">
        <v>403</v>
      </c>
      <c r="P369" s="56">
        <v>44524</v>
      </c>
      <c r="Q369" s="49">
        <v>30683.439999999999</v>
      </c>
      <c r="R369" s="57">
        <f>+M369/Q369</f>
        <v>519.31149180144075</v>
      </c>
    </row>
    <row r="370" spans="1:18" s="30" customFormat="1" ht="15" customHeight="1">
      <c r="A370" s="37" t="s">
        <v>189</v>
      </c>
      <c r="B370" s="26" t="s">
        <v>225</v>
      </c>
      <c r="C370" s="39" t="s">
        <v>762</v>
      </c>
      <c r="D370" s="40" t="s">
        <v>763</v>
      </c>
      <c r="E370" s="38" t="s">
        <v>3</v>
      </c>
      <c r="F370" s="38" t="s">
        <v>11</v>
      </c>
      <c r="G370" s="32">
        <v>0</v>
      </c>
      <c r="H370" s="32">
        <v>84814</v>
      </c>
      <c r="I370" s="52">
        <v>0</v>
      </c>
      <c r="J370" s="35">
        <f>+G370-H370+I370</f>
        <v>-84814</v>
      </c>
      <c r="K370" s="28">
        <v>0</v>
      </c>
      <c r="L370" s="32">
        <v>0</v>
      </c>
      <c r="M370" s="35">
        <f>+J370+L370</f>
        <v>-84814</v>
      </c>
      <c r="N370" s="28" t="s">
        <v>366</v>
      </c>
      <c r="O370" s="29" t="s">
        <v>367</v>
      </c>
      <c r="P370" s="36">
        <v>44174</v>
      </c>
      <c r="Q370" s="31">
        <v>29090.98</v>
      </c>
      <c r="R370" s="33">
        <f>M370/Q370</f>
        <v>-2.915474143531775</v>
      </c>
    </row>
    <row r="371" spans="1:18" s="30" customFormat="1" ht="15" customHeight="1">
      <c r="A371" s="37" t="s">
        <v>391</v>
      </c>
      <c r="B371" s="26" t="s">
        <v>392</v>
      </c>
      <c r="C371" s="39">
        <v>159</v>
      </c>
      <c r="D371" s="40" t="s">
        <v>764</v>
      </c>
      <c r="E371" s="38" t="s">
        <v>3</v>
      </c>
      <c r="F371" s="38" t="s">
        <v>15</v>
      </c>
      <c r="G371" s="32">
        <v>0</v>
      </c>
      <c r="H371" s="32">
        <v>0</v>
      </c>
      <c r="I371" s="32">
        <v>16124502</v>
      </c>
      <c r="J371" s="35">
        <f>+G371-H371+I371</f>
        <v>16124502</v>
      </c>
      <c r="K371" s="27"/>
      <c r="L371" s="32">
        <v>0</v>
      </c>
      <c r="M371" s="35">
        <f>+J371+L371</f>
        <v>16124502</v>
      </c>
      <c r="N371" s="28" t="s">
        <v>765</v>
      </c>
      <c r="O371" s="29" t="s">
        <v>766</v>
      </c>
      <c r="P371" s="36">
        <v>44140</v>
      </c>
      <c r="Q371" s="31">
        <v>28866.47</v>
      </c>
      <c r="R371" s="33">
        <f>M371/Q371</f>
        <v>558.58932526214664</v>
      </c>
    </row>
    <row r="372" spans="1:18" s="30" customFormat="1" ht="15" customHeight="1">
      <c r="A372" s="37" t="s">
        <v>52</v>
      </c>
      <c r="B372" s="26" t="s">
        <v>262</v>
      </c>
      <c r="C372" s="39" t="s">
        <v>767</v>
      </c>
      <c r="D372" s="40" t="s">
        <v>768</v>
      </c>
      <c r="E372" s="38" t="s">
        <v>3</v>
      </c>
      <c r="F372" s="38" t="s">
        <v>12</v>
      </c>
      <c r="G372" s="32">
        <v>13468422</v>
      </c>
      <c r="H372" s="32">
        <v>4344653</v>
      </c>
      <c r="I372" s="32">
        <v>38075709</v>
      </c>
      <c r="J372" s="35">
        <f>+G372-H372+I372</f>
        <v>47199478</v>
      </c>
      <c r="K372" s="28">
        <v>0</v>
      </c>
      <c r="L372" s="32">
        <v>0</v>
      </c>
      <c r="M372" s="35">
        <f>+J372+L372</f>
        <v>47199478</v>
      </c>
      <c r="N372" s="55" t="s">
        <v>757</v>
      </c>
      <c r="O372" s="56" t="s">
        <v>769</v>
      </c>
      <c r="P372" s="56">
        <v>43313</v>
      </c>
      <c r="Q372" s="49">
        <v>26805.05</v>
      </c>
      <c r="R372" s="57">
        <f>M372/Q372</f>
        <v>1760.8427516456788</v>
      </c>
    </row>
    <row r="373" spans="1:18" s="30" customFormat="1" ht="15" customHeight="1">
      <c r="A373" s="37" t="s">
        <v>189</v>
      </c>
      <c r="B373" s="26" t="s">
        <v>190</v>
      </c>
      <c r="C373" s="39" t="s">
        <v>767</v>
      </c>
      <c r="D373" s="40" t="s">
        <v>770</v>
      </c>
      <c r="E373" s="38" t="s">
        <v>3</v>
      </c>
      <c r="F373" s="38" t="s">
        <v>10</v>
      </c>
      <c r="G373" s="32">
        <v>2103794</v>
      </c>
      <c r="H373" s="32">
        <v>0</v>
      </c>
      <c r="I373" s="32">
        <v>663113909</v>
      </c>
      <c r="J373" s="35">
        <f>+G373-H373+I373</f>
        <v>665217703</v>
      </c>
      <c r="K373" s="28">
        <v>0</v>
      </c>
      <c r="L373" s="32">
        <v>0</v>
      </c>
      <c r="M373" s="35">
        <f>+J373+L373</f>
        <v>665217703</v>
      </c>
      <c r="N373" s="28" t="s">
        <v>771</v>
      </c>
      <c r="O373" s="29" t="s">
        <v>772</v>
      </c>
      <c r="P373" s="36">
        <v>43409</v>
      </c>
      <c r="Q373" s="31">
        <v>27445.360000000001</v>
      </c>
      <c r="R373" s="33">
        <f>M373/Q373</f>
        <v>24237.8931447793</v>
      </c>
    </row>
    <row r="374" spans="1:18" s="30" customFormat="1" ht="15" customHeight="1">
      <c r="A374" s="46" t="s">
        <v>189</v>
      </c>
      <c r="B374" s="26" t="s">
        <v>190</v>
      </c>
      <c r="C374" s="65" t="s">
        <v>773</v>
      </c>
      <c r="D374" s="51" t="s">
        <v>774</v>
      </c>
      <c r="E374" s="38" t="s">
        <v>3</v>
      </c>
      <c r="F374" s="38" t="s">
        <v>12</v>
      </c>
      <c r="G374" s="52"/>
      <c r="H374" s="52"/>
      <c r="I374" s="52">
        <v>5586881</v>
      </c>
      <c r="J374" s="53">
        <f>+G374-H374+I374</f>
        <v>5586881</v>
      </c>
      <c r="K374" s="70">
        <v>0</v>
      </c>
      <c r="L374" s="52">
        <v>0</v>
      </c>
      <c r="M374" s="53">
        <f>+J374+L374</f>
        <v>5586881</v>
      </c>
      <c r="N374" s="55" t="s">
        <v>389</v>
      </c>
      <c r="O374" s="56" t="s">
        <v>390</v>
      </c>
      <c r="P374" s="56">
        <v>44734</v>
      </c>
      <c r="Q374" s="49">
        <v>32981.75</v>
      </c>
      <c r="R374" s="57">
        <f>M374/Q374</f>
        <v>169.39310376192896</v>
      </c>
    </row>
    <row r="375" spans="1:18" s="30" customFormat="1" ht="15" customHeight="1">
      <c r="A375" s="37" t="s">
        <v>52</v>
      </c>
      <c r="B375" s="26" t="s">
        <v>262</v>
      </c>
      <c r="C375" s="39" t="s">
        <v>775</v>
      </c>
      <c r="D375" s="40" t="s">
        <v>776</v>
      </c>
      <c r="E375" s="38" t="s">
        <v>6</v>
      </c>
      <c r="F375" s="38" t="s">
        <v>10</v>
      </c>
      <c r="G375" s="32">
        <v>10055451</v>
      </c>
      <c r="H375" s="32">
        <v>10565173</v>
      </c>
      <c r="I375" s="32">
        <v>1705041</v>
      </c>
      <c r="J375" s="35">
        <f>+G375-H375+I375</f>
        <v>1195319</v>
      </c>
      <c r="K375" s="28">
        <v>0</v>
      </c>
      <c r="L375" s="32">
        <v>0</v>
      </c>
      <c r="M375" s="35">
        <f>+J375+L375</f>
        <v>1195319</v>
      </c>
      <c r="N375" s="55" t="s">
        <v>757</v>
      </c>
      <c r="O375" s="56" t="s">
        <v>769</v>
      </c>
      <c r="P375" s="56">
        <v>43313</v>
      </c>
      <c r="Q375" s="49">
        <v>26805.05</v>
      </c>
      <c r="R375" s="57">
        <f>M375/Q375</f>
        <v>44.593052428553577</v>
      </c>
    </row>
    <row r="376" spans="1:18" s="30" customFormat="1" ht="15" customHeight="1">
      <c r="A376" s="37" t="s">
        <v>189</v>
      </c>
      <c r="B376" s="26" t="s">
        <v>190</v>
      </c>
      <c r="C376" s="39" t="s">
        <v>775</v>
      </c>
      <c r="D376" s="40" t="s">
        <v>777</v>
      </c>
      <c r="E376" s="38" t="s">
        <v>3</v>
      </c>
      <c r="F376" s="38" t="s">
        <v>10</v>
      </c>
      <c r="G376" s="32">
        <v>0</v>
      </c>
      <c r="H376" s="32">
        <v>108539562</v>
      </c>
      <c r="I376" s="32">
        <v>156119288</v>
      </c>
      <c r="J376" s="35">
        <f>+G376-H376+I376</f>
        <v>47579726</v>
      </c>
      <c r="K376" s="28">
        <v>0</v>
      </c>
      <c r="L376" s="32">
        <v>0</v>
      </c>
      <c r="M376" s="35">
        <f>+J376+L376</f>
        <v>47579726</v>
      </c>
      <c r="N376" s="28" t="s">
        <v>771</v>
      </c>
      <c r="O376" s="29" t="s">
        <v>772</v>
      </c>
      <c r="P376" s="36">
        <v>43409</v>
      </c>
      <c r="Q376" s="31">
        <v>27445.360000000001</v>
      </c>
      <c r="R376" s="33">
        <f>M376/Q376</f>
        <v>1733.6163927162916</v>
      </c>
    </row>
    <row r="377" spans="1:18" s="30" customFormat="1" ht="15" customHeight="1">
      <c r="A377" s="37" t="s">
        <v>356</v>
      </c>
      <c r="B377" s="26" t="s">
        <v>357</v>
      </c>
      <c r="C377" s="39" t="s">
        <v>778</v>
      </c>
      <c r="D377" s="40" t="s">
        <v>779</v>
      </c>
      <c r="E377" s="38" t="s">
        <v>4</v>
      </c>
      <c r="F377" s="38" t="s">
        <v>11</v>
      </c>
      <c r="G377" s="32">
        <v>390232696</v>
      </c>
      <c r="H377" s="32">
        <v>239618444</v>
      </c>
      <c r="I377" s="32">
        <v>69828875</v>
      </c>
      <c r="J377" s="35">
        <f>+G377-H377+I377</f>
        <v>220443127</v>
      </c>
      <c r="K377" s="28">
        <v>0</v>
      </c>
      <c r="L377" s="32">
        <v>0</v>
      </c>
      <c r="M377" s="35">
        <f>+J377+L377</f>
        <v>220443127</v>
      </c>
      <c r="N377" s="28" t="s">
        <v>697</v>
      </c>
      <c r="O377" s="29" t="s">
        <v>780</v>
      </c>
      <c r="P377" s="36">
        <v>43404</v>
      </c>
      <c r="Q377" s="31">
        <v>27432.1</v>
      </c>
      <c r="R377" s="33">
        <f>+M377/Q377</f>
        <v>8035.9552130533211</v>
      </c>
    </row>
    <row r="378" spans="1:18" s="30" customFormat="1" ht="15" customHeight="1">
      <c r="A378" s="37" t="s">
        <v>236</v>
      </c>
      <c r="B378" s="26" t="s">
        <v>237</v>
      </c>
      <c r="C378" s="39" t="s">
        <v>778</v>
      </c>
      <c r="D378" s="40" t="s">
        <v>781</v>
      </c>
      <c r="E378" s="38" t="s">
        <v>3</v>
      </c>
      <c r="F378" s="38" t="s">
        <v>9</v>
      </c>
      <c r="G378" s="32">
        <v>0</v>
      </c>
      <c r="H378" s="32">
        <v>0</v>
      </c>
      <c r="I378" s="32">
        <v>9620192</v>
      </c>
      <c r="J378" s="35">
        <f>+G378-H378+I378</f>
        <v>9620192</v>
      </c>
      <c r="K378" s="28">
        <v>0</v>
      </c>
      <c r="L378" s="32">
        <v>0</v>
      </c>
      <c r="M378" s="35">
        <f>+J378+L378</f>
        <v>9620192</v>
      </c>
      <c r="N378" s="28" t="s">
        <v>240</v>
      </c>
      <c r="O378" s="29" t="s">
        <v>241</v>
      </c>
      <c r="P378" s="36">
        <v>44294</v>
      </c>
      <c r="Q378" s="31">
        <v>29409.93</v>
      </c>
      <c r="R378" s="33">
        <f>M378/Q378</f>
        <v>327.10693293047621</v>
      </c>
    </row>
    <row r="379" spans="1:18" s="30" customFormat="1" ht="15" customHeight="1">
      <c r="A379" s="37" t="s">
        <v>52</v>
      </c>
      <c r="B379" s="26" t="s">
        <v>622</v>
      </c>
      <c r="C379" s="65" t="s">
        <v>778</v>
      </c>
      <c r="D379" s="51" t="s">
        <v>782</v>
      </c>
      <c r="E379" s="38" t="s">
        <v>6</v>
      </c>
      <c r="F379" s="38" t="s">
        <v>11</v>
      </c>
      <c r="G379" s="52">
        <v>16494587</v>
      </c>
      <c r="H379" s="32">
        <v>0</v>
      </c>
      <c r="I379" s="52">
        <v>1922206</v>
      </c>
      <c r="J379" s="53">
        <f>+G379-H379+I379</f>
        <v>18416793</v>
      </c>
      <c r="K379" s="28">
        <v>0</v>
      </c>
      <c r="L379" s="32">
        <v>0</v>
      </c>
      <c r="M379" s="53">
        <f>+J379+L379</f>
        <v>18416793</v>
      </c>
      <c r="N379" s="55" t="s">
        <v>624</v>
      </c>
      <c r="O379" s="29" t="s">
        <v>625</v>
      </c>
      <c r="P379" s="36">
        <v>44900</v>
      </c>
      <c r="Q379" s="49">
        <v>34840.75</v>
      </c>
      <c r="R379" s="33">
        <f>M379/Q379</f>
        <v>528.59921212947484</v>
      </c>
    </row>
    <row r="380" spans="1:18" s="30" customFormat="1" ht="15" customHeight="1">
      <c r="A380" s="37" t="s">
        <v>52</v>
      </c>
      <c r="B380" s="26" t="s">
        <v>555</v>
      </c>
      <c r="C380" s="39" t="s">
        <v>778</v>
      </c>
      <c r="D380" s="40" t="s">
        <v>783</v>
      </c>
      <c r="E380" s="38" t="s">
        <v>6</v>
      </c>
      <c r="F380" s="38" t="s">
        <v>11</v>
      </c>
      <c r="G380" s="32">
        <v>15006396</v>
      </c>
      <c r="H380" s="32">
        <v>12129684</v>
      </c>
      <c r="I380" s="32">
        <v>43735975</v>
      </c>
      <c r="J380" s="35">
        <f>+G380-H380+I380</f>
        <v>46612687</v>
      </c>
      <c r="K380" s="28">
        <v>0</v>
      </c>
      <c r="L380" s="32">
        <v>0</v>
      </c>
      <c r="M380" s="35">
        <f>+J380+L380</f>
        <v>46612687</v>
      </c>
      <c r="N380" s="28" t="s">
        <v>558</v>
      </c>
      <c r="O380" s="29" t="s">
        <v>559</v>
      </c>
      <c r="P380" s="36">
        <v>43922</v>
      </c>
      <c r="Q380" s="31">
        <v>28601.15</v>
      </c>
      <c r="R380" s="33">
        <f>M380/Q380</f>
        <v>1629.7486989159527</v>
      </c>
    </row>
    <row r="381" spans="1:18" s="30" customFormat="1" ht="15" customHeight="1">
      <c r="A381" s="37" t="s">
        <v>189</v>
      </c>
      <c r="B381" s="26" t="s">
        <v>225</v>
      </c>
      <c r="C381" s="39" t="s">
        <v>778</v>
      </c>
      <c r="D381" s="40" t="s">
        <v>784</v>
      </c>
      <c r="E381" s="38" t="s">
        <v>3</v>
      </c>
      <c r="F381" s="38" t="s">
        <v>10</v>
      </c>
      <c r="G381" s="32">
        <v>1035576</v>
      </c>
      <c r="H381" s="32">
        <v>0</v>
      </c>
      <c r="I381" s="52">
        <v>0</v>
      </c>
      <c r="J381" s="35">
        <f>+G381-H381+I381</f>
        <v>1035576</v>
      </c>
      <c r="K381" s="28">
        <v>0</v>
      </c>
      <c r="L381" s="32">
        <v>0</v>
      </c>
      <c r="M381" s="35">
        <f>+J381+L381</f>
        <v>1035576</v>
      </c>
      <c r="N381" s="28" t="s">
        <v>243</v>
      </c>
      <c r="O381" s="29" t="s">
        <v>244</v>
      </c>
      <c r="P381" s="36">
        <v>43993</v>
      </c>
      <c r="Q381" s="31">
        <v>28714.6</v>
      </c>
      <c r="R381" s="33">
        <f>M381/Q381</f>
        <v>36.064441085719459</v>
      </c>
    </row>
    <row r="382" spans="1:18" s="30" customFormat="1" ht="15" customHeight="1">
      <c r="A382" s="46" t="s">
        <v>189</v>
      </c>
      <c r="B382" s="26" t="s">
        <v>190</v>
      </c>
      <c r="C382" s="65" t="s">
        <v>785</v>
      </c>
      <c r="D382" s="51" t="s">
        <v>786</v>
      </c>
      <c r="E382" s="38" t="s">
        <v>4</v>
      </c>
      <c r="F382" s="38" t="s">
        <v>20</v>
      </c>
      <c r="G382" s="52"/>
      <c r="H382" s="52">
        <v>7186794</v>
      </c>
      <c r="I382" s="52">
        <v>7186794</v>
      </c>
      <c r="J382" s="53">
        <f>+G382-H382+I382</f>
        <v>0</v>
      </c>
      <c r="K382" s="70">
        <v>0</v>
      </c>
      <c r="L382" s="52">
        <v>0</v>
      </c>
      <c r="M382" s="53">
        <f>+J382+L382</f>
        <v>0</v>
      </c>
      <c r="N382" s="55" t="s">
        <v>389</v>
      </c>
      <c r="O382" s="56" t="s">
        <v>390</v>
      </c>
      <c r="P382" s="56">
        <v>44734</v>
      </c>
      <c r="Q382" s="49">
        <v>32981.75</v>
      </c>
      <c r="R382" s="57">
        <f>M382/Q382</f>
        <v>0</v>
      </c>
    </row>
    <row r="383" spans="1:18" s="30" customFormat="1" ht="15" customHeight="1">
      <c r="A383" s="46" t="s">
        <v>189</v>
      </c>
      <c r="B383" s="26" t="s">
        <v>190</v>
      </c>
      <c r="C383" s="65" t="s">
        <v>787</v>
      </c>
      <c r="D383" s="51" t="s">
        <v>788</v>
      </c>
      <c r="E383" s="38" t="s">
        <v>3</v>
      </c>
      <c r="F383" s="38" t="s">
        <v>12</v>
      </c>
      <c r="G383" s="52"/>
      <c r="H383" s="52"/>
      <c r="I383" s="52">
        <v>62933286</v>
      </c>
      <c r="J383" s="53">
        <f>+G383-H383+I383</f>
        <v>62933286</v>
      </c>
      <c r="K383" s="70">
        <v>0</v>
      </c>
      <c r="L383" s="52">
        <v>0</v>
      </c>
      <c r="M383" s="53">
        <f>+J383+L383</f>
        <v>62933286</v>
      </c>
      <c r="N383" s="55" t="s">
        <v>389</v>
      </c>
      <c r="O383" s="56" t="s">
        <v>390</v>
      </c>
      <c r="P383" s="56">
        <v>44734</v>
      </c>
      <c r="Q383" s="49">
        <v>32981.75</v>
      </c>
      <c r="R383" s="57">
        <f>M383/Q383</f>
        <v>1908.1245234106741</v>
      </c>
    </row>
    <row r="384" spans="1:18" s="30" customFormat="1" ht="15" customHeight="1">
      <c r="A384" s="37" t="s">
        <v>52</v>
      </c>
      <c r="B384" s="26" t="s">
        <v>262</v>
      </c>
      <c r="C384" s="39" t="s">
        <v>789</v>
      </c>
      <c r="D384" s="40" t="s">
        <v>790</v>
      </c>
      <c r="E384" s="38" t="s">
        <v>3</v>
      </c>
      <c r="F384" s="38" t="s">
        <v>10</v>
      </c>
      <c r="G384" s="32">
        <v>77326745</v>
      </c>
      <c r="H384" s="32">
        <v>0</v>
      </c>
      <c r="I384" s="52">
        <v>0</v>
      </c>
      <c r="J384" s="35">
        <f>+G384-H384+I384</f>
        <v>77326745</v>
      </c>
      <c r="K384" s="28">
        <v>0</v>
      </c>
      <c r="L384" s="32">
        <v>0</v>
      </c>
      <c r="M384" s="35">
        <f>+J384+L384</f>
        <v>77326745</v>
      </c>
      <c r="N384" s="55" t="s">
        <v>757</v>
      </c>
      <c r="O384" s="56" t="s">
        <v>769</v>
      </c>
      <c r="P384" s="56">
        <v>43313</v>
      </c>
      <c r="Q384" s="49">
        <v>26805.05</v>
      </c>
      <c r="R384" s="57">
        <f>M384/Q384</f>
        <v>2884.7827181818352</v>
      </c>
    </row>
    <row r="385" spans="1:18" s="30" customFormat="1" ht="15" customHeight="1">
      <c r="A385" s="37" t="s">
        <v>189</v>
      </c>
      <c r="B385" s="26" t="s">
        <v>225</v>
      </c>
      <c r="C385" s="39" t="s">
        <v>789</v>
      </c>
      <c r="D385" s="40" t="s">
        <v>791</v>
      </c>
      <c r="E385" s="38" t="s">
        <v>3</v>
      </c>
      <c r="F385" s="38" t="s">
        <v>11</v>
      </c>
      <c r="G385" s="32">
        <v>22574502</v>
      </c>
      <c r="H385" s="32">
        <v>0</v>
      </c>
      <c r="I385" s="52">
        <v>0</v>
      </c>
      <c r="J385" s="35">
        <f>+G385-H385+I385</f>
        <v>22574502</v>
      </c>
      <c r="K385" s="28">
        <v>0</v>
      </c>
      <c r="L385" s="32">
        <v>0</v>
      </c>
      <c r="M385" s="35">
        <f>+J385+L385</f>
        <v>22574502</v>
      </c>
      <c r="N385" s="28" t="s">
        <v>443</v>
      </c>
      <c r="O385" s="29" t="s">
        <v>444</v>
      </c>
      <c r="P385" s="36">
        <v>44014</v>
      </c>
      <c r="Q385" s="31">
        <v>28694.5</v>
      </c>
      <c r="R385" s="33">
        <f>M385/Q385</f>
        <v>786.7187788600603</v>
      </c>
    </row>
    <row r="386" spans="1:18" s="30" customFormat="1" ht="15" customHeight="1">
      <c r="A386" s="46" t="s">
        <v>189</v>
      </c>
      <c r="B386" s="26" t="s">
        <v>190</v>
      </c>
      <c r="C386" s="65" t="s">
        <v>792</v>
      </c>
      <c r="D386" s="51" t="s">
        <v>793</v>
      </c>
      <c r="E386" s="38" t="s">
        <v>3</v>
      </c>
      <c r="F386" s="48" t="s">
        <v>10</v>
      </c>
      <c r="G386" s="52"/>
      <c r="H386" s="52"/>
      <c r="I386" s="52">
        <v>6998341</v>
      </c>
      <c r="J386" s="53">
        <f>+G386-H386+I386</f>
        <v>6998341</v>
      </c>
      <c r="K386" s="70">
        <v>0</v>
      </c>
      <c r="L386" s="52">
        <v>0</v>
      </c>
      <c r="M386" s="53">
        <f>+J386+L386</f>
        <v>6998341</v>
      </c>
      <c r="N386" s="55" t="s">
        <v>794</v>
      </c>
      <c r="O386" s="56" t="s">
        <v>795</v>
      </c>
      <c r="P386" s="56">
        <v>44699</v>
      </c>
      <c r="Q386" s="49">
        <v>32489.56</v>
      </c>
      <c r="R386" s="57">
        <f>M386/Q386</f>
        <v>215.40276322609478</v>
      </c>
    </row>
    <row r="387" spans="1:18" s="30" customFormat="1" ht="15" customHeight="1">
      <c r="A387" s="46" t="s">
        <v>189</v>
      </c>
      <c r="B387" s="26" t="s">
        <v>190</v>
      </c>
      <c r="C387" s="65" t="s">
        <v>796</v>
      </c>
      <c r="D387" s="51" t="s">
        <v>797</v>
      </c>
      <c r="E387" s="48" t="s">
        <v>6</v>
      </c>
      <c r="F387" s="38" t="s">
        <v>20</v>
      </c>
      <c r="G387" s="52">
        <v>4256158</v>
      </c>
      <c r="H387" s="52">
        <v>0</v>
      </c>
      <c r="I387" s="52">
        <v>0</v>
      </c>
      <c r="J387" s="53">
        <f>+G387-H387+I387</f>
        <v>4256158</v>
      </c>
      <c r="K387" s="70">
        <v>0</v>
      </c>
      <c r="L387" s="52">
        <v>0</v>
      </c>
      <c r="M387" s="53">
        <f>+J387+L387</f>
        <v>4256158</v>
      </c>
      <c r="N387" s="55" t="s">
        <v>389</v>
      </c>
      <c r="O387" s="56" t="s">
        <v>390</v>
      </c>
      <c r="P387" s="56">
        <v>44734</v>
      </c>
      <c r="Q387" s="49">
        <v>32981.75</v>
      </c>
      <c r="R387" s="57">
        <f>M387/Q387</f>
        <v>129.04585111463157</v>
      </c>
    </row>
    <row r="388" spans="1:18" s="30" customFormat="1" ht="15" customHeight="1">
      <c r="A388" s="37" t="s">
        <v>688</v>
      </c>
      <c r="B388" s="26" t="s">
        <v>798</v>
      </c>
      <c r="C388" s="39">
        <v>4</v>
      </c>
      <c r="D388" s="40" t="s">
        <v>799</v>
      </c>
      <c r="E388" s="38" t="s">
        <v>4</v>
      </c>
      <c r="F388" s="38" t="s">
        <v>12</v>
      </c>
      <c r="G388" s="32">
        <v>0</v>
      </c>
      <c r="H388" s="32">
        <v>0</v>
      </c>
      <c r="I388" s="32">
        <v>21335441</v>
      </c>
      <c r="J388" s="35">
        <f>+G388-H388+I388</f>
        <v>21335441</v>
      </c>
      <c r="K388" s="27">
        <v>59</v>
      </c>
      <c r="L388" s="32">
        <v>0</v>
      </c>
      <c r="M388" s="35">
        <f>+J388+L388</f>
        <v>21335441</v>
      </c>
      <c r="N388" s="28" t="s">
        <v>800</v>
      </c>
      <c r="O388" s="29" t="s">
        <v>801</v>
      </c>
      <c r="P388" s="36">
        <v>44790</v>
      </c>
      <c r="Q388" s="31">
        <v>33624.720000000001</v>
      </c>
      <c r="R388" s="33">
        <f>M388/Q388</f>
        <v>634.51654021208208</v>
      </c>
    </row>
    <row r="389" spans="1:18" s="30" customFormat="1" ht="15" customHeight="1">
      <c r="A389" s="46" t="s">
        <v>189</v>
      </c>
      <c r="B389" s="26" t="s">
        <v>190</v>
      </c>
      <c r="C389" s="65" t="s">
        <v>802</v>
      </c>
      <c r="D389" s="51" t="s">
        <v>803</v>
      </c>
      <c r="E389" s="38" t="s">
        <v>3</v>
      </c>
      <c r="F389" s="38" t="s">
        <v>13</v>
      </c>
      <c r="G389" s="52"/>
      <c r="H389" s="52"/>
      <c r="I389" s="52">
        <v>5857485</v>
      </c>
      <c r="J389" s="53">
        <f>+G389-H389+I389</f>
        <v>5857485</v>
      </c>
      <c r="K389" s="70">
        <v>0</v>
      </c>
      <c r="L389" s="52">
        <v>0</v>
      </c>
      <c r="M389" s="53">
        <f>+J389+L389</f>
        <v>5857485</v>
      </c>
      <c r="N389" s="55" t="s">
        <v>794</v>
      </c>
      <c r="O389" s="56" t="s">
        <v>795</v>
      </c>
      <c r="P389" s="56">
        <v>44699</v>
      </c>
      <c r="Q389" s="49">
        <v>32489.56</v>
      </c>
      <c r="R389" s="57">
        <f>M389/Q389</f>
        <v>180.28822181648505</v>
      </c>
    </row>
    <row r="390" spans="1:18" s="30" customFormat="1" ht="15" customHeight="1">
      <c r="A390" s="46" t="s">
        <v>189</v>
      </c>
      <c r="B390" s="26" t="s">
        <v>190</v>
      </c>
      <c r="C390" s="65" t="s">
        <v>804</v>
      </c>
      <c r="D390" s="51" t="s">
        <v>805</v>
      </c>
      <c r="E390" s="38" t="s">
        <v>3</v>
      </c>
      <c r="F390" s="48" t="s">
        <v>11</v>
      </c>
      <c r="G390" s="52">
        <v>193168</v>
      </c>
      <c r="H390" s="52"/>
      <c r="I390" s="52"/>
      <c r="J390" s="53">
        <f>+G390-H390+I390</f>
        <v>193168</v>
      </c>
      <c r="K390" s="70">
        <v>0</v>
      </c>
      <c r="L390" s="52">
        <v>0</v>
      </c>
      <c r="M390" s="53">
        <f>+J390+L390</f>
        <v>193168</v>
      </c>
      <c r="N390" s="55" t="s">
        <v>794</v>
      </c>
      <c r="O390" s="56" t="s">
        <v>795</v>
      </c>
      <c r="P390" s="56">
        <v>44699</v>
      </c>
      <c r="Q390" s="49">
        <v>32489.56</v>
      </c>
      <c r="R390" s="57">
        <f>M390/Q390</f>
        <v>5.945540659830419</v>
      </c>
    </row>
    <row r="391" spans="1:18" s="30" customFormat="1" ht="15" customHeight="1">
      <c r="A391" s="46" t="s">
        <v>189</v>
      </c>
      <c r="B391" s="26" t="s">
        <v>190</v>
      </c>
      <c r="C391" s="65" t="s">
        <v>806</v>
      </c>
      <c r="D391" s="51" t="s">
        <v>807</v>
      </c>
      <c r="E391" s="38" t="s">
        <v>4</v>
      </c>
      <c r="F391" s="48" t="s">
        <v>11</v>
      </c>
      <c r="G391" s="52"/>
      <c r="H391" s="52"/>
      <c r="I391" s="52">
        <v>15142422</v>
      </c>
      <c r="J391" s="53">
        <f>+G391-H391+I391</f>
        <v>15142422</v>
      </c>
      <c r="K391" s="70">
        <v>0</v>
      </c>
      <c r="L391" s="52">
        <v>0</v>
      </c>
      <c r="M391" s="53">
        <f>+J391+L391</f>
        <v>15142422</v>
      </c>
      <c r="N391" s="55" t="s">
        <v>389</v>
      </c>
      <c r="O391" s="56" t="s">
        <v>390</v>
      </c>
      <c r="P391" s="56">
        <v>44734</v>
      </c>
      <c r="Q391" s="49">
        <v>32981.75</v>
      </c>
      <c r="R391" s="57">
        <f>M391/Q391</f>
        <v>459.11517733291896</v>
      </c>
    </row>
    <row r="392" spans="1:18" s="30" customFormat="1" ht="15" customHeight="1">
      <c r="A392" s="37" t="s">
        <v>166</v>
      </c>
      <c r="B392" s="26" t="s">
        <v>167</v>
      </c>
      <c r="C392" s="39" t="s">
        <v>808</v>
      </c>
      <c r="D392" s="40" t="s">
        <v>809</v>
      </c>
      <c r="E392" s="38" t="s">
        <v>3</v>
      </c>
      <c r="F392" s="38" t="s">
        <v>9</v>
      </c>
      <c r="G392" s="32">
        <v>0</v>
      </c>
      <c r="H392" s="32">
        <v>0</v>
      </c>
      <c r="I392" s="32">
        <v>22272990</v>
      </c>
      <c r="J392" s="35">
        <f>+G392-H392+I392</f>
        <v>22272990</v>
      </c>
      <c r="K392" s="27">
        <v>25</v>
      </c>
      <c r="L392" s="32">
        <v>0</v>
      </c>
      <c r="M392" s="35">
        <f>+J392+L392</f>
        <v>22272990</v>
      </c>
      <c r="N392" s="28" t="s">
        <v>171</v>
      </c>
      <c r="O392" s="29" t="s">
        <v>269</v>
      </c>
      <c r="P392" s="36">
        <v>44341</v>
      </c>
      <c r="Q392" s="31">
        <v>29513.759999999998</v>
      </c>
      <c r="R392" s="33">
        <v>755</v>
      </c>
    </row>
    <row r="393" spans="1:18" s="30" customFormat="1" ht="15" customHeight="1">
      <c r="A393" s="37" t="s">
        <v>52</v>
      </c>
      <c r="B393" s="26" t="s">
        <v>262</v>
      </c>
      <c r="C393" s="39" t="s">
        <v>810</v>
      </c>
      <c r="D393" s="40" t="s">
        <v>811</v>
      </c>
      <c r="E393" s="38" t="s">
        <v>3</v>
      </c>
      <c r="F393" s="38" t="s">
        <v>10</v>
      </c>
      <c r="G393" s="32">
        <v>19353860</v>
      </c>
      <c r="H393" s="32">
        <v>18261567</v>
      </c>
      <c r="I393" s="52">
        <v>0</v>
      </c>
      <c r="J393" s="35">
        <f>+G393-H393+I393</f>
        <v>1092293</v>
      </c>
      <c r="K393" s="28">
        <v>0</v>
      </c>
      <c r="L393" s="32">
        <v>0</v>
      </c>
      <c r="M393" s="35">
        <f>+J393+L393</f>
        <v>1092293</v>
      </c>
      <c r="N393" s="55" t="s">
        <v>757</v>
      </c>
      <c r="O393" s="56" t="s">
        <v>769</v>
      </c>
      <c r="P393" s="56">
        <v>43313</v>
      </c>
      <c r="Q393" s="49">
        <v>26805.05</v>
      </c>
      <c r="R393" s="57">
        <f>M393/Q393</f>
        <v>40.749522944370561</v>
      </c>
    </row>
    <row r="394" spans="1:18" s="30" customFormat="1" ht="15" customHeight="1">
      <c r="A394" s="37" t="s">
        <v>189</v>
      </c>
      <c r="B394" s="26" t="s">
        <v>190</v>
      </c>
      <c r="C394" s="39" t="s">
        <v>810</v>
      </c>
      <c r="D394" s="40" t="s">
        <v>812</v>
      </c>
      <c r="E394" s="38" t="s">
        <v>3</v>
      </c>
      <c r="F394" s="38" t="s">
        <v>10</v>
      </c>
      <c r="G394" s="32">
        <v>24874114</v>
      </c>
      <c r="H394" s="32">
        <v>23475657</v>
      </c>
      <c r="I394" s="52">
        <v>0</v>
      </c>
      <c r="J394" s="35">
        <f>+G394-H394+I394</f>
        <v>1398457</v>
      </c>
      <c r="K394" s="28">
        <v>0</v>
      </c>
      <c r="L394" s="32">
        <v>0</v>
      </c>
      <c r="M394" s="35">
        <f>+J394+L394</f>
        <v>1398457</v>
      </c>
      <c r="N394" s="28" t="s">
        <v>771</v>
      </c>
      <c r="O394" s="29" t="s">
        <v>772</v>
      </c>
      <c r="P394" s="36">
        <v>43409</v>
      </c>
      <c r="Q394" s="31">
        <v>27445.360000000001</v>
      </c>
      <c r="R394" s="33">
        <f>M394/Q394</f>
        <v>50.954223227532815</v>
      </c>
    </row>
    <row r="395" spans="1:18" s="30" customFormat="1" ht="15" customHeight="1">
      <c r="A395" s="37" t="s">
        <v>688</v>
      </c>
      <c r="B395" s="26" t="s">
        <v>798</v>
      </c>
      <c r="C395" s="39">
        <v>5</v>
      </c>
      <c r="D395" s="40" t="s">
        <v>813</v>
      </c>
      <c r="E395" s="38" t="s">
        <v>4</v>
      </c>
      <c r="F395" s="38" t="s">
        <v>814</v>
      </c>
      <c r="G395" s="32">
        <v>0</v>
      </c>
      <c r="H395" s="32">
        <v>0</v>
      </c>
      <c r="I395" s="32">
        <v>24253703</v>
      </c>
      <c r="J395" s="35">
        <f>+G395-H395+I395</f>
        <v>24253703</v>
      </c>
      <c r="K395" s="27">
        <v>60</v>
      </c>
      <c r="L395" s="32">
        <v>0</v>
      </c>
      <c r="M395" s="35">
        <f>+J395+L395</f>
        <v>24253703</v>
      </c>
      <c r="N395" s="28" t="s">
        <v>815</v>
      </c>
      <c r="O395" s="29" t="s">
        <v>816</v>
      </c>
      <c r="P395" s="36">
        <v>44923</v>
      </c>
      <c r="Q395" s="31">
        <v>35077.19</v>
      </c>
      <c r="R395" s="33">
        <f>M395/Q395</f>
        <v>691.43802567993612</v>
      </c>
    </row>
    <row r="396" spans="1:18" ht="15" customHeight="1">
      <c r="A396" s="46" t="s">
        <v>189</v>
      </c>
      <c r="B396" s="26" t="s">
        <v>190</v>
      </c>
      <c r="C396" s="65" t="s">
        <v>817</v>
      </c>
      <c r="D396" s="51" t="s">
        <v>818</v>
      </c>
      <c r="E396" s="38" t="s">
        <v>3</v>
      </c>
      <c r="F396" s="48" t="s">
        <v>11</v>
      </c>
      <c r="G396" s="52">
        <v>469811</v>
      </c>
      <c r="H396" s="52">
        <v>442972</v>
      </c>
      <c r="I396" s="52"/>
      <c r="J396" s="53">
        <f>+G396-H396+I396</f>
        <v>26839</v>
      </c>
      <c r="K396" s="70">
        <v>0</v>
      </c>
      <c r="L396" s="52">
        <v>0</v>
      </c>
      <c r="M396" s="53">
        <f>+J396+L396</f>
        <v>26839</v>
      </c>
      <c r="N396" s="55" t="s">
        <v>794</v>
      </c>
      <c r="O396" s="56" t="s">
        <v>795</v>
      </c>
      <c r="P396" s="56">
        <v>44699</v>
      </c>
      <c r="Q396" s="49">
        <v>32489.56</v>
      </c>
      <c r="R396" s="57">
        <f>M396/Q396</f>
        <v>0.82608074716924451</v>
      </c>
    </row>
    <row r="397" spans="1:18" ht="15" customHeight="1">
      <c r="A397" s="46" t="s">
        <v>189</v>
      </c>
      <c r="B397" s="26" t="s">
        <v>190</v>
      </c>
      <c r="C397" s="65" t="s">
        <v>819</v>
      </c>
      <c r="D397" s="51" t="s">
        <v>820</v>
      </c>
      <c r="E397" s="48" t="s">
        <v>6</v>
      </c>
      <c r="F397" s="38" t="s">
        <v>12</v>
      </c>
      <c r="G397" s="52">
        <v>6337773</v>
      </c>
      <c r="H397" s="52"/>
      <c r="I397" s="52"/>
      <c r="J397" s="53">
        <f>+G397-H397+I397</f>
        <v>6337773</v>
      </c>
      <c r="K397" s="70">
        <v>0</v>
      </c>
      <c r="L397" s="52">
        <v>0</v>
      </c>
      <c r="M397" s="53">
        <f>+J397+L397</f>
        <v>6337773</v>
      </c>
      <c r="N397" s="55" t="s">
        <v>794</v>
      </c>
      <c r="O397" s="56" t="s">
        <v>795</v>
      </c>
      <c r="P397" s="56">
        <v>44699</v>
      </c>
      <c r="Q397" s="49">
        <v>32489.56</v>
      </c>
      <c r="R397" s="57">
        <f>M397/Q397</f>
        <v>195.07106282756675</v>
      </c>
    </row>
    <row r="398" spans="1:18" ht="15" customHeight="1">
      <c r="A398" s="37" t="s">
        <v>293</v>
      </c>
      <c r="B398" s="26" t="s">
        <v>294</v>
      </c>
      <c r="C398" s="39">
        <v>538</v>
      </c>
      <c r="D398" s="40" t="s">
        <v>821</v>
      </c>
      <c r="E398" s="38" t="s">
        <v>3</v>
      </c>
      <c r="F398" s="38" t="s">
        <v>13</v>
      </c>
      <c r="G398" s="32">
        <v>0</v>
      </c>
      <c r="H398" s="32">
        <v>0</v>
      </c>
      <c r="I398" s="32">
        <v>27079914</v>
      </c>
      <c r="J398" s="35">
        <f>+G398-H398+I398</f>
        <v>27079914</v>
      </c>
      <c r="K398" s="27" t="s">
        <v>401</v>
      </c>
      <c r="L398" s="32">
        <v>0</v>
      </c>
      <c r="M398" s="35">
        <f>+J398+L398</f>
        <v>27079914</v>
      </c>
      <c r="N398" s="55" t="s">
        <v>402</v>
      </c>
      <c r="O398" s="56" t="s">
        <v>403</v>
      </c>
      <c r="P398" s="56">
        <v>44524</v>
      </c>
      <c r="Q398" s="49">
        <v>30683.439999999999</v>
      </c>
      <c r="R398" s="57">
        <f>+M398/Q398</f>
        <v>882.55795308479105</v>
      </c>
    </row>
    <row r="399" spans="1:18" ht="15" customHeight="1">
      <c r="A399" s="37" t="s">
        <v>52</v>
      </c>
      <c r="B399" s="26" t="s">
        <v>195</v>
      </c>
      <c r="C399" s="65" t="s">
        <v>822</v>
      </c>
      <c r="D399" s="51" t="s">
        <v>823</v>
      </c>
      <c r="E399" s="38" t="s">
        <v>198</v>
      </c>
      <c r="F399" s="38" t="s">
        <v>12</v>
      </c>
      <c r="G399" s="32">
        <v>0</v>
      </c>
      <c r="H399" s="52">
        <v>4794754</v>
      </c>
      <c r="I399" s="52">
        <v>49452218</v>
      </c>
      <c r="J399" s="53">
        <f>+G399-H399+I399</f>
        <v>44657464</v>
      </c>
      <c r="K399" s="28">
        <v>0</v>
      </c>
      <c r="L399" s="32">
        <v>0</v>
      </c>
      <c r="M399" s="53">
        <f>+J399+L399</f>
        <v>44657464</v>
      </c>
      <c r="N399" s="55" t="s">
        <v>200</v>
      </c>
      <c r="O399" s="29" t="s">
        <v>201</v>
      </c>
      <c r="P399" s="36">
        <v>44932</v>
      </c>
      <c r="Q399" s="49">
        <v>35178.67</v>
      </c>
      <c r="R399" s="33">
        <f>M399/Q399</f>
        <v>1269.4471962697851</v>
      </c>
    </row>
    <row r="400" spans="1:18" ht="15" customHeight="1">
      <c r="A400" s="37" t="s">
        <v>52</v>
      </c>
      <c r="B400" s="26" t="s">
        <v>195</v>
      </c>
      <c r="C400" s="65" t="s">
        <v>824</v>
      </c>
      <c r="D400" s="51" t="s">
        <v>825</v>
      </c>
      <c r="E400" s="38" t="s">
        <v>4</v>
      </c>
      <c r="F400" s="38" t="s">
        <v>199</v>
      </c>
      <c r="G400" s="32">
        <v>0</v>
      </c>
      <c r="H400" s="52">
        <v>833829569</v>
      </c>
      <c r="I400" s="32">
        <v>0</v>
      </c>
      <c r="J400" s="53">
        <f>+G400-H400+I400</f>
        <v>-833829569</v>
      </c>
      <c r="K400" s="28">
        <v>0</v>
      </c>
      <c r="L400" s="32">
        <v>0</v>
      </c>
      <c r="M400" s="53">
        <f>+J400+L400</f>
        <v>-833829569</v>
      </c>
      <c r="N400" s="55" t="s">
        <v>200</v>
      </c>
      <c r="O400" s="29" t="s">
        <v>201</v>
      </c>
      <c r="P400" s="36">
        <v>44932</v>
      </c>
      <c r="Q400" s="49">
        <v>35178.67</v>
      </c>
      <c r="R400" s="33">
        <f>M400/Q400</f>
        <v>-23702.703058415798</v>
      </c>
    </row>
    <row r="401" spans="1:18" ht="15" customHeight="1">
      <c r="A401" s="37" t="s">
        <v>52</v>
      </c>
      <c r="B401" s="26" t="s">
        <v>195</v>
      </c>
      <c r="C401" s="65" t="s">
        <v>826</v>
      </c>
      <c r="D401" s="51" t="s">
        <v>827</v>
      </c>
      <c r="E401" s="38" t="s">
        <v>198</v>
      </c>
      <c r="F401" s="38" t="s">
        <v>828</v>
      </c>
      <c r="G401" s="32">
        <v>0</v>
      </c>
      <c r="H401" s="52">
        <v>23149272</v>
      </c>
      <c r="I401" s="52">
        <v>9967818</v>
      </c>
      <c r="J401" s="53">
        <f>+G401-H401+I401</f>
        <v>-13181454</v>
      </c>
      <c r="K401" s="28">
        <v>0</v>
      </c>
      <c r="L401" s="32">
        <v>0</v>
      </c>
      <c r="M401" s="53">
        <f>+J401+L401</f>
        <v>-13181454</v>
      </c>
      <c r="N401" s="55" t="s">
        <v>200</v>
      </c>
      <c r="O401" s="29" t="s">
        <v>201</v>
      </c>
      <c r="P401" s="36">
        <v>44932</v>
      </c>
      <c r="Q401" s="49">
        <v>35178.67</v>
      </c>
      <c r="R401" s="33">
        <f>M401/Q401</f>
        <v>-374.70018053553474</v>
      </c>
    </row>
    <row r="402" spans="1:18" ht="15" customHeight="1">
      <c r="A402" s="37" t="s">
        <v>52</v>
      </c>
      <c r="B402" s="26" t="s">
        <v>195</v>
      </c>
      <c r="C402" s="65" t="s">
        <v>829</v>
      </c>
      <c r="D402" s="51" t="s">
        <v>830</v>
      </c>
      <c r="E402" s="38" t="s">
        <v>198</v>
      </c>
      <c r="F402" s="38" t="s">
        <v>199</v>
      </c>
      <c r="G402" s="32">
        <v>0</v>
      </c>
      <c r="H402" s="32">
        <v>0</v>
      </c>
      <c r="I402" s="52">
        <v>3290592</v>
      </c>
      <c r="J402" s="53">
        <f>+G402-H402+I402</f>
        <v>3290592</v>
      </c>
      <c r="K402" s="28">
        <v>0</v>
      </c>
      <c r="L402" s="32">
        <v>0</v>
      </c>
      <c r="M402" s="53">
        <f>+J402+L402</f>
        <v>3290592</v>
      </c>
      <c r="N402" s="55" t="s">
        <v>200</v>
      </c>
      <c r="O402" s="29" t="s">
        <v>201</v>
      </c>
      <c r="P402" s="36">
        <v>44932</v>
      </c>
      <c r="Q402" s="49">
        <v>35178.67</v>
      </c>
      <c r="R402" s="33">
        <f>M402/Q402</f>
        <v>93.539408965717016</v>
      </c>
    </row>
    <row r="403" spans="1:18" ht="15" customHeight="1">
      <c r="A403" s="37" t="s">
        <v>52</v>
      </c>
      <c r="B403" s="26" t="s">
        <v>195</v>
      </c>
      <c r="C403" s="65" t="s">
        <v>831</v>
      </c>
      <c r="D403" s="51" t="s">
        <v>832</v>
      </c>
      <c r="E403" s="38" t="s">
        <v>3</v>
      </c>
      <c r="F403" s="38" t="s">
        <v>199</v>
      </c>
      <c r="G403" s="32">
        <v>0</v>
      </c>
      <c r="H403" s="32">
        <v>0</v>
      </c>
      <c r="I403" s="52">
        <v>2247234</v>
      </c>
      <c r="J403" s="53">
        <f>+G403-H403+I403</f>
        <v>2247234</v>
      </c>
      <c r="K403" s="28">
        <v>0</v>
      </c>
      <c r="L403" s="32">
        <v>0</v>
      </c>
      <c r="M403" s="53">
        <f>+J403+L403</f>
        <v>2247234</v>
      </c>
      <c r="N403" s="55" t="s">
        <v>200</v>
      </c>
      <c r="O403" s="29" t="s">
        <v>201</v>
      </c>
      <c r="P403" s="36">
        <v>44932</v>
      </c>
      <c r="Q403" s="49">
        <v>35178.67</v>
      </c>
      <c r="R403" s="33">
        <f>M403/Q403</f>
        <v>63.880584456433404</v>
      </c>
    </row>
    <row r="404" spans="1:18" ht="15" customHeight="1">
      <c r="A404" s="46" t="s">
        <v>189</v>
      </c>
      <c r="B404" s="26" t="s">
        <v>190</v>
      </c>
      <c r="C404" s="65" t="s">
        <v>833</v>
      </c>
      <c r="D404" s="51" t="s">
        <v>834</v>
      </c>
      <c r="E404" s="38" t="s">
        <v>4</v>
      </c>
      <c r="F404" s="48" t="s">
        <v>11</v>
      </c>
      <c r="G404" s="52"/>
      <c r="H404" s="52"/>
      <c r="I404" s="52">
        <v>6600503</v>
      </c>
      <c r="J404" s="53">
        <f>+G404-H404+I404</f>
        <v>6600503</v>
      </c>
      <c r="K404" s="70">
        <v>0</v>
      </c>
      <c r="L404" s="52">
        <v>0</v>
      </c>
      <c r="M404" s="53">
        <f>+J404+L404</f>
        <v>6600503</v>
      </c>
      <c r="N404" s="55" t="s">
        <v>389</v>
      </c>
      <c r="O404" s="56" t="s">
        <v>390</v>
      </c>
      <c r="P404" s="56">
        <v>44734</v>
      </c>
      <c r="Q404" s="49">
        <v>32981.75</v>
      </c>
      <c r="R404" s="57">
        <f>M404/Q404</f>
        <v>200.12591812138533</v>
      </c>
    </row>
    <row r="405" spans="1:18" ht="15" customHeight="1">
      <c r="A405" s="37" t="s">
        <v>52</v>
      </c>
      <c r="B405" s="26" t="s">
        <v>195</v>
      </c>
      <c r="C405" s="65" t="s">
        <v>833</v>
      </c>
      <c r="D405" s="51" t="s">
        <v>835</v>
      </c>
      <c r="E405" s="38" t="s">
        <v>3</v>
      </c>
      <c r="F405" s="38" t="s">
        <v>16</v>
      </c>
      <c r="G405" s="32">
        <v>0</v>
      </c>
      <c r="H405" s="32">
        <v>0</v>
      </c>
      <c r="I405" s="52">
        <v>370424</v>
      </c>
      <c r="J405" s="53">
        <f>+G405-H405+I405</f>
        <v>370424</v>
      </c>
      <c r="K405" s="28">
        <v>0</v>
      </c>
      <c r="L405" s="32">
        <v>0</v>
      </c>
      <c r="M405" s="53">
        <f>+J405+L405</f>
        <v>370424</v>
      </c>
      <c r="N405" s="55" t="s">
        <v>200</v>
      </c>
      <c r="O405" s="29" t="s">
        <v>201</v>
      </c>
      <c r="P405" s="36">
        <v>44932</v>
      </c>
      <c r="Q405" s="49">
        <v>35178.67</v>
      </c>
      <c r="R405" s="33">
        <f>M405/Q405</f>
        <v>10.529789784548422</v>
      </c>
    </row>
    <row r="406" spans="1:18" ht="15" customHeight="1">
      <c r="A406" s="37" t="s">
        <v>52</v>
      </c>
      <c r="B406" s="26" t="s">
        <v>195</v>
      </c>
      <c r="C406" s="65" t="s">
        <v>526</v>
      </c>
      <c r="D406" s="51" t="s">
        <v>836</v>
      </c>
      <c r="E406" s="38" t="s">
        <v>3</v>
      </c>
      <c r="F406" s="38" t="s">
        <v>13</v>
      </c>
      <c r="G406" s="52">
        <v>0</v>
      </c>
      <c r="H406" s="52">
        <v>0</v>
      </c>
      <c r="I406" s="52">
        <v>29410694</v>
      </c>
      <c r="J406" s="53">
        <f>+G406-H406+I406</f>
        <v>29410694</v>
      </c>
      <c r="K406" s="54">
        <v>37</v>
      </c>
      <c r="L406" s="52"/>
      <c r="M406" s="53">
        <f>+J406+L406</f>
        <v>29410694</v>
      </c>
      <c r="N406" s="55" t="s">
        <v>385</v>
      </c>
      <c r="O406" s="29" t="s">
        <v>386</v>
      </c>
      <c r="P406" s="36">
        <v>44727</v>
      </c>
      <c r="Q406" s="49">
        <v>33086.83</v>
      </c>
      <c r="R406" s="33">
        <f>M406/Q406</f>
        <v>888.89428210559902</v>
      </c>
    </row>
    <row r="407" spans="1:18" ht="15" customHeight="1">
      <c r="A407" s="46" t="s">
        <v>189</v>
      </c>
      <c r="B407" s="26" t="s">
        <v>190</v>
      </c>
      <c r="C407" s="65" t="s">
        <v>837</v>
      </c>
      <c r="D407" s="51" t="s">
        <v>838</v>
      </c>
      <c r="E407" s="48" t="s">
        <v>6</v>
      </c>
      <c r="F407" s="38" t="s">
        <v>13</v>
      </c>
      <c r="G407" s="52">
        <v>1947077</v>
      </c>
      <c r="H407" s="52"/>
      <c r="I407" s="52">
        <v>3130626</v>
      </c>
      <c r="J407" s="53">
        <f>+G407-H407+I407</f>
        <v>5077703</v>
      </c>
      <c r="K407" s="70">
        <v>0</v>
      </c>
      <c r="L407" s="52">
        <v>0</v>
      </c>
      <c r="M407" s="53">
        <f>+J407+L407</f>
        <v>5077703</v>
      </c>
      <c r="N407" s="55" t="s">
        <v>389</v>
      </c>
      <c r="O407" s="56" t="s">
        <v>390</v>
      </c>
      <c r="P407" s="56">
        <v>44734</v>
      </c>
      <c r="Q407" s="49">
        <v>32981.75</v>
      </c>
      <c r="R407" s="57">
        <f>M407/Q407</f>
        <v>153.95492962016874</v>
      </c>
    </row>
    <row r="408" spans="1:18" ht="15" customHeight="1">
      <c r="A408" s="37" t="s">
        <v>356</v>
      </c>
      <c r="B408" s="26" t="s">
        <v>357</v>
      </c>
      <c r="C408" s="39" t="s">
        <v>839</v>
      </c>
      <c r="D408" s="40" t="s">
        <v>840</v>
      </c>
      <c r="E408" s="38" t="s">
        <v>4</v>
      </c>
      <c r="F408" s="38" t="s">
        <v>11</v>
      </c>
      <c r="G408" s="32">
        <v>0</v>
      </c>
      <c r="H408" s="32">
        <v>26506366</v>
      </c>
      <c r="I408" s="32">
        <v>31803713</v>
      </c>
      <c r="J408" s="35">
        <f>+G408-H408+I408</f>
        <v>5297347</v>
      </c>
      <c r="K408" s="27">
        <v>24</v>
      </c>
      <c r="L408" s="32">
        <v>0</v>
      </c>
      <c r="M408" s="35">
        <f>+J408+L408</f>
        <v>5297347</v>
      </c>
      <c r="N408" s="28" t="s">
        <v>841</v>
      </c>
      <c r="O408" s="29" t="s">
        <v>842</v>
      </c>
      <c r="P408" s="36">
        <v>43844</v>
      </c>
      <c r="Q408" s="31">
        <v>28322.73</v>
      </c>
      <c r="R408" s="33">
        <f>+M408/Q408</f>
        <v>187.03518340216499</v>
      </c>
    </row>
    <row r="409" spans="1:18" ht="15" customHeight="1">
      <c r="A409" s="37" t="s">
        <v>52</v>
      </c>
      <c r="B409" s="26" t="s">
        <v>195</v>
      </c>
      <c r="C409" s="65" t="s">
        <v>837</v>
      </c>
      <c r="D409" s="51" t="s">
        <v>843</v>
      </c>
      <c r="E409" s="38" t="s">
        <v>4</v>
      </c>
      <c r="F409" s="38" t="s">
        <v>199</v>
      </c>
      <c r="G409" s="52">
        <v>1187466</v>
      </c>
      <c r="H409" s="52">
        <v>3488957</v>
      </c>
      <c r="I409" s="32">
        <v>0</v>
      </c>
      <c r="J409" s="53">
        <f>+G409-H409+I409</f>
        <v>-2301491</v>
      </c>
      <c r="K409" s="28">
        <v>0</v>
      </c>
      <c r="L409" s="32">
        <v>0</v>
      </c>
      <c r="M409" s="53">
        <f>+J409+L409</f>
        <v>-2301491</v>
      </c>
      <c r="N409" s="55" t="s">
        <v>200</v>
      </c>
      <c r="O409" s="29" t="s">
        <v>201</v>
      </c>
      <c r="P409" s="36">
        <v>44932</v>
      </c>
      <c r="Q409" s="49">
        <v>35178.67</v>
      </c>
      <c r="R409" s="33">
        <f>M409/Q409</f>
        <v>-65.422911099254179</v>
      </c>
    </row>
    <row r="410" spans="1:18" ht="15" customHeight="1">
      <c r="A410" s="37" t="s">
        <v>391</v>
      </c>
      <c r="B410" s="26" t="s">
        <v>392</v>
      </c>
      <c r="C410" s="39">
        <v>71</v>
      </c>
      <c r="D410" s="40" t="s">
        <v>844</v>
      </c>
      <c r="E410" s="38" t="s">
        <v>3</v>
      </c>
      <c r="F410" s="38" t="s">
        <v>11</v>
      </c>
      <c r="G410" s="32">
        <v>0</v>
      </c>
      <c r="H410" s="32">
        <v>0</v>
      </c>
      <c r="I410" s="32">
        <v>32252169</v>
      </c>
      <c r="J410" s="35">
        <f>+G410-H410+I410</f>
        <v>32252169</v>
      </c>
      <c r="K410" s="27"/>
      <c r="L410" s="32">
        <v>0</v>
      </c>
      <c r="M410" s="35">
        <f>+J410+L410</f>
        <v>32252169</v>
      </c>
      <c r="N410" s="28" t="s">
        <v>684</v>
      </c>
      <c r="O410" s="29" t="s">
        <v>395</v>
      </c>
      <c r="P410" s="36">
        <v>44293</v>
      </c>
      <c r="Q410" s="31">
        <v>29408.04</v>
      </c>
      <c r="R410" s="33">
        <f>M410/Q410</f>
        <v>1096.7126336879303</v>
      </c>
    </row>
    <row r="411" spans="1:18" ht="15" customHeight="1">
      <c r="A411" s="37" t="s">
        <v>52</v>
      </c>
      <c r="B411" s="26" t="s">
        <v>195</v>
      </c>
      <c r="C411" s="65" t="s">
        <v>845</v>
      </c>
      <c r="D411" s="51" t="s">
        <v>846</v>
      </c>
      <c r="E411" s="38" t="s">
        <v>4</v>
      </c>
      <c r="F411" s="38" t="s">
        <v>199</v>
      </c>
      <c r="G411" s="32">
        <v>0</v>
      </c>
      <c r="H411" s="32">
        <v>0</v>
      </c>
      <c r="I411" s="52">
        <v>12016804</v>
      </c>
      <c r="J411" s="53">
        <f>+G411-H411+I411</f>
        <v>12016804</v>
      </c>
      <c r="K411" s="28">
        <v>0</v>
      </c>
      <c r="L411" s="32">
        <v>0</v>
      </c>
      <c r="M411" s="53">
        <f>+J411+L411</f>
        <v>12016804</v>
      </c>
      <c r="N411" s="55" t="s">
        <v>200</v>
      </c>
      <c r="O411" s="29" t="s">
        <v>201</v>
      </c>
      <c r="P411" s="36">
        <v>44932</v>
      </c>
      <c r="Q411" s="49">
        <v>35178.67</v>
      </c>
      <c r="R411" s="33">
        <f>M411/Q411</f>
        <v>341.5934712710856</v>
      </c>
    </row>
    <row r="412" spans="1:18" ht="15" customHeight="1">
      <c r="A412" s="37" t="s">
        <v>52</v>
      </c>
      <c r="B412" s="26" t="s">
        <v>195</v>
      </c>
      <c r="C412" s="65" t="s">
        <v>847</v>
      </c>
      <c r="D412" s="51" t="s">
        <v>848</v>
      </c>
      <c r="E412" s="38" t="s">
        <v>4</v>
      </c>
      <c r="F412" s="38" t="s">
        <v>12</v>
      </c>
      <c r="G412" s="32">
        <v>0</v>
      </c>
      <c r="H412" s="32">
        <v>0</v>
      </c>
      <c r="I412" s="52">
        <v>20586114</v>
      </c>
      <c r="J412" s="53">
        <f>+G412-H412+I412</f>
        <v>20586114</v>
      </c>
      <c r="K412" s="28">
        <v>0</v>
      </c>
      <c r="L412" s="32">
        <v>0</v>
      </c>
      <c r="M412" s="53">
        <f>+J412+L412</f>
        <v>20586114</v>
      </c>
      <c r="N412" s="55" t="s">
        <v>200</v>
      </c>
      <c r="O412" s="29" t="s">
        <v>201</v>
      </c>
      <c r="P412" s="36">
        <v>44932</v>
      </c>
      <c r="Q412" s="49">
        <v>35178.67</v>
      </c>
      <c r="R412" s="33">
        <f>M412/Q412</f>
        <v>585.18738769828428</v>
      </c>
    </row>
    <row r="413" spans="1:18" ht="15" customHeight="1">
      <c r="A413" s="37" t="s">
        <v>52</v>
      </c>
      <c r="B413" s="26" t="s">
        <v>195</v>
      </c>
      <c r="C413" s="65" t="s">
        <v>849</v>
      </c>
      <c r="D413" s="51" t="s">
        <v>850</v>
      </c>
      <c r="E413" s="38" t="s">
        <v>3</v>
      </c>
      <c r="F413" s="38" t="s">
        <v>18</v>
      </c>
      <c r="G413" s="52">
        <v>598536</v>
      </c>
      <c r="H413" s="52"/>
      <c r="I413" s="52">
        <v>1447074</v>
      </c>
      <c r="J413" s="53">
        <f>+G413-H413+I413</f>
        <v>2045610</v>
      </c>
      <c r="K413" s="28">
        <v>0</v>
      </c>
      <c r="L413" s="32">
        <v>0</v>
      </c>
      <c r="M413" s="53">
        <f>+J413+L413</f>
        <v>2045610</v>
      </c>
      <c r="N413" s="55" t="s">
        <v>289</v>
      </c>
      <c r="O413" s="29" t="s">
        <v>290</v>
      </c>
      <c r="P413" s="36">
        <v>44764</v>
      </c>
      <c r="Q413" s="49">
        <v>33330.449999999997</v>
      </c>
      <c r="R413" s="33">
        <f>M413/Q413</f>
        <v>61.37360881716269</v>
      </c>
    </row>
    <row r="414" spans="1:18" ht="15" customHeight="1">
      <c r="A414" s="37" t="s">
        <v>52</v>
      </c>
      <c r="B414" s="26" t="s">
        <v>195</v>
      </c>
      <c r="C414" s="65" t="s">
        <v>851</v>
      </c>
      <c r="D414" s="51" t="s">
        <v>852</v>
      </c>
      <c r="E414" s="38" t="s">
        <v>3</v>
      </c>
      <c r="F414" s="38" t="s">
        <v>18</v>
      </c>
      <c r="G414" s="52"/>
      <c r="H414" s="52">
        <v>8479911</v>
      </c>
      <c r="I414" s="52">
        <v>161369148</v>
      </c>
      <c r="J414" s="53">
        <f>+G414-H414+I414</f>
        <v>152889237</v>
      </c>
      <c r="K414" s="28">
        <v>0</v>
      </c>
      <c r="L414" s="32">
        <v>0</v>
      </c>
      <c r="M414" s="53">
        <f>+J414+L414</f>
        <v>152889237</v>
      </c>
      <c r="N414" s="55" t="s">
        <v>289</v>
      </c>
      <c r="O414" s="29" t="s">
        <v>290</v>
      </c>
      <c r="P414" s="36">
        <v>44764</v>
      </c>
      <c r="Q414" s="49">
        <v>33330.449999999997</v>
      </c>
      <c r="R414" s="33">
        <f>M414/Q414</f>
        <v>4587.0738918916486</v>
      </c>
    </row>
    <row r="415" spans="1:18" ht="15" customHeight="1">
      <c r="A415" s="37" t="s">
        <v>52</v>
      </c>
      <c r="B415" s="26" t="s">
        <v>195</v>
      </c>
      <c r="C415" s="65" t="s">
        <v>853</v>
      </c>
      <c r="D415" s="51" t="s">
        <v>854</v>
      </c>
      <c r="E415" s="38" t="s">
        <v>3</v>
      </c>
      <c r="F415" s="38" t="s">
        <v>18</v>
      </c>
      <c r="G415" s="52">
        <v>9392826</v>
      </c>
      <c r="H415" s="52"/>
      <c r="I415" s="52">
        <v>2492262</v>
      </c>
      <c r="J415" s="53">
        <f>+G415-H415+I415</f>
        <v>11885088</v>
      </c>
      <c r="K415" s="28">
        <v>0</v>
      </c>
      <c r="L415" s="32">
        <v>0</v>
      </c>
      <c r="M415" s="53">
        <f>+J415+L415</f>
        <v>11885088</v>
      </c>
      <c r="N415" s="55" t="s">
        <v>289</v>
      </c>
      <c r="O415" s="29" t="s">
        <v>290</v>
      </c>
      <c r="P415" s="36">
        <v>44764</v>
      </c>
      <c r="Q415" s="49">
        <v>33330.449999999997</v>
      </c>
      <c r="R415" s="33">
        <f>M415/Q415</f>
        <v>356.58348447140679</v>
      </c>
    </row>
    <row r="416" spans="1:18" ht="15" customHeight="1">
      <c r="A416" s="37" t="s">
        <v>391</v>
      </c>
      <c r="B416" s="26" t="s">
        <v>392</v>
      </c>
      <c r="C416" s="39">
        <v>150</v>
      </c>
      <c r="D416" s="40" t="s">
        <v>855</v>
      </c>
      <c r="E416" s="38" t="s">
        <v>4</v>
      </c>
      <c r="F416" s="38" t="s">
        <v>10</v>
      </c>
      <c r="G416" s="32">
        <v>0</v>
      </c>
      <c r="H416" s="32">
        <v>2380631</v>
      </c>
      <c r="I416" s="32">
        <v>34059510</v>
      </c>
      <c r="J416" s="35">
        <f>+G416-H416+I416</f>
        <v>31678879</v>
      </c>
      <c r="K416" s="27"/>
      <c r="L416" s="32">
        <v>0</v>
      </c>
      <c r="M416" s="35">
        <f>+J416+L416</f>
        <v>31678879</v>
      </c>
      <c r="N416" s="28" t="s">
        <v>481</v>
      </c>
      <c r="O416" s="29" t="s">
        <v>482</v>
      </c>
      <c r="P416" s="36">
        <v>44130</v>
      </c>
      <c r="Q416" s="31">
        <v>28810.82</v>
      </c>
      <c r="R416" s="33">
        <f>M416/Q416</f>
        <v>1099.547982320531</v>
      </c>
    </row>
    <row r="417" spans="1:18" ht="15" customHeight="1">
      <c r="A417" s="37" t="s">
        <v>52</v>
      </c>
      <c r="B417" s="26" t="s">
        <v>195</v>
      </c>
      <c r="C417" s="65" t="s">
        <v>856</v>
      </c>
      <c r="D417" s="51" t="s">
        <v>857</v>
      </c>
      <c r="E417" s="38" t="s">
        <v>3</v>
      </c>
      <c r="F417" s="38" t="s">
        <v>12</v>
      </c>
      <c r="G417" s="52"/>
      <c r="H417" s="52"/>
      <c r="I417" s="52">
        <v>2024190</v>
      </c>
      <c r="J417" s="53">
        <f>+G417-H417+I417</f>
        <v>2024190</v>
      </c>
      <c r="K417" s="28">
        <v>0</v>
      </c>
      <c r="L417" s="32">
        <v>0</v>
      </c>
      <c r="M417" s="53">
        <f>+J417+L417</f>
        <v>2024190</v>
      </c>
      <c r="N417" s="55" t="s">
        <v>289</v>
      </c>
      <c r="O417" s="29" t="s">
        <v>290</v>
      </c>
      <c r="P417" s="36">
        <v>44764</v>
      </c>
      <c r="Q417" s="49">
        <v>33330.449999999997</v>
      </c>
      <c r="R417" s="33">
        <f>M417/Q417</f>
        <v>60.730953227454179</v>
      </c>
    </row>
    <row r="418" spans="1:18" ht="15" customHeight="1">
      <c r="A418" s="37" t="s">
        <v>52</v>
      </c>
      <c r="B418" s="26" t="s">
        <v>195</v>
      </c>
      <c r="C418" s="65" t="s">
        <v>858</v>
      </c>
      <c r="D418" s="51" t="s">
        <v>859</v>
      </c>
      <c r="E418" s="38" t="s">
        <v>3</v>
      </c>
      <c r="F418" s="38" t="s">
        <v>18</v>
      </c>
      <c r="G418" s="52"/>
      <c r="H418" s="52"/>
      <c r="I418" s="52">
        <v>2402201</v>
      </c>
      <c r="J418" s="53">
        <f>+G418-H418+I418</f>
        <v>2402201</v>
      </c>
      <c r="K418" s="28">
        <v>0</v>
      </c>
      <c r="L418" s="32">
        <v>0</v>
      </c>
      <c r="M418" s="53">
        <f>+J418+L418</f>
        <v>2402201</v>
      </c>
      <c r="N418" s="55" t="s">
        <v>289</v>
      </c>
      <c r="O418" s="29" t="s">
        <v>290</v>
      </c>
      <c r="P418" s="36">
        <v>44764</v>
      </c>
      <c r="Q418" s="49">
        <v>33330.449999999997</v>
      </c>
      <c r="R418" s="33">
        <f>M418/Q418</f>
        <v>72.0722642508577</v>
      </c>
    </row>
    <row r="419" spans="1:18" ht="15" customHeight="1">
      <c r="A419" s="37" t="s">
        <v>52</v>
      </c>
      <c r="B419" s="26" t="s">
        <v>195</v>
      </c>
      <c r="C419" s="65" t="s">
        <v>860</v>
      </c>
      <c r="D419" s="51" t="s">
        <v>861</v>
      </c>
      <c r="E419" s="38" t="s">
        <v>3</v>
      </c>
      <c r="F419" s="38" t="s">
        <v>18</v>
      </c>
      <c r="G419" s="52"/>
      <c r="H419" s="52">
        <v>54405572</v>
      </c>
      <c r="I419" s="52">
        <v>92935871</v>
      </c>
      <c r="J419" s="53">
        <f>+G419-H419+I419</f>
        <v>38530299</v>
      </c>
      <c r="K419" s="28">
        <v>0</v>
      </c>
      <c r="L419" s="32">
        <v>0</v>
      </c>
      <c r="M419" s="53">
        <f>+J419+L419</f>
        <v>38530299</v>
      </c>
      <c r="N419" s="55" t="s">
        <v>289</v>
      </c>
      <c r="O419" s="29" t="s">
        <v>290</v>
      </c>
      <c r="P419" s="36">
        <v>44764</v>
      </c>
      <c r="Q419" s="49">
        <v>33330.449999999997</v>
      </c>
      <c r="R419" s="33">
        <f>M419/Q419</f>
        <v>1156.0089647754533</v>
      </c>
    </row>
    <row r="420" spans="1:18" ht="15" customHeight="1">
      <c r="A420" s="37" t="s">
        <v>52</v>
      </c>
      <c r="B420" s="26" t="s">
        <v>53</v>
      </c>
      <c r="C420" s="39" t="s">
        <v>862</v>
      </c>
      <c r="D420" s="40" t="s">
        <v>863</v>
      </c>
      <c r="E420" s="38" t="s">
        <v>6</v>
      </c>
      <c r="F420" s="38" t="s">
        <v>11</v>
      </c>
      <c r="G420" s="32">
        <v>0</v>
      </c>
      <c r="H420" s="32">
        <v>0</v>
      </c>
      <c r="I420" s="32">
        <v>36684882.079999998</v>
      </c>
      <c r="J420" s="35">
        <f>+G420-H420+I420</f>
        <v>36684882.079999998</v>
      </c>
      <c r="K420" s="27">
        <v>60</v>
      </c>
      <c r="L420" s="32">
        <v>0</v>
      </c>
      <c r="M420" s="35">
        <f>+J420+L420</f>
        <v>36684882.079999998</v>
      </c>
      <c r="N420" s="28" t="s">
        <v>56</v>
      </c>
      <c r="O420" s="29" t="s">
        <v>57</v>
      </c>
      <c r="P420" s="36">
        <v>42884</v>
      </c>
      <c r="Q420" s="31">
        <v>26627.55</v>
      </c>
      <c r="R420" s="33">
        <f>M420/Q420</f>
        <v>1377.7039975514083</v>
      </c>
    </row>
    <row r="421" spans="1:18" ht="15" customHeight="1">
      <c r="A421" s="37" t="s">
        <v>52</v>
      </c>
      <c r="B421" s="26" t="s">
        <v>195</v>
      </c>
      <c r="C421" s="65" t="s">
        <v>864</v>
      </c>
      <c r="D421" s="51" t="s">
        <v>865</v>
      </c>
      <c r="E421" s="38" t="s">
        <v>3</v>
      </c>
      <c r="F421" s="38" t="s">
        <v>18</v>
      </c>
      <c r="G421" s="52">
        <v>33400778</v>
      </c>
      <c r="H421" s="52">
        <v>28922238</v>
      </c>
      <c r="I421" s="52">
        <v>23176616</v>
      </c>
      <c r="J421" s="53">
        <f>+G421-H421+I421</f>
        <v>27655156</v>
      </c>
      <c r="K421" s="28">
        <v>0</v>
      </c>
      <c r="L421" s="32">
        <v>0</v>
      </c>
      <c r="M421" s="53">
        <f>+J421+L421</f>
        <v>27655156</v>
      </c>
      <c r="N421" s="55" t="s">
        <v>289</v>
      </c>
      <c r="O421" s="29" t="s">
        <v>290</v>
      </c>
      <c r="P421" s="36">
        <v>44764</v>
      </c>
      <c r="Q421" s="49">
        <v>33330.449999999997</v>
      </c>
      <c r="R421" s="33">
        <f>M421/Q421</f>
        <v>829.72645133804076</v>
      </c>
    </row>
    <row r="422" spans="1:18" ht="15" customHeight="1">
      <c r="A422" s="37" t="s">
        <v>52</v>
      </c>
      <c r="B422" s="26" t="s">
        <v>195</v>
      </c>
      <c r="C422" s="65" t="s">
        <v>866</v>
      </c>
      <c r="D422" s="51" t="s">
        <v>867</v>
      </c>
      <c r="E422" s="38" t="s">
        <v>3</v>
      </c>
      <c r="F422" s="38" t="s">
        <v>12</v>
      </c>
      <c r="G422" s="52"/>
      <c r="H422" s="52"/>
      <c r="I422" s="52">
        <v>30584230</v>
      </c>
      <c r="J422" s="53">
        <f>+G422-H422+I422</f>
        <v>30584230</v>
      </c>
      <c r="K422" s="28">
        <v>0</v>
      </c>
      <c r="L422" s="32">
        <v>0</v>
      </c>
      <c r="M422" s="53">
        <f>+J422+L422</f>
        <v>30584230</v>
      </c>
      <c r="N422" s="55" t="s">
        <v>289</v>
      </c>
      <c r="O422" s="29" t="s">
        <v>290</v>
      </c>
      <c r="P422" s="36">
        <v>44764</v>
      </c>
      <c r="Q422" s="49">
        <v>33330.449999999997</v>
      </c>
      <c r="R422" s="33">
        <f>M422/Q422</f>
        <v>917.60627294260962</v>
      </c>
    </row>
    <row r="423" spans="1:18" ht="15" customHeight="1">
      <c r="A423" s="37" t="s">
        <v>52</v>
      </c>
      <c r="B423" s="26" t="s">
        <v>262</v>
      </c>
      <c r="C423" s="39" t="s">
        <v>868</v>
      </c>
      <c r="D423" s="40" t="s">
        <v>869</v>
      </c>
      <c r="E423" s="38" t="s">
        <v>4</v>
      </c>
      <c r="F423" s="38" t="s">
        <v>20</v>
      </c>
      <c r="G423" s="32">
        <v>0</v>
      </c>
      <c r="H423" s="32">
        <v>133835457</v>
      </c>
      <c r="I423" s="52">
        <v>0</v>
      </c>
      <c r="J423" s="35">
        <f>+G423-H423+I423</f>
        <v>-133835457</v>
      </c>
      <c r="K423" s="28">
        <v>0</v>
      </c>
      <c r="L423" s="32">
        <v>0</v>
      </c>
      <c r="M423" s="35">
        <f>+J423+L423</f>
        <v>-133835457</v>
      </c>
      <c r="N423" s="55" t="s">
        <v>757</v>
      </c>
      <c r="O423" s="56" t="s">
        <v>769</v>
      </c>
      <c r="P423" s="56">
        <v>43313</v>
      </c>
      <c r="Q423" s="49">
        <v>26805.05</v>
      </c>
      <c r="R423" s="57">
        <f>M423/Q423</f>
        <v>-4992.9195058393852</v>
      </c>
    </row>
    <row r="424" spans="1:18" ht="15" customHeight="1">
      <c r="A424" s="37" t="s">
        <v>52</v>
      </c>
      <c r="B424" s="26" t="s">
        <v>195</v>
      </c>
      <c r="C424" s="65" t="s">
        <v>868</v>
      </c>
      <c r="D424" s="51" t="s">
        <v>870</v>
      </c>
      <c r="E424" s="38" t="s">
        <v>3</v>
      </c>
      <c r="F424" s="38" t="s">
        <v>18</v>
      </c>
      <c r="G424" s="52">
        <v>2756671</v>
      </c>
      <c r="H424" s="52">
        <v>0</v>
      </c>
      <c r="I424" s="52">
        <v>83514181</v>
      </c>
      <c r="J424" s="53">
        <f>+G424-H424+I424</f>
        <v>86270852</v>
      </c>
      <c r="K424" s="28">
        <v>0</v>
      </c>
      <c r="L424" s="32">
        <v>0</v>
      </c>
      <c r="M424" s="53">
        <f>+J424+L424</f>
        <v>86270852</v>
      </c>
      <c r="N424" s="55" t="s">
        <v>385</v>
      </c>
      <c r="O424" s="29" t="s">
        <v>386</v>
      </c>
      <c r="P424" s="36">
        <v>44727</v>
      </c>
      <c r="Q424" s="49">
        <v>33086.83</v>
      </c>
      <c r="R424" s="33">
        <f>M424/Q424</f>
        <v>2607.4075999423335</v>
      </c>
    </row>
    <row r="425" spans="1:18" ht="15" customHeight="1">
      <c r="A425" s="46" t="s">
        <v>189</v>
      </c>
      <c r="B425" s="26" t="s">
        <v>190</v>
      </c>
      <c r="C425" s="65" t="s">
        <v>871</v>
      </c>
      <c r="D425" s="51" t="s">
        <v>872</v>
      </c>
      <c r="E425" s="38" t="s">
        <v>3</v>
      </c>
      <c r="F425" s="48" t="s">
        <v>10</v>
      </c>
      <c r="G425" s="52">
        <v>4840515</v>
      </c>
      <c r="H425" s="52"/>
      <c r="I425" s="52">
        <v>8854300</v>
      </c>
      <c r="J425" s="53">
        <f>+G425-H425+I425</f>
        <v>13694815</v>
      </c>
      <c r="K425" s="70">
        <v>0</v>
      </c>
      <c r="L425" s="52">
        <v>0</v>
      </c>
      <c r="M425" s="53">
        <f>+J425+L425</f>
        <v>13694815</v>
      </c>
      <c r="N425" s="55" t="s">
        <v>794</v>
      </c>
      <c r="O425" s="56" t="s">
        <v>795</v>
      </c>
      <c r="P425" s="56">
        <v>44699</v>
      </c>
      <c r="Q425" s="49">
        <v>32489.56</v>
      </c>
      <c r="R425" s="57">
        <f>M425/Q425</f>
        <v>421.51432644824985</v>
      </c>
    </row>
    <row r="426" spans="1:18" ht="15" customHeight="1">
      <c r="A426" s="37" t="s">
        <v>52</v>
      </c>
      <c r="B426" s="26" t="s">
        <v>195</v>
      </c>
      <c r="C426" s="65" t="s">
        <v>871</v>
      </c>
      <c r="D426" s="51" t="s">
        <v>873</v>
      </c>
      <c r="E426" s="38" t="s">
        <v>4</v>
      </c>
      <c r="F426" s="38" t="s">
        <v>199</v>
      </c>
      <c r="G426" s="32">
        <v>0</v>
      </c>
      <c r="H426" s="32">
        <v>0</v>
      </c>
      <c r="I426" s="52">
        <v>1456367</v>
      </c>
      <c r="J426" s="53">
        <f>+G426-H426+I426</f>
        <v>1456367</v>
      </c>
      <c r="K426" s="28">
        <v>0</v>
      </c>
      <c r="L426" s="32">
        <v>0</v>
      </c>
      <c r="M426" s="53">
        <f>+J426+L426</f>
        <v>1456367</v>
      </c>
      <c r="N426" s="55" t="s">
        <v>200</v>
      </c>
      <c r="O426" s="29" t="s">
        <v>201</v>
      </c>
      <c r="P426" s="36">
        <v>44932</v>
      </c>
      <c r="Q426" s="49">
        <v>35178.67</v>
      </c>
      <c r="R426" s="33">
        <f>M426/Q426</f>
        <v>41.399148972942982</v>
      </c>
    </row>
    <row r="427" spans="1:18" ht="15" customHeight="1">
      <c r="A427" s="37" t="s">
        <v>874</v>
      </c>
      <c r="B427" s="26" t="s">
        <v>875</v>
      </c>
      <c r="C427" s="39">
        <v>144</v>
      </c>
      <c r="D427" s="40" t="s">
        <v>876</v>
      </c>
      <c r="E427" s="38" t="s">
        <v>3</v>
      </c>
      <c r="F427" s="38" t="s">
        <v>12</v>
      </c>
      <c r="G427" s="32">
        <v>0</v>
      </c>
      <c r="H427" s="32">
        <v>0</v>
      </c>
      <c r="I427" s="32">
        <v>43007736</v>
      </c>
      <c r="J427" s="35">
        <f>+G427-H427+I427</f>
        <v>43007736</v>
      </c>
      <c r="K427" s="27">
        <v>120</v>
      </c>
      <c r="L427" s="32">
        <v>0</v>
      </c>
      <c r="M427" s="35">
        <f>+J427+L427</f>
        <v>43007736</v>
      </c>
      <c r="N427" s="28" t="s">
        <v>877</v>
      </c>
      <c r="O427" s="29" t="s">
        <v>878</v>
      </c>
      <c r="P427" s="36">
        <v>44902</v>
      </c>
      <c r="Q427" s="31">
        <v>34852.33</v>
      </c>
      <c r="R427" s="33">
        <f>M427/Q427</f>
        <v>1233.9988746806885</v>
      </c>
    </row>
    <row r="428" spans="1:18" ht="15" customHeight="1">
      <c r="A428" s="37" t="s">
        <v>293</v>
      </c>
      <c r="B428" s="26" t="s">
        <v>294</v>
      </c>
      <c r="C428" s="39">
        <v>536</v>
      </c>
      <c r="D428" s="40" t="s">
        <v>879</v>
      </c>
      <c r="E428" s="38" t="s">
        <v>3</v>
      </c>
      <c r="F428" s="38" t="s">
        <v>296</v>
      </c>
      <c r="G428" s="32">
        <v>0</v>
      </c>
      <c r="H428" s="32">
        <v>51720254</v>
      </c>
      <c r="I428" s="32">
        <v>45043508</v>
      </c>
      <c r="J428" s="35">
        <f>+G428-H428+I428</f>
        <v>-6676746</v>
      </c>
      <c r="K428" s="27" t="s">
        <v>401</v>
      </c>
      <c r="L428" s="32">
        <v>0</v>
      </c>
      <c r="M428" s="35">
        <f>+J428+L428</f>
        <v>-6676746</v>
      </c>
      <c r="N428" s="55" t="s">
        <v>402</v>
      </c>
      <c r="O428" s="56" t="s">
        <v>403</v>
      </c>
      <c r="P428" s="56">
        <v>44524</v>
      </c>
      <c r="Q428" s="49">
        <v>30683.439999999999</v>
      </c>
      <c r="R428" s="57">
        <f>+M428/Q428</f>
        <v>-217.60095999666271</v>
      </c>
    </row>
    <row r="429" spans="1:18" ht="15" customHeight="1">
      <c r="A429" s="46" t="s">
        <v>189</v>
      </c>
      <c r="B429" s="26" t="s">
        <v>190</v>
      </c>
      <c r="C429" s="65" t="s">
        <v>880</v>
      </c>
      <c r="D429" s="51" t="s">
        <v>881</v>
      </c>
      <c r="E429" s="48" t="s">
        <v>6</v>
      </c>
      <c r="F429" s="48" t="s">
        <v>11</v>
      </c>
      <c r="G429" s="52">
        <v>8084736</v>
      </c>
      <c r="H429" s="52"/>
      <c r="I429" s="52">
        <v>8578724</v>
      </c>
      <c r="J429" s="53">
        <f>+G429-H429+I429</f>
        <v>16663460</v>
      </c>
      <c r="K429" s="70">
        <v>0</v>
      </c>
      <c r="L429" s="52">
        <v>0</v>
      </c>
      <c r="M429" s="53">
        <f>+J429+L429</f>
        <v>16663460</v>
      </c>
      <c r="N429" s="55" t="s">
        <v>389</v>
      </c>
      <c r="O429" s="56" t="s">
        <v>390</v>
      </c>
      <c r="P429" s="56">
        <v>44734</v>
      </c>
      <c r="Q429" s="49">
        <v>32981.75</v>
      </c>
      <c r="R429" s="57">
        <f>M429/Q429</f>
        <v>505.23274234993596</v>
      </c>
    </row>
    <row r="430" spans="1:18" ht="15" customHeight="1">
      <c r="A430" s="37" t="s">
        <v>52</v>
      </c>
      <c r="B430" s="26" t="s">
        <v>195</v>
      </c>
      <c r="C430" s="65" t="s">
        <v>880</v>
      </c>
      <c r="D430" s="51" t="s">
        <v>882</v>
      </c>
      <c r="E430" s="38" t="s">
        <v>4</v>
      </c>
      <c r="F430" s="38" t="s">
        <v>199</v>
      </c>
      <c r="G430" s="52">
        <v>5559054</v>
      </c>
      <c r="H430" s="52">
        <v>2835136</v>
      </c>
      <c r="I430" s="32">
        <v>0</v>
      </c>
      <c r="J430" s="53">
        <f>+G430-H430+I430</f>
        <v>2723918</v>
      </c>
      <c r="K430" s="28">
        <v>0</v>
      </c>
      <c r="L430" s="32">
        <v>0</v>
      </c>
      <c r="M430" s="53">
        <f>+J430+L430</f>
        <v>2723918</v>
      </c>
      <c r="N430" s="55" t="s">
        <v>200</v>
      </c>
      <c r="O430" s="29" t="s">
        <v>201</v>
      </c>
      <c r="P430" s="36">
        <v>44932</v>
      </c>
      <c r="Q430" s="49">
        <v>35178.67</v>
      </c>
      <c r="R430" s="33">
        <f>M430/Q430</f>
        <v>77.430954609710952</v>
      </c>
    </row>
    <row r="431" spans="1:18" ht="15" customHeight="1">
      <c r="A431" s="46" t="s">
        <v>189</v>
      </c>
      <c r="B431" s="26" t="s">
        <v>190</v>
      </c>
      <c r="C431" s="65" t="s">
        <v>883</v>
      </c>
      <c r="D431" s="51" t="s">
        <v>884</v>
      </c>
      <c r="E431" s="48" t="s">
        <v>6</v>
      </c>
      <c r="F431" s="38" t="s">
        <v>18</v>
      </c>
      <c r="G431" s="52">
        <v>3899626</v>
      </c>
      <c r="H431" s="52"/>
      <c r="I431" s="52">
        <v>3205145</v>
      </c>
      <c r="J431" s="53">
        <f>+G431-H431+I431</f>
        <v>7104771</v>
      </c>
      <c r="K431" s="70">
        <v>0</v>
      </c>
      <c r="L431" s="52">
        <v>0</v>
      </c>
      <c r="M431" s="53">
        <f>+J431+L431</f>
        <v>7104771</v>
      </c>
      <c r="N431" s="55" t="s">
        <v>794</v>
      </c>
      <c r="O431" s="56" t="s">
        <v>795</v>
      </c>
      <c r="P431" s="56">
        <v>44699</v>
      </c>
      <c r="Q431" s="49">
        <v>32489.56</v>
      </c>
      <c r="R431" s="57">
        <f>M431/Q431</f>
        <v>218.6785847515325</v>
      </c>
    </row>
    <row r="432" spans="1:18" ht="15" customHeight="1">
      <c r="A432" s="37" t="s">
        <v>293</v>
      </c>
      <c r="B432" s="26" t="s">
        <v>294</v>
      </c>
      <c r="C432" s="39">
        <v>603</v>
      </c>
      <c r="D432" s="40" t="s">
        <v>885</v>
      </c>
      <c r="E432" s="38" t="s">
        <v>3</v>
      </c>
      <c r="F432" s="38" t="s">
        <v>13</v>
      </c>
      <c r="G432" s="32">
        <v>0</v>
      </c>
      <c r="H432" s="32">
        <v>3793757</v>
      </c>
      <c r="I432" s="32">
        <v>46136837</v>
      </c>
      <c r="J432" s="35">
        <f>+G432-H432+I432</f>
        <v>42343080</v>
      </c>
      <c r="K432" s="27" t="s">
        <v>401</v>
      </c>
      <c r="L432" s="32">
        <v>0</v>
      </c>
      <c r="M432" s="35">
        <f>+J432+L432</f>
        <v>42343080</v>
      </c>
      <c r="N432" s="55" t="s">
        <v>402</v>
      </c>
      <c r="O432" s="56" t="s">
        <v>403</v>
      </c>
      <c r="P432" s="56">
        <v>44524</v>
      </c>
      <c r="Q432" s="49">
        <v>30683.439999999999</v>
      </c>
      <c r="R432" s="57">
        <f>+M432/Q432</f>
        <v>1379.9978098935453</v>
      </c>
    </row>
    <row r="433" spans="1:18" ht="15" customHeight="1">
      <c r="A433" s="37" t="s">
        <v>52</v>
      </c>
      <c r="B433" s="26" t="s">
        <v>195</v>
      </c>
      <c r="C433" s="65" t="s">
        <v>886</v>
      </c>
      <c r="D433" s="51" t="s">
        <v>887</v>
      </c>
      <c r="E433" s="38" t="s">
        <v>4</v>
      </c>
      <c r="F433" s="38" t="s">
        <v>199</v>
      </c>
      <c r="G433" s="32">
        <v>0</v>
      </c>
      <c r="H433" s="52">
        <v>32377205</v>
      </c>
      <c r="I433" s="52">
        <v>56003392</v>
      </c>
      <c r="J433" s="53">
        <f>+G433-H433+I433</f>
        <v>23626187</v>
      </c>
      <c r="K433" s="28">
        <v>0</v>
      </c>
      <c r="L433" s="32">
        <v>0</v>
      </c>
      <c r="M433" s="53">
        <f>+J433+L433</f>
        <v>23626187</v>
      </c>
      <c r="N433" s="55" t="s">
        <v>200</v>
      </c>
      <c r="O433" s="29" t="s">
        <v>201</v>
      </c>
      <c r="P433" s="36">
        <v>44932</v>
      </c>
      <c r="Q433" s="49">
        <v>35178.67</v>
      </c>
      <c r="R433" s="33">
        <f>M433/Q433</f>
        <v>671.60546433392733</v>
      </c>
    </row>
    <row r="434" spans="1:18" ht="15" customHeight="1">
      <c r="A434" s="37" t="s">
        <v>52</v>
      </c>
      <c r="B434" s="26" t="s">
        <v>195</v>
      </c>
      <c r="C434" s="65" t="s">
        <v>888</v>
      </c>
      <c r="D434" s="51" t="s">
        <v>889</v>
      </c>
      <c r="E434" s="38" t="s">
        <v>4</v>
      </c>
      <c r="F434" s="38" t="s">
        <v>15</v>
      </c>
      <c r="G434" s="52">
        <v>180145</v>
      </c>
      <c r="H434" s="32">
        <v>0</v>
      </c>
      <c r="I434" s="32">
        <v>0</v>
      </c>
      <c r="J434" s="53">
        <f>+G434-H434+I434</f>
        <v>180145</v>
      </c>
      <c r="K434" s="28">
        <v>0</v>
      </c>
      <c r="L434" s="32">
        <v>0</v>
      </c>
      <c r="M434" s="53">
        <f>+J434+L434</f>
        <v>180145</v>
      </c>
      <c r="N434" s="55" t="s">
        <v>200</v>
      </c>
      <c r="O434" s="29" t="s">
        <v>201</v>
      </c>
      <c r="P434" s="36">
        <v>44932</v>
      </c>
      <c r="Q434" s="49">
        <v>35178.67</v>
      </c>
      <c r="R434" s="33">
        <f>M434/Q434</f>
        <v>5.1208587476445242</v>
      </c>
    </row>
    <row r="435" spans="1:18" ht="15" customHeight="1">
      <c r="A435" s="46" t="s">
        <v>189</v>
      </c>
      <c r="B435" s="26" t="s">
        <v>190</v>
      </c>
      <c r="C435" s="65" t="s">
        <v>890</v>
      </c>
      <c r="D435" s="51" t="s">
        <v>891</v>
      </c>
      <c r="E435" s="38" t="s">
        <v>3</v>
      </c>
      <c r="F435" s="48" t="s">
        <v>10</v>
      </c>
      <c r="G435" s="52">
        <v>7001910</v>
      </c>
      <c r="H435" s="52"/>
      <c r="I435" s="52">
        <v>6640314</v>
      </c>
      <c r="J435" s="53">
        <f>+G435-H435+I435</f>
        <v>13642224</v>
      </c>
      <c r="K435" s="70">
        <v>0</v>
      </c>
      <c r="L435" s="52">
        <v>0</v>
      </c>
      <c r="M435" s="53">
        <f>+J435+L435</f>
        <v>13642224</v>
      </c>
      <c r="N435" s="55" t="s">
        <v>794</v>
      </c>
      <c r="O435" s="56" t="s">
        <v>795</v>
      </c>
      <c r="P435" s="56">
        <v>44699</v>
      </c>
      <c r="Q435" s="49">
        <v>32489.56</v>
      </c>
      <c r="R435" s="57">
        <f>M435/Q435</f>
        <v>419.89562185514359</v>
      </c>
    </row>
    <row r="436" spans="1:18" ht="15" customHeight="1">
      <c r="A436" s="46" t="s">
        <v>189</v>
      </c>
      <c r="B436" s="26" t="s">
        <v>190</v>
      </c>
      <c r="C436" s="65" t="s">
        <v>892</v>
      </c>
      <c r="D436" s="51" t="s">
        <v>893</v>
      </c>
      <c r="E436" s="48" t="s">
        <v>6</v>
      </c>
      <c r="F436" s="48" t="s">
        <v>11</v>
      </c>
      <c r="G436" s="52">
        <v>6691694</v>
      </c>
      <c r="H436" s="52"/>
      <c r="I436" s="52">
        <v>13012109</v>
      </c>
      <c r="J436" s="53">
        <f>+G436-H436+I436</f>
        <v>19703803</v>
      </c>
      <c r="K436" s="70">
        <v>0</v>
      </c>
      <c r="L436" s="52">
        <v>0</v>
      </c>
      <c r="M436" s="53">
        <f>+J436+L436</f>
        <v>19703803</v>
      </c>
      <c r="N436" s="55" t="s">
        <v>389</v>
      </c>
      <c r="O436" s="56" t="s">
        <v>390</v>
      </c>
      <c r="P436" s="56">
        <v>44734</v>
      </c>
      <c r="Q436" s="49">
        <v>32981.75</v>
      </c>
      <c r="R436" s="57">
        <f>M436/Q436</f>
        <v>597.41532817391442</v>
      </c>
    </row>
    <row r="437" spans="1:18" ht="15" customHeight="1">
      <c r="A437" s="37" t="s">
        <v>52</v>
      </c>
      <c r="B437" s="26" t="s">
        <v>195</v>
      </c>
      <c r="C437" s="65" t="s">
        <v>892</v>
      </c>
      <c r="D437" s="51" t="s">
        <v>894</v>
      </c>
      <c r="E437" s="38" t="s">
        <v>4</v>
      </c>
      <c r="F437" s="38" t="s">
        <v>15</v>
      </c>
      <c r="G437" s="32">
        <v>0</v>
      </c>
      <c r="H437" s="32">
        <v>0</v>
      </c>
      <c r="I437" s="52">
        <v>3772493</v>
      </c>
      <c r="J437" s="53">
        <f>+G437-H437+I437</f>
        <v>3772493</v>
      </c>
      <c r="K437" s="28">
        <v>0</v>
      </c>
      <c r="L437" s="32">
        <v>0</v>
      </c>
      <c r="M437" s="53">
        <f>+J437+L437</f>
        <v>3772493</v>
      </c>
      <c r="N437" s="55" t="s">
        <v>200</v>
      </c>
      <c r="O437" s="29" t="s">
        <v>201</v>
      </c>
      <c r="P437" s="36">
        <v>44932</v>
      </c>
      <c r="Q437" s="49">
        <v>35178.67</v>
      </c>
      <c r="R437" s="33">
        <f>M437/Q437</f>
        <v>107.23807921106739</v>
      </c>
    </row>
    <row r="438" spans="1:18" ht="15" customHeight="1">
      <c r="A438" s="37" t="s">
        <v>166</v>
      </c>
      <c r="B438" s="26" t="s">
        <v>167</v>
      </c>
      <c r="C438" s="39" t="s">
        <v>895</v>
      </c>
      <c r="D438" s="40" t="s">
        <v>896</v>
      </c>
      <c r="E438" s="38" t="s">
        <v>3</v>
      </c>
      <c r="F438" s="38" t="s">
        <v>10</v>
      </c>
      <c r="G438" s="32">
        <v>0</v>
      </c>
      <c r="H438" s="32">
        <v>55053207</v>
      </c>
      <c r="I438" s="32">
        <v>52791730</v>
      </c>
      <c r="J438" s="35">
        <f>+G438-H438+I438</f>
        <v>-2261477</v>
      </c>
      <c r="K438" s="27" t="s">
        <v>170</v>
      </c>
      <c r="L438" s="32">
        <v>0</v>
      </c>
      <c r="M438" s="35">
        <f>+J438+L438</f>
        <v>-2261477</v>
      </c>
      <c r="N438" s="28" t="s">
        <v>171</v>
      </c>
      <c r="O438" s="29" t="s">
        <v>172</v>
      </c>
      <c r="P438" s="36">
        <v>44341</v>
      </c>
      <c r="Q438" s="31">
        <v>29513.759999999998</v>
      </c>
      <c r="R438" s="33">
        <v>-77</v>
      </c>
    </row>
    <row r="439" spans="1:18" ht="15" customHeight="1">
      <c r="A439" s="46" t="s">
        <v>189</v>
      </c>
      <c r="B439" s="26" t="s">
        <v>190</v>
      </c>
      <c r="C439" s="65" t="s">
        <v>897</v>
      </c>
      <c r="D439" s="51" t="s">
        <v>898</v>
      </c>
      <c r="E439" s="38" t="s">
        <v>3</v>
      </c>
      <c r="F439" s="38" t="s">
        <v>13</v>
      </c>
      <c r="G439" s="52">
        <v>2412317</v>
      </c>
      <c r="H439" s="52">
        <v>2497119</v>
      </c>
      <c r="I439" s="52">
        <v>0</v>
      </c>
      <c r="J439" s="53">
        <f>+G439-H439+I439</f>
        <v>-84802</v>
      </c>
      <c r="K439" s="70">
        <v>0</v>
      </c>
      <c r="L439" s="52">
        <v>0</v>
      </c>
      <c r="M439" s="53">
        <f>+J439+L439</f>
        <v>-84802</v>
      </c>
      <c r="N439" s="55" t="s">
        <v>389</v>
      </c>
      <c r="O439" s="56" t="s">
        <v>390</v>
      </c>
      <c r="P439" s="56">
        <v>44734</v>
      </c>
      <c r="Q439" s="49">
        <v>32981.75</v>
      </c>
      <c r="R439" s="57">
        <f>M439/Q439</f>
        <v>-2.571179515944424</v>
      </c>
    </row>
    <row r="440" spans="1:18" ht="15" customHeight="1">
      <c r="A440" s="37" t="s">
        <v>52</v>
      </c>
      <c r="B440" s="26" t="s">
        <v>195</v>
      </c>
      <c r="C440" s="65" t="s">
        <v>897</v>
      </c>
      <c r="D440" s="51" t="s">
        <v>899</v>
      </c>
      <c r="E440" s="38" t="s">
        <v>4</v>
      </c>
      <c r="F440" s="38" t="s">
        <v>199</v>
      </c>
      <c r="G440" s="32">
        <v>0</v>
      </c>
      <c r="H440" s="32">
        <v>0</v>
      </c>
      <c r="I440" s="52">
        <v>3111510</v>
      </c>
      <c r="J440" s="53">
        <f>+G440-H440+I440</f>
        <v>3111510</v>
      </c>
      <c r="K440" s="28">
        <v>0</v>
      </c>
      <c r="L440" s="32">
        <v>0</v>
      </c>
      <c r="M440" s="53">
        <f>+J440+L440</f>
        <v>3111510</v>
      </c>
      <c r="N440" s="55" t="s">
        <v>200</v>
      </c>
      <c r="O440" s="29" t="s">
        <v>201</v>
      </c>
      <c r="P440" s="36">
        <v>44932</v>
      </c>
      <c r="Q440" s="49">
        <v>35178.67</v>
      </c>
      <c r="R440" s="33">
        <f>M440/Q440</f>
        <v>88.4487673922863</v>
      </c>
    </row>
    <row r="441" spans="1:18" ht="15" customHeight="1">
      <c r="A441" s="46" t="s">
        <v>189</v>
      </c>
      <c r="B441" s="26" t="s">
        <v>190</v>
      </c>
      <c r="C441" s="65" t="s">
        <v>900</v>
      </c>
      <c r="D441" s="51" t="s">
        <v>901</v>
      </c>
      <c r="E441" s="38" t="s">
        <v>3</v>
      </c>
      <c r="F441" s="38" t="s">
        <v>18</v>
      </c>
      <c r="G441" s="52">
        <v>4055990</v>
      </c>
      <c r="H441" s="52"/>
      <c r="I441" s="52">
        <v>2876727</v>
      </c>
      <c r="J441" s="53">
        <f>+G441-H441+I441</f>
        <v>6932717</v>
      </c>
      <c r="K441" s="70">
        <v>0</v>
      </c>
      <c r="L441" s="52">
        <v>0</v>
      </c>
      <c r="M441" s="53">
        <f>+J441+L441</f>
        <v>6932717</v>
      </c>
      <c r="N441" s="55" t="s">
        <v>902</v>
      </c>
      <c r="O441" s="56" t="s">
        <v>903</v>
      </c>
      <c r="P441" s="56">
        <v>44560</v>
      </c>
      <c r="Q441" s="49">
        <v>30986.76</v>
      </c>
      <c r="R441" s="57">
        <f>M441/Q441</f>
        <v>223.73158729728439</v>
      </c>
    </row>
    <row r="442" spans="1:18" ht="15" customHeight="1">
      <c r="A442" s="37" t="s">
        <v>189</v>
      </c>
      <c r="B442" s="26" t="s">
        <v>190</v>
      </c>
      <c r="C442" s="39" t="s">
        <v>904</v>
      </c>
      <c r="D442" s="40" t="s">
        <v>905</v>
      </c>
      <c r="E442" s="38" t="s">
        <v>3</v>
      </c>
      <c r="F442" s="38" t="s">
        <v>10</v>
      </c>
      <c r="G442" s="32">
        <v>1500518</v>
      </c>
      <c r="H442" s="32">
        <v>0</v>
      </c>
      <c r="I442" s="52">
        <v>0</v>
      </c>
      <c r="J442" s="35">
        <f>+G442-H442+I442</f>
        <v>1500518</v>
      </c>
      <c r="K442" s="28">
        <v>0</v>
      </c>
      <c r="L442" s="32">
        <v>0</v>
      </c>
      <c r="M442" s="35">
        <f>+J442+L442</f>
        <v>1500518</v>
      </c>
      <c r="N442" s="28" t="s">
        <v>749</v>
      </c>
      <c r="O442" s="29" t="s">
        <v>750</v>
      </c>
      <c r="P442" s="36">
        <v>43524</v>
      </c>
      <c r="Q442" s="31">
        <v>27556.9</v>
      </c>
      <c r="R442" s="33">
        <f>M442/Q442</f>
        <v>54.451625545689097</v>
      </c>
    </row>
    <row r="443" spans="1:18" ht="15" customHeight="1">
      <c r="A443" s="37" t="s">
        <v>52</v>
      </c>
      <c r="B443" s="26" t="s">
        <v>195</v>
      </c>
      <c r="C443" s="65" t="s">
        <v>906</v>
      </c>
      <c r="D443" s="51" t="s">
        <v>907</v>
      </c>
      <c r="E443" s="38" t="s">
        <v>198</v>
      </c>
      <c r="F443" s="38" t="s">
        <v>199</v>
      </c>
      <c r="G443" s="32">
        <v>0</v>
      </c>
      <c r="H443" s="32">
        <v>0</v>
      </c>
      <c r="I443" s="52">
        <v>5163934</v>
      </c>
      <c r="J443" s="53">
        <f>+G443-H443+I443</f>
        <v>5163934</v>
      </c>
      <c r="K443" s="28">
        <v>0</v>
      </c>
      <c r="L443" s="32">
        <v>0</v>
      </c>
      <c r="M443" s="53">
        <f>+J443+L443</f>
        <v>5163934</v>
      </c>
      <c r="N443" s="55" t="s">
        <v>200</v>
      </c>
      <c r="O443" s="29" t="s">
        <v>201</v>
      </c>
      <c r="P443" s="36">
        <v>44932</v>
      </c>
      <c r="Q443" s="49">
        <v>35178.67</v>
      </c>
      <c r="R443" s="33">
        <f>M443/Q443</f>
        <v>146.7916211727163</v>
      </c>
    </row>
    <row r="444" spans="1:18" ht="15" customHeight="1">
      <c r="A444" s="46" t="s">
        <v>189</v>
      </c>
      <c r="B444" s="26" t="s">
        <v>190</v>
      </c>
      <c r="C444" s="65" t="s">
        <v>908</v>
      </c>
      <c r="D444" s="51" t="s">
        <v>909</v>
      </c>
      <c r="E444" s="48" t="s">
        <v>6</v>
      </c>
      <c r="F444" s="38" t="s">
        <v>13</v>
      </c>
      <c r="G444" s="52">
        <v>65120</v>
      </c>
      <c r="H444" s="52"/>
      <c r="I444" s="52">
        <v>900964</v>
      </c>
      <c r="J444" s="53">
        <f>+G444-H444+I444</f>
        <v>966084</v>
      </c>
      <c r="K444" s="70">
        <v>0</v>
      </c>
      <c r="L444" s="52">
        <v>0</v>
      </c>
      <c r="M444" s="53">
        <f>+J444+L444</f>
        <v>966084</v>
      </c>
      <c r="N444" s="55" t="s">
        <v>389</v>
      </c>
      <c r="O444" s="56" t="s">
        <v>390</v>
      </c>
      <c r="P444" s="56">
        <v>44734</v>
      </c>
      <c r="Q444" s="49">
        <v>32981.75</v>
      </c>
      <c r="R444" s="57">
        <f>M444/Q444</f>
        <v>29.291471798797819</v>
      </c>
    </row>
    <row r="445" spans="1:18" ht="15" customHeight="1">
      <c r="A445" s="37" t="s">
        <v>52</v>
      </c>
      <c r="B445" s="26" t="s">
        <v>195</v>
      </c>
      <c r="C445" s="65" t="s">
        <v>908</v>
      </c>
      <c r="D445" s="51" t="s">
        <v>910</v>
      </c>
      <c r="E445" s="38" t="s">
        <v>4</v>
      </c>
      <c r="F445" s="38" t="s">
        <v>199</v>
      </c>
      <c r="G445" s="32">
        <v>0</v>
      </c>
      <c r="H445" s="32">
        <v>0</v>
      </c>
      <c r="I445" s="52">
        <v>8221217</v>
      </c>
      <c r="J445" s="53">
        <f>+G445-H445+I445</f>
        <v>8221217</v>
      </c>
      <c r="K445" s="28">
        <v>0</v>
      </c>
      <c r="L445" s="32">
        <v>0</v>
      </c>
      <c r="M445" s="53">
        <f>+J445+L445</f>
        <v>8221217</v>
      </c>
      <c r="N445" s="55" t="s">
        <v>200</v>
      </c>
      <c r="O445" s="29" t="s">
        <v>201</v>
      </c>
      <c r="P445" s="36">
        <v>44932</v>
      </c>
      <c r="Q445" s="49">
        <v>35178.67</v>
      </c>
      <c r="R445" s="33">
        <f>M445/Q445</f>
        <v>233.69891471167045</v>
      </c>
    </row>
    <row r="446" spans="1:18" ht="15" customHeight="1">
      <c r="A446" s="37" t="s">
        <v>52</v>
      </c>
      <c r="B446" s="26" t="s">
        <v>195</v>
      </c>
      <c r="C446" s="65" t="s">
        <v>911</v>
      </c>
      <c r="D446" s="51" t="s">
        <v>912</v>
      </c>
      <c r="E446" s="38" t="s">
        <v>3</v>
      </c>
      <c r="F446" s="38" t="s">
        <v>13</v>
      </c>
      <c r="G446" s="52">
        <v>200760</v>
      </c>
      <c r="H446" s="52">
        <v>225177</v>
      </c>
      <c r="I446" s="52">
        <v>1393482</v>
      </c>
      <c r="J446" s="53">
        <f>+G446-H446+I446</f>
        <v>1369065</v>
      </c>
      <c r="K446" s="28">
        <v>0</v>
      </c>
      <c r="L446" s="32">
        <v>0</v>
      </c>
      <c r="M446" s="53">
        <f>+J446+L446</f>
        <v>1369065</v>
      </c>
      <c r="N446" s="55" t="s">
        <v>200</v>
      </c>
      <c r="O446" s="29" t="s">
        <v>201</v>
      </c>
      <c r="P446" s="36">
        <v>44932</v>
      </c>
      <c r="Q446" s="49">
        <v>35178.67</v>
      </c>
      <c r="R446" s="33">
        <f>M446/Q446</f>
        <v>38.917474708395744</v>
      </c>
    </row>
    <row r="447" spans="1:18" ht="15" customHeight="1">
      <c r="A447" s="37" t="s">
        <v>52</v>
      </c>
      <c r="B447" s="26" t="s">
        <v>195</v>
      </c>
      <c r="C447" s="65" t="s">
        <v>913</v>
      </c>
      <c r="D447" s="51" t="s">
        <v>914</v>
      </c>
      <c r="E447" s="38" t="s">
        <v>4</v>
      </c>
      <c r="F447" s="38" t="s">
        <v>199</v>
      </c>
      <c r="G447" s="32">
        <v>0</v>
      </c>
      <c r="H447" s="32">
        <v>0</v>
      </c>
      <c r="I447" s="52">
        <v>11428727</v>
      </c>
      <c r="J447" s="53">
        <f>+G447-H447+I447</f>
        <v>11428727</v>
      </c>
      <c r="K447" s="28">
        <v>0</v>
      </c>
      <c r="L447" s="32">
        <v>0</v>
      </c>
      <c r="M447" s="53">
        <f>+J447+L447</f>
        <v>11428727</v>
      </c>
      <c r="N447" s="55" t="s">
        <v>200</v>
      </c>
      <c r="O447" s="29" t="s">
        <v>201</v>
      </c>
      <c r="P447" s="36">
        <v>44932</v>
      </c>
      <c r="Q447" s="49">
        <v>35178.67</v>
      </c>
      <c r="R447" s="33">
        <f>M447/Q447</f>
        <v>324.87660846757427</v>
      </c>
    </row>
    <row r="448" spans="1:18" ht="15" customHeight="1">
      <c r="A448" s="37" t="s">
        <v>321</v>
      </c>
      <c r="B448" s="26" t="s">
        <v>322</v>
      </c>
      <c r="C448" s="39">
        <v>6</v>
      </c>
      <c r="D448" s="40" t="s">
        <v>915</v>
      </c>
      <c r="E448" s="38" t="s">
        <v>4</v>
      </c>
      <c r="F448" s="38" t="s">
        <v>19</v>
      </c>
      <c r="G448" s="32">
        <v>0</v>
      </c>
      <c r="H448" s="32">
        <v>0</v>
      </c>
      <c r="I448" s="32">
        <v>67882547</v>
      </c>
      <c r="J448" s="35">
        <f>+G448-H448+I448</f>
        <v>67882547</v>
      </c>
      <c r="K448" s="27" t="s">
        <v>170</v>
      </c>
      <c r="L448" s="32">
        <v>0</v>
      </c>
      <c r="M448" s="35">
        <f>+J448+L448</f>
        <v>67882547</v>
      </c>
      <c r="N448" s="28" t="s">
        <v>324</v>
      </c>
      <c r="O448" s="29" t="s">
        <v>325</v>
      </c>
      <c r="P448" s="36">
        <v>44508</v>
      </c>
      <c r="Q448" s="31">
        <v>30474.19</v>
      </c>
      <c r="R448" s="33">
        <v>2228</v>
      </c>
    </row>
    <row r="449" spans="1:18" ht="15" customHeight="1">
      <c r="A449" s="37" t="s">
        <v>356</v>
      </c>
      <c r="B449" s="26" t="s">
        <v>357</v>
      </c>
      <c r="C449" s="39" t="s">
        <v>916</v>
      </c>
      <c r="D449" s="40" t="s">
        <v>917</v>
      </c>
      <c r="E449" s="38" t="s">
        <v>4</v>
      </c>
      <c r="F449" s="38" t="s">
        <v>12</v>
      </c>
      <c r="G449" s="32">
        <v>0</v>
      </c>
      <c r="H449" s="32">
        <v>0</v>
      </c>
      <c r="I449" s="32">
        <v>71251406</v>
      </c>
      <c r="J449" s="35">
        <f>+G449-H449+I449</f>
        <v>71251406</v>
      </c>
      <c r="K449" s="27">
        <v>45</v>
      </c>
      <c r="L449" s="32">
        <v>0</v>
      </c>
      <c r="M449" s="35">
        <f>+J449+L449</f>
        <v>71251406</v>
      </c>
      <c r="N449" s="28" t="s">
        <v>841</v>
      </c>
      <c r="O449" s="29" t="s">
        <v>842</v>
      </c>
      <c r="P449" s="36">
        <v>43844</v>
      </c>
      <c r="Q449" s="31">
        <v>28322.73</v>
      </c>
      <c r="R449" s="33">
        <f>+M449/Q449</f>
        <v>2515.6969684772621</v>
      </c>
    </row>
    <row r="450" spans="1:18" ht="15" customHeight="1">
      <c r="A450" s="37" t="s">
        <v>52</v>
      </c>
      <c r="B450" s="26" t="s">
        <v>195</v>
      </c>
      <c r="C450" s="65" t="s">
        <v>918</v>
      </c>
      <c r="D450" s="51" t="s">
        <v>919</v>
      </c>
      <c r="E450" s="38" t="s">
        <v>4</v>
      </c>
      <c r="F450" s="38" t="s">
        <v>199</v>
      </c>
      <c r="G450" s="32">
        <v>0</v>
      </c>
      <c r="H450" s="52">
        <v>629916</v>
      </c>
      <c r="I450" s="52">
        <v>6627348</v>
      </c>
      <c r="J450" s="53">
        <f>+G450-H450+I450</f>
        <v>5997432</v>
      </c>
      <c r="K450" s="28">
        <v>0</v>
      </c>
      <c r="L450" s="32">
        <v>0</v>
      </c>
      <c r="M450" s="53">
        <f>+J450+L450</f>
        <v>5997432</v>
      </c>
      <c r="N450" s="55" t="s">
        <v>200</v>
      </c>
      <c r="O450" s="29" t="s">
        <v>201</v>
      </c>
      <c r="P450" s="36">
        <v>44932</v>
      </c>
      <c r="Q450" s="49">
        <v>35178.67</v>
      </c>
      <c r="R450" s="33">
        <f>M450/Q450</f>
        <v>170.48489894586692</v>
      </c>
    </row>
    <row r="451" spans="1:18" ht="15" customHeight="1">
      <c r="A451" s="46" t="s">
        <v>189</v>
      </c>
      <c r="B451" s="26" t="s">
        <v>190</v>
      </c>
      <c r="C451" s="65" t="s">
        <v>920</v>
      </c>
      <c r="D451" s="51" t="s">
        <v>921</v>
      </c>
      <c r="E451" s="38" t="s">
        <v>3</v>
      </c>
      <c r="F451" s="48" t="s">
        <v>11</v>
      </c>
      <c r="G451" s="52">
        <v>1221207</v>
      </c>
      <c r="H451" s="52">
        <v>0</v>
      </c>
      <c r="I451" s="52">
        <v>0</v>
      </c>
      <c r="J451" s="53">
        <f>+G451-H451+I451</f>
        <v>1221207</v>
      </c>
      <c r="K451" s="70">
        <v>0</v>
      </c>
      <c r="L451" s="52">
        <v>0</v>
      </c>
      <c r="M451" s="53">
        <f>+J451+L451</f>
        <v>1221207</v>
      </c>
      <c r="N451" s="55" t="s">
        <v>389</v>
      </c>
      <c r="O451" s="56" t="s">
        <v>390</v>
      </c>
      <c r="P451" s="56">
        <v>44734</v>
      </c>
      <c r="Q451" s="49">
        <v>32981.75</v>
      </c>
      <c r="R451" s="57">
        <f>M451/Q451</f>
        <v>37.026749641847388</v>
      </c>
    </row>
    <row r="452" spans="1:18" ht="15" customHeight="1">
      <c r="A452" s="46" t="s">
        <v>189</v>
      </c>
      <c r="B452" s="26" t="s">
        <v>190</v>
      </c>
      <c r="C452" s="65" t="s">
        <v>922</v>
      </c>
      <c r="D452" s="51" t="s">
        <v>923</v>
      </c>
      <c r="E452" s="48" t="s">
        <v>6</v>
      </c>
      <c r="F452" s="48" t="s">
        <v>11</v>
      </c>
      <c r="G452" s="52">
        <v>2624023</v>
      </c>
      <c r="H452" s="52"/>
      <c r="I452" s="52">
        <v>3462060</v>
      </c>
      <c r="J452" s="53">
        <f>+G452-H452+I452</f>
        <v>6086083</v>
      </c>
      <c r="K452" s="70">
        <v>0</v>
      </c>
      <c r="L452" s="52">
        <v>0</v>
      </c>
      <c r="M452" s="53">
        <f>+J452+L452</f>
        <v>6086083</v>
      </c>
      <c r="N452" s="55" t="s">
        <v>389</v>
      </c>
      <c r="O452" s="56" t="s">
        <v>390</v>
      </c>
      <c r="P452" s="56">
        <v>44734</v>
      </c>
      <c r="Q452" s="49">
        <v>32981.75</v>
      </c>
      <c r="R452" s="57">
        <f>M452/Q452</f>
        <v>184.52880759814138</v>
      </c>
    </row>
    <row r="453" spans="1:18" s="30" customFormat="1" ht="15" customHeight="1">
      <c r="A453" s="46" t="s">
        <v>189</v>
      </c>
      <c r="B453" s="26" t="s">
        <v>190</v>
      </c>
      <c r="C453" s="65" t="s">
        <v>924</v>
      </c>
      <c r="D453" s="51" t="s">
        <v>925</v>
      </c>
      <c r="E453" s="48" t="s">
        <v>6</v>
      </c>
      <c r="F453" s="48" t="s">
        <v>11</v>
      </c>
      <c r="G453" s="52">
        <v>1957147</v>
      </c>
      <c r="H453" s="52">
        <v>201453</v>
      </c>
      <c r="I453" s="52">
        <v>13527207</v>
      </c>
      <c r="J453" s="53">
        <f>+G453-H453+I453</f>
        <v>15282901</v>
      </c>
      <c r="K453" s="70">
        <v>0</v>
      </c>
      <c r="L453" s="52">
        <v>0</v>
      </c>
      <c r="M453" s="53">
        <f>+J453+L453</f>
        <v>15282901</v>
      </c>
      <c r="N453" s="55" t="s">
        <v>389</v>
      </c>
      <c r="O453" s="56" t="s">
        <v>390</v>
      </c>
      <c r="P453" s="56">
        <v>44734</v>
      </c>
      <c r="Q453" s="49">
        <v>32981.75</v>
      </c>
      <c r="R453" s="57">
        <f>M453/Q453</f>
        <v>463.37447224601482</v>
      </c>
    </row>
    <row r="454" spans="1:18" s="30" customFormat="1" ht="15" customHeight="1">
      <c r="A454" s="37" t="s">
        <v>52</v>
      </c>
      <c r="B454" s="26" t="s">
        <v>195</v>
      </c>
      <c r="C454" s="65" t="s">
        <v>924</v>
      </c>
      <c r="D454" s="51" t="s">
        <v>926</v>
      </c>
      <c r="E454" s="38" t="s">
        <v>4</v>
      </c>
      <c r="F454" s="38" t="s">
        <v>12</v>
      </c>
      <c r="G454" s="32">
        <v>0</v>
      </c>
      <c r="H454" s="32">
        <v>0</v>
      </c>
      <c r="I454" s="52">
        <v>2665454</v>
      </c>
      <c r="J454" s="53">
        <f>+G454-H454+I454</f>
        <v>2665454</v>
      </c>
      <c r="K454" s="28">
        <v>0</v>
      </c>
      <c r="L454" s="32">
        <v>0</v>
      </c>
      <c r="M454" s="53">
        <f>+J454+L454</f>
        <v>2665454</v>
      </c>
      <c r="N454" s="55" t="s">
        <v>200</v>
      </c>
      <c r="O454" s="29" t="s">
        <v>201</v>
      </c>
      <c r="P454" s="36">
        <v>44932</v>
      </c>
      <c r="Q454" s="49">
        <v>35178.67</v>
      </c>
      <c r="R454" s="33">
        <f>M454/Q454</f>
        <v>75.769038454267886</v>
      </c>
    </row>
    <row r="455" spans="1:18" s="30" customFormat="1" ht="15" customHeight="1">
      <c r="A455" s="46" t="s">
        <v>189</v>
      </c>
      <c r="B455" s="26" t="s">
        <v>190</v>
      </c>
      <c r="C455" s="65" t="s">
        <v>927</v>
      </c>
      <c r="D455" s="51" t="s">
        <v>928</v>
      </c>
      <c r="E455" s="48" t="s">
        <v>6</v>
      </c>
      <c r="F455" s="48" t="s">
        <v>11</v>
      </c>
      <c r="G455" s="52">
        <v>9197121</v>
      </c>
      <c r="H455" s="52"/>
      <c r="I455" s="52">
        <v>7453727</v>
      </c>
      <c r="J455" s="53">
        <f>+G455-H455+I455</f>
        <v>16650848</v>
      </c>
      <c r="K455" s="70">
        <v>0</v>
      </c>
      <c r="L455" s="52">
        <v>0</v>
      </c>
      <c r="M455" s="53">
        <f>+J455+L455</f>
        <v>16650848</v>
      </c>
      <c r="N455" s="55" t="s">
        <v>389</v>
      </c>
      <c r="O455" s="56" t="s">
        <v>390</v>
      </c>
      <c r="P455" s="56">
        <v>44734</v>
      </c>
      <c r="Q455" s="49">
        <v>32981.75</v>
      </c>
      <c r="R455" s="57">
        <f>M455/Q455</f>
        <v>504.85034905667527</v>
      </c>
    </row>
    <row r="456" spans="1:18" s="30" customFormat="1" ht="15" customHeight="1">
      <c r="A456" s="46" t="s">
        <v>189</v>
      </c>
      <c r="B456" s="26" t="s">
        <v>190</v>
      </c>
      <c r="C456" s="65" t="s">
        <v>929</v>
      </c>
      <c r="D456" s="51" t="s">
        <v>930</v>
      </c>
      <c r="E456" s="48" t="s">
        <v>6</v>
      </c>
      <c r="F456" s="48" t="s">
        <v>11</v>
      </c>
      <c r="G456" s="52">
        <v>20684521</v>
      </c>
      <c r="H456" s="52"/>
      <c r="I456" s="52">
        <v>19772439</v>
      </c>
      <c r="J456" s="53">
        <f>+G456-H456+I456</f>
        <v>40456960</v>
      </c>
      <c r="K456" s="70">
        <v>0</v>
      </c>
      <c r="L456" s="52">
        <v>0</v>
      </c>
      <c r="M456" s="53">
        <f>+J456+L456</f>
        <v>40456960</v>
      </c>
      <c r="N456" s="55" t="s">
        <v>389</v>
      </c>
      <c r="O456" s="56" t="s">
        <v>390</v>
      </c>
      <c r="P456" s="56">
        <v>44734</v>
      </c>
      <c r="Q456" s="49">
        <v>32981.75</v>
      </c>
      <c r="R456" s="57">
        <f>M456/Q456</f>
        <v>1226.6468577319274</v>
      </c>
    </row>
    <row r="457" spans="1:18" s="30" customFormat="1" ht="15" customHeight="1">
      <c r="A457" s="37" t="s">
        <v>293</v>
      </c>
      <c r="B457" s="26" t="s">
        <v>294</v>
      </c>
      <c r="C457" s="39">
        <v>537</v>
      </c>
      <c r="D457" s="40" t="s">
        <v>931</v>
      </c>
      <c r="E457" s="38" t="s">
        <v>3</v>
      </c>
      <c r="F457" s="38" t="s">
        <v>12</v>
      </c>
      <c r="G457" s="32">
        <v>0</v>
      </c>
      <c r="H457" s="32">
        <v>31014232</v>
      </c>
      <c r="I457" s="32">
        <v>93798179</v>
      </c>
      <c r="J457" s="35">
        <f>+G457-H457+I457</f>
        <v>62783947</v>
      </c>
      <c r="K457" s="27" t="s">
        <v>401</v>
      </c>
      <c r="L457" s="32">
        <v>0</v>
      </c>
      <c r="M457" s="35">
        <f>+J457+L457</f>
        <v>62783947</v>
      </c>
      <c r="N457" s="55" t="s">
        <v>402</v>
      </c>
      <c r="O457" s="56" t="s">
        <v>403</v>
      </c>
      <c r="P457" s="56">
        <v>44524</v>
      </c>
      <c r="Q457" s="49">
        <v>30683.439999999999</v>
      </c>
      <c r="R457" s="57">
        <f>+M457/Q457</f>
        <v>2046.1834461846522</v>
      </c>
    </row>
    <row r="458" spans="1:18" s="30" customFormat="1" ht="15" customHeight="1">
      <c r="A458" s="37" t="s">
        <v>52</v>
      </c>
      <c r="B458" s="26" t="s">
        <v>195</v>
      </c>
      <c r="C458" s="65" t="s">
        <v>932</v>
      </c>
      <c r="D458" s="51" t="s">
        <v>933</v>
      </c>
      <c r="E458" s="38" t="s">
        <v>4</v>
      </c>
      <c r="F458" s="38" t="s">
        <v>199</v>
      </c>
      <c r="G458" s="32">
        <v>0</v>
      </c>
      <c r="H458" s="52">
        <v>1879227</v>
      </c>
      <c r="I458" s="52">
        <v>10832416</v>
      </c>
      <c r="J458" s="53">
        <f>+G458-H458+I458</f>
        <v>8953189</v>
      </c>
      <c r="K458" s="28">
        <v>0</v>
      </c>
      <c r="L458" s="32">
        <v>0</v>
      </c>
      <c r="M458" s="53">
        <f>+J458+L458</f>
        <v>8953189</v>
      </c>
      <c r="N458" s="55" t="s">
        <v>200</v>
      </c>
      <c r="O458" s="29" t="s">
        <v>201</v>
      </c>
      <c r="P458" s="36">
        <v>44932</v>
      </c>
      <c r="Q458" s="49">
        <v>35178.67</v>
      </c>
      <c r="R458" s="33">
        <f>M458/Q458</f>
        <v>254.50618229739783</v>
      </c>
    </row>
    <row r="459" spans="1:18" s="30" customFormat="1" ht="15" customHeight="1">
      <c r="A459" s="46" t="s">
        <v>189</v>
      </c>
      <c r="B459" s="26" t="s">
        <v>190</v>
      </c>
      <c r="C459" s="65" t="s">
        <v>934</v>
      </c>
      <c r="D459" s="51" t="s">
        <v>935</v>
      </c>
      <c r="E459" s="48" t="s">
        <v>6</v>
      </c>
      <c r="F459" s="48" t="s">
        <v>11</v>
      </c>
      <c r="G459" s="52">
        <v>7150457</v>
      </c>
      <c r="H459" s="52"/>
      <c r="I459" s="52">
        <v>3144080</v>
      </c>
      <c r="J459" s="53">
        <f>+G459-H459+I459</f>
        <v>10294537</v>
      </c>
      <c r="K459" s="70">
        <v>0</v>
      </c>
      <c r="L459" s="52">
        <v>0</v>
      </c>
      <c r="M459" s="53">
        <f>+J459+L459</f>
        <v>10294537</v>
      </c>
      <c r="N459" s="55" t="s">
        <v>389</v>
      </c>
      <c r="O459" s="56" t="s">
        <v>390</v>
      </c>
      <c r="P459" s="56">
        <v>44734</v>
      </c>
      <c r="Q459" s="49">
        <v>32981.75</v>
      </c>
      <c r="R459" s="57">
        <f>M459/Q459</f>
        <v>312.12828306563478</v>
      </c>
    </row>
    <row r="460" spans="1:18" s="30" customFormat="1" ht="15" customHeight="1">
      <c r="A460" s="37" t="s">
        <v>52</v>
      </c>
      <c r="B460" s="26" t="s">
        <v>195</v>
      </c>
      <c r="C460" s="65" t="s">
        <v>934</v>
      </c>
      <c r="D460" s="51" t="s">
        <v>936</v>
      </c>
      <c r="E460" s="38" t="s">
        <v>3</v>
      </c>
      <c r="F460" s="38" t="s">
        <v>199</v>
      </c>
      <c r="G460" s="32">
        <v>0</v>
      </c>
      <c r="H460" s="32">
        <v>0</v>
      </c>
      <c r="I460" s="52">
        <v>10977626</v>
      </c>
      <c r="J460" s="53">
        <f>+G460-H460+I460</f>
        <v>10977626</v>
      </c>
      <c r="K460" s="28">
        <v>0</v>
      </c>
      <c r="L460" s="32">
        <v>0</v>
      </c>
      <c r="M460" s="53">
        <f>+J460+L460</f>
        <v>10977626</v>
      </c>
      <c r="N460" s="55" t="s">
        <v>200</v>
      </c>
      <c r="O460" s="29" t="s">
        <v>201</v>
      </c>
      <c r="P460" s="36">
        <v>44932</v>
      </c>
      <c r="Q460" s="49">
        <v>35178.67</v>
      </c>
      <c r="R460" s="33">
        <f>M460/Q460</f>
        <v>312.0534687638845</v>
      </c>
    </row>
    <row r="461" spans="1:18" s="30" customFormat="1" ht="15" customHeight="1">
      <c r="A461" s="46" t="s">
        <v>189</v>
      </c>
      <c r="B461" s="26" t="s">
        <v>190</v>
      </c>
      <c r="C461" s="65" t="s">
        <v>937</v>
      </c>
      <c r="D461" s="51" t="s">
        <v>938</v>
      </c>
      <c r="E461" s="48" t="s">
        <v>6</v>
      </c>
      <c r="F461" s="48" t="s">
        <v>11</v>
      </c>
      <c r="G461" s="52">
        <v>14962021</v>
      </c>
      <c r="H461" s="52">
        <v>2845748</v>
      </c>
      <c r="I461" s="52">
        <v>11195766</v>
      </c>
      <c r="J461" s="53">
        <f>+G461-H461+I461</f>
        <v>23312039</v>
      </c>
      <c r="K461" s="70">
        <v>0</v>
      </c>
      <c r="L461" s="52">
        <v>0</v>
      </c>
      <c r="M461" s="53">
        <f>+J461+L461</f>
        <v>23312039</v>
      </c>
      <c r="N461" s="55" t="s">
        <v>794</v>
      </c>
      <c r="O461" s="56" t="s">
        <v>795</v>
      </c>
      <c r="P461" s="56">
        <v>44699</v>
      </c>
      <c r="Q461" s="49">
        <v>32489.56</v>
      </c>
      <c r="R461" s="57">
        <f>M461/Q461</f>
        <v>717.52399847828042</v>
      </c>
    </row>
    <row r="462" spans="1:18" s="30" customFormat="1" ht="15" customHeight="1">
      <c r="A462" s="46" t="s">
        <v>189</v>
      </c>
      <c r="B462" s="26" t="s">
        <v>190</v>
      </c>
      <c r="C462" s="65" t="s">
        <v>939</v>
      </c>
      <c r="D462" s="51" t="s">
        <v>940</v>
      </c>
      <c r="E462" s="48" t="s">
        <v>6</v>
      </c>
      <c r="F462" s="48" t="s">
        <v>11</v>
      </c>
      <c r="G462" s="52">
        <v>10898013</v>
      </c>
      <c r="H462" s="52"/>
      <c r="I462" s="52">
        <v>4245294</v>
      </c>
      <c r="J462" s="53">
        <f>+G462-H462+I462</f>
        <v>15143307</v>
      </c>
      <c r="K462" s="70">
        <v>0</v>
      </c>
      <c r="L462" s="52">
        <v>0</v>
      </c>
      <c r="M462" s="53">
        <f>+J462+L462</f>
        <v>15143307</v>
      </c>
      <c r="N462" s="55" t="s">
        <v>794</v>
      </c>
      <c r="O462" s="56" t="s">
        <v>795</v>
      </c>
      <c r="P462" s="56">
        <v>44699</v>
      </c>
      <c r="Q462" s="49">
        <v>32489.56</v>
      </c>
      <c r="R462" s="57">
        <f>M462/Q462</f>
        <v>466.09763259336228</v>
      </c>
    </row>
    <row r="463" spans="1:18" s="30" customFormat="1" ht="15" customHeight="1">
      <c r="A463" s="37" t="s">
        <v>52</v>
      </c>
      <c r="B463" s="26" t="s">
        <v>195</v>
      </c>
      <c r="C463" s="65" t="s">
        <v>941</v>
      </c>
      <c r="D463" s="51" t="s">
        <v>942</v>
      </c>
      <c r="E463" s="38" t="s">
        <v>6</v>
      </c>
      <c r="F463" s="38" t="s">
        <v>13</v>
      </c>
      <c r="G463" s="32">
        <v>0</v>
      </c>
      <c r="H463" s="52">
        <v>5636355</v>
      </c>
      <c r="I463" s="52">
        <v>35155116</v>
      </c>
      <c r="J463" s="53">
        <f>+G463-H463+I463</f>
        <v>29518761</v>
      </c>
      <c r="K463" s="28">
        <v>0</v>
      </c>
      <c r="L463" s="32">
        <v>0</v>
      </c>
      <c r="M463" s="53">
        <f>+J463+L463</f>
        <v>29518761</v>
      </c>
      <c r="N463" s="55" t="s">
        <v>200</v>
      </c>
      <c r="O463" s="29" t="s">
        <v>201</v>
      </c>
      <c r="P463" s="36">
        <v>44932</v>
      </c>
      <c r="Q463" s="49">
        <v>35178.67</v>
      </c>
      <c r="R463" s="33">
        <f>M463/Q463</f>
        <v>839.10963660650054</v>
      </c>
    </row>
    <row r="464" spans="1:18" s="30" customFormat="1" ht="15" customHeight="1">
      <c r="A464" s="37" t="s">
        <v>874</v>
      </c>
      <c r="B464" s="26" t="s">
        <v>875</v>
      </c>
      <c r="C464" s="39">
        <v>53</v>
      </c>
      <c r="D464" s="40" t="s">
        <v>943</v>
      </c>
      <c r="E464" s="38" t="s">
        <v>3</v>
      </c>
      <c r="F464" s="38" t="s">
        <v>11</v>
      </c>
      <c r="G464" s="32">
        <v>0</v>
      </c>
      <c r="H464" s="32">
        <v>92638495</v>
      </c>
      <c r="I464" s="32">
        <v>113753936</v>
      </c>
      <c r="J464" s="35">
        <f>+G464-H464+I464</f>
        <v>21115441</v>
      </c>
      <c r="K464" s="27">
        <v>105</v>
      </c>
      <c r="L464" s="32">
        <v>0</v>
      </c>
      <c r="M464" s="35">
        <f>+J464+L464</f>
        <v>21115441</v>
      </c>
      <c r="N464" s="28" t="s">
        <v>877</v>
      </c>
      <c r="O464" s="29" t="s">
        <v>878</v>
      </c>
      <c r="P464" s="36">
        <v>44902</v>
      </c>
      <c r="Q464" s="31">
        <v>34852.33</v>
      </c>
      <c r="R464" s="33">
        <f>M464/Q464</f>
        <v>605.85450097597493</v>
      </c>
    </row>
    <row r="465" spans="1:18" s="30" customFormat="1" ht="15" customHeight="1">
      <c r="A465" s="46" t="s">
        <v>189</v>
      </c>
      <c r="B465" s="26" t="s">
        <v>190</v>
      </c>
      <c r="C465" s="65" t="s">
        <v>944</v>
      </c>
      <c r="D465" s="51" t="s">
        <v>945</v>
      </c>
      <c r="E465" s="48" t="s">
        <v>6</v>
      </c>
      <c r="F465" s="48" t="s">
        <v>11</v>
      </c>
      <c r="G465" s="52">
        <v>7715614</v>
      </c>
      <c r="H465" s="52">
        <v>1761774</v>
      </c>
      <c r="I465" s="52">
        <v>563210</v>
      </c>
      <c r="J465" s="53">
        <f>+G465-H465+I465</f>
        <v>6517050</v>
      </c>
      <c r="K465" s="70">
        <v>0</v>
      </c>
      <c r="L465" s="52">
        <v>0</v>
      </c>
      <c r="M465" s="53">
        <f>+J465+L465</f>
        <v>6517050</v>
      </c>
      <c r="N465" s="55" t="s">
        <v>389</v>
      </c>
      <c r="O465" s="56" t="s">
        <v>390</v>
      </c>
      <c r="P465" s="56">
        <v>44734</v>
      </c>
      <c r="Q465" s="49">
        <v>32981.75</v>
      </c>
      <c r="R465" s="57">
        <f>M465/Q465</f>
        <v>197.59564001303752</v>
      </c>
    </row>
    <row r="466" spans="1:18" s="30" customFormat="1" ht="15" customHeight="1">
      <c r="A466" s="46" t="s">
        <v>189</v>
      </c>
      <c r="B466" s="26" t="s">
        <v>190</v>
      </c>
      <c r="C466" s="65" t="s">
        <v>946</v>
      </c>
      <c r="D466" s="51" t="s">
        <v>947</v>
      </c>
      <c r="E466" s="48" t="s">
        <v>6</v>
      </c>
      <c r="F466" s="48" t="s">
        <v>11</v>
      </c>
      <c r="G466" s="52">
        <v>945243</v>
      </c>
      <c r="H466" s="52"/>
      <c r="I466" s="52">
        <v>607468</v>
      </c>
      <c r="J466" s="53">
        <f>+G466-H466+I466</f>
        <v>1552711</v>
      </c>
      <c r="K466" s="70">
        <v>0</v>
      </c>
      <c r="L466" s="52">
        <v>0</v>
      </c>
      <c r="M466" s="53">
        <f>+J466+L466</f>
        <v>1552711</v>
      </c>
      <c r="N466" s="55" t="s">
        <v>794</v>
      </c>
      <c r="O466" s="56" t="s">
        <v>795</v>
      </c>
      <c r="P466" s="56">
        <v>44699</v>
      </c>
      <c r="Q466" s="49">
        <v>32489.56</v>
      </c>
      <c r="R466" s="57">
        <f>M466/Q466</f>
        <v>47.79107504072077</v>
      </c>
    </row>
    <row r="467" spans="1:18" s="30" customFormat="1" ht="15" customHeight="1">
      <c r="A467" s="37" t="s">
        <v>189</v>
      </c>
      <c r="B467" s="26" t="s">
        <v>225</v>
      </c>
      <c r="C467" s="39" t="s">
        <v>948</v>
      </c>
      <c r="D467" s="40" t="s">
        <v>949</v>
      </c>
      <c r="E467" s="38" t="s">
        <v>3</v>
      </c>
      <c r="F467" s="38" t="s">
        <v>11</v>
      </c>
      <c r="G467" s="32">
        <v>27594473</v>
      </c>
      <c r="H467" s="32">
        <v>19078185</v>
      </c>
      <c r="I467" s="52">
        <v>0</v>
      </c>
      <c r="J467" s="35">
        <f>+G467-H467+I467</f>
        <v>8516288</v>
      </c>
      <c r="K467" s="28">
        <v>0</v>
      </c>
      <c r="L467" s="32">
        <v>0</v>
      </c>
      <c r="M467" s="35">
        <f>+J467+L467</f>
        <v>8516288</v>
      </c>
      <c r="N467" s="28" t="s">
        <v>456</v>
      </c>
      <c r="O467" s="29" t="s">
        <v>457</v>
      </c>
      <c r="P467" s="36">
        <v>44097</v>
      </c>
      <c r="Q467" s="31">
        <v>28701.15</v>
      </c>
      <c r="R467" s="33">
        <f>M467/Q467</f>
        <v>296.72288392625381</v>
      </c>
    </row>
    <row r="468" spans="1:18" s="30" customFormat="1" ht="15" customHeight="1">
      <c r="A468" s="37" t="s">
        <v>189</v>
      </c>
      <c r="B468" s="26" t="s">
        <v>190</v>
      </c>
      <c r="C468" s="39" t="s">
        <v>950</v>
      </c>
      <c r="D468" s="40" t="s">
        <v>951</v>
      </c>
      <c r="E468" s="38" t="s">
        <v>3</v>
      </c>
      <c r="F468" s="38" t="s">
        <v>9</v>
      </c>
      <c r="G468" s="32">
        <v>0</v>
      </c>
      <c r="H468" s="32">
        <v>0</v>
      </c>
      <c r="I468" s="32">
        <v>1988873</v>
      </c>
      <c r="J468" s="35">
        <f>+G468-H468+I468</f>
        <v>1988873</v>
      </c>
      <c r="K468" s="28">
        <v>0</v>
      </c>
      <c r="L468" s="32">
        <v>0</v>
      </c>
      <c r="M468" s="35">
        <f>+J468+L468</f>
        <v>1988873</v>
      </c>
      <c r="N468" s="28" t="s">
        <v>771</v>
      </c>
      <c r="O468" s="29" t="s">
        <v>750</v>
      </c>
      <c r="P468" s="36">
        <v>43409</v>
      </c>
      <c r="Q468" s="31">
        <v>27445.360000000001</v>
      </c>
      <c r="R468" s="33">
        <f>M468/Q468</f>
        <v>72.466639169608271</v>
      </c>
    </row>
    <row r="469" spans="1:18" s="30" customFormat="1" ht="15" customHeight="1">
      <c r="A469" s="46" t="s">
        <v>189</v>
      </c>
      <c r="B469" s="26" t="s">
        <v>190</v>
      </c>
      <c r="C469" s="65" t="s">
        <v>952</v>
      </c>
      <c r="D469" s="51" t="s">
        <v>953</v>
      </c>
      <c r="E469" s="38" t="s">
        <v>3</v>
      </c>
      <c r="F469" s="38" t="s">
        <v>13</v>
      </c>
      <c r="G469" s="52">
        <v>4447624</v>
      </c>
      <c r="H469" s="52"/>
      <c r="I469" s="52">
        <v>67088739</v>
      </c>
      <c r="J469" s="53">
        <f>+G469-H469+I469</f>
        <v>71536363</v>
      </c>
      <c r="K469" s="70">
        <v>0</v>
      </c>
      <c r="L469" s="52">
        <v>0</v>
      </c>
      <c r="M469" s="53">
        <f>+J469+L469</f>
        <v>71536363</v>
      </c>
      <c r="N469" s="55" t="s">
        <v>794</v>
      </c>
      <c r="O469" s="56" t="s">
        <v>795</v>
      </c>
      <c r="P469" s="56">
        <v>44699</v>
      </c>
      <c r="Q469" s="49">
        <v>32489.56</v>
      </c>
      <c r="R469" s="57">
        <f>M469/Q469</f>
        <v>2201.8261558482168</v>
      </c>
    </row>
    <row r="470" spans="1:18" s="30" customFormat="1" ht="15" customHeight="1">
      <c r="A470" s="46" t="s">
        <v>189</v>
      </c>
      <c r="B470" s="26" t="s">
        <v>190</v>
      </c>
      <c r="C470" s="65" t="s">
        <v>954</v>
      </c>
      <c r="D470" s="51" t="s">
        <v>955</v>
      </c>
      <c r="E470" s="38" t="s">
        <v>3</v>
      </c>
      <c r="F470" s="38" t="s">
        <v>12</v>
      </c>
      <c r="G470" s="52">
        <v>24351662</v>
      </c>
      <c r="H470" s="52">
        <v>752021</v>
      </c>
      <c r="I470" s="52">
        <v>20814430</v>
      </c>
      <c r="J470" s="53">
        <f>+G470-H470+I470</f>
        <v>44414071</v>
      </c>
      <c r="K470" s="70">
        <v>0</v>
      </c>
      <c r="L470" s="52">
        <v>0</v>
      </c>
      <c r="M470" s="53">
        <f>+J470+L470</f>
        <v>44414071</v>
      </c>
      <c r="N470" s="55" t="s">
        <v>794</v>
      </c>
      <c r="O470" s="56" t="s">
        <v>795</v>
      </c>
      <c r="P470" s="56">
        <v>44699</v>
      </c>
      <c r="Q470" s="49">
        <v>32489.56</v>
      </c>
      <c r="R470" s="57">
        <f>M470/Q470</f>
        <v>1367.0259307913063</v>
      </c>
    </row>
    <row r="471" spans="1:18" s="30" customFormat="1" ht="15" customHeight="1">
      <c r="A471" s="46" t="s">
        <v>189</v>
      </c>
      <c r="B471" s="26" t="s">
        <v>190</v>
      </c>
      <c r="C471" s="65" t="s">
        <v>956</v>
      </c>
      <c r="D471" s="51" t="s">
        <v>957</v>
      </c>
      <c r="E471" s="38" t="s">
        <v>3</v>
      </c>
      <c r="F471" s="38" t="s">
        <v>12</v>
      </c>
      <c r="G471" s="52">
        <v>3253253</v>
      </c>
      <c r="H471" s="52"/>
      <c r="I471" s="52">
        <v>15217831</v>
      </c>
      <c r="J471" s="53">
        <f>+G471-H471+I471</f>
        <v>18471084</v>
      </c>
      <c r="K471" s="70">
        <v>0</v>
      </c>
      <c r="L471" s="52">
        <v>0</v>
      </c>
      <c r="M471" s="53">
        <f>+J471+L471</f>
        <v>18471084</v>
      </c>
      <c r="N471" s="55" t="s">
        <v>902</v>
      </c>
      <c r="O471" s="56" t="s">
        <v>795</v>
      </c>
      <c r="P471" s="56">
        <v>44560</v>
      </c>
      <c r="Q471" s="49">
        <v>30986.76</v>
      </c>
      <c r="R471" s="57">
        <f>M471/Q471</f>
        <v>596.09601003783553</v>
      </c>
    </row>
    <row r="472" spans="1:18" s="30" customFormat="1" ht="15" customHeight="1">
      <c r="A472" s="46" t="s">
        <v>189</v>
      </c>
      <c r="B472" s="26" t="s">
        <v>190</v>
      </c>
      <c r="C472" s="65" t="s">
        <v>958</v>
      </c>
      <c r="D472" s="51" t="s">
        <v>959</v>
      </c>
      <c r="E472" s="38" t="s">
        <v>3</v>
      </c>
      <c r="F472" s="38" t="s">
        <v>15</v>
      </c>
      <c r="G472" s="52">
        <v>35537935</v>
      </c>
      <c r="H472" s="52"/>
      <c r="I472" s="52">
        <v>116855984</v>
      </c>
      <c r="J472" s="53">
        <f>+G472-H472+I472</f>
        <v>152393919</v>
      </c>
      <c r="K472" s="70">
        <v>0</v>
      </c>
      <c r="L472" s="52">
        <v>0</v>
      </c>
      <c r="M472" s="53">
        <f>+J472+L472</f>
        <v>152393919</v>
      </c>
      <c r="N472" s="55" t="s">
        <v>902</v>
      </c>
      <c r="O472" s="56" t="s">
        <v>795</v>
      </c>
      <c r="P472" s="56">
        <v>44560</v>
      </c>
      <c r="Q472" s="49">
        <v>30986.76</v>
      </c>
      <c r="R472" s="57">
        <f>M472/Q472</f>
        <v>4918.0333471456843</v>
      </c>
    </row>
    <row r="473" spans="1:18" s="30" customFormat="1" ht="15" customHeight="1">
      <c r="A473" s="46" t="s">
        <v>189</v>
      </c>
      <c r="B473" s="26" t="s">
        <v>190</v>
      </c>
      <c r="C473" s="65" t="s">
        <v>960</v>
      </c>
      <c r="D473" s="51" t="s">
        <v>961</v>
      </c>
      <c r="E473" s="48" t="s">
        <v>6</v>
      </c>
      <c r="F473" s="48" t="s">
        <v>11</v>
      </c>
      <c r="G473" s="52">
        <v>13526937</v>
      </c>
      <c r="H473" s="52">
        <v>8390546</v>
      </c>
      <c r="I473" s="52"/>
      <c r="J473" s="53">
        <f>+G473-H473+I473</f>
        <v>5136391</v>
      </c>
      <c r="K473" s="70">
        <v>0</v>
      </c>
      <c r="L473" s="52">
        <v>0</v>
      </c>
      <c r="M473" s="53">
        <f>+J473+L473</f>
        <v>5136391</v>
      </c>
      <c r="N473" s="55" t="s">
        <v>902</v>
      </c>
      <c r="O473" s="56" t="s">
        <v>795</v>
      </c>
      <c r="P473" s="56">
        <v>44560</v>
      </c>
      <c r="Q473" s="49">
        <v>30986.76</v>
      </c>
      <c r="R473" s="57">
        <f>M473/Q473</f>
        <v>165.76082817306488</v>
      </c>
    </row>
    <row r="474" spans="1:18" s="30" customFormat="1" ht="15" customHeight="1">
      <c r="A474" s="46" t="s">
        <v>189</v>
      </c>
      <c r="B474" s="26" t="s">
        <v>190</v>
      </c>
      <c r="C474" s="65" t="s">
        <v>962</v>
      </c>
      <c r="D474" s="51" t="s">
        <v>963</v>
      </c>
      <c r="E474" s="38" t="s">
        <v>3</v>
      </c>
      <c r="F474" s="48" t="s">
        <v>11</v>
      </c>
      <c r="G474" s="52"/>
      <c r="H474" s="52">
        <v>123666030</v>
      </c>
      <c r="I474" s="52">
        <v>112945123</v>
      </c>
      <c r="J474" s="53">
        <f>+G474-H474+I474</f>
        <v>-10720907</v>
      </c>
      <c r="K474" s="70">
        <v>0</v>
      </c>
      <c r="L474" s="52">
        <v>0</v>
      </c>
      <c r="M474" s="53">
        <f>+J474+L474</f>
        <v>-10720907</v>
      </c>
      <c r="N474" s="55" t="s">
        <v>902</v>
      </c>
      <c r="O474" s="56" t="s">
        <v>795</v>
      </c>
      <c r="P474" s="56">
        <v>44560</v>
      </c>
      <c r="Q474" s="49">
        <v>30986.76</v>
      </c>
      <c r="R474" s="57">
        <f>M474/Q474</f>
        <v>-345.98347810484222</v>
      </c>
    </row>
    <row r="475" spans="1:18" s="30" customFormat="1" ht="15" customHeight="1">
      <c r="A475" s="37" t="s">
        <v>52</v>
      </c>
      <c r="B475" s="26" t="s">
        <v>195</v>
      </c>
      <c r="C475" s="65" t="s">
        <v>962</v>
      </c>
      <c r="D475" s="51" t="s">
        <v>964</v>
      </c>
      <c r="E475" s="38" t="s">
        <v>4</v>
      </c>
      <c r="F475" s="38" t="s">
        <v>199</v>
      </c>
      <c r="G475" s="32">
        <v>0</v>
      </c>
      <c r="H475" s="32">
        <v>0</v>
      </c>
      <c r="I475" s="52">
        <v>12579216</v>
      </c>
      <c r="J475" s="53">
        <f>+G475-H475+I475</f>
        <v>12579216</v>
      </c>
      <c r="K475" s="28">
        <v>0</v>
      </c>
      <c r="L475" s="32">
        <v>0</v>
      </c>
      <c r="M475" s="53">
        <f>+J475+L475</f>
        <v>12579216</v>
      </c>
      <c r="N475" s="55" t="s">
        <v>200</v>
      </c>
      <c r="O475" s="29" t="s">
        <v>201</v>
      </c>
      <c r="P475" s="36">
        <v>44932</v>
      </c>
      <c r="Q475" s="49">
        <v>35178.67</v>
      </c>
      <c r="R475" s="33">
        <f>M475/Q475</f>
        <v>357.58077266707357</v>
      </c>
    </row>
    <row r="476" spans="1:18" s="30" customFormat="1" ht="15" customHeight="1">
      <c r="A476" s="46" t="s">
        <v>189</v>
      </c>
      <c r="B476" s="26" t="s">
        <v>190</v>
      </c>
      <c r="C476" s="65" t="s">
        <v>965</v>
      </c>
      <c r="D476" s="51" t="s">
        <v>966</v>
      </c>
      <c r="E476" s="48" t="s">
        <v>6</v>
      </c>
      <c r="F476" s="48" t="s">
        <v>11</v>
      </c>
      <c r="G476" s="52">
        <v>9954638</v>
      </c>
      <c r="H476" s="52">
        <v>3075528</v>
      </c>
      <c r="I476" s="52"/>
      <c r="J476" s="53">
        <f>+G476-H476+I476</f>
        <v>6879110</v>
      </c>
      <c r="K476" s="70">
        <v>0</v>
      </c>
      <c r="L476" s="52">
        <v>0</v>
      </c>
      <c r="M476" s="53">
        <f>+J476+L476</f>
        <v>6879110</v>
      </c>
      <c r="N476" s="55" t="s">
        <v>902</v>
      </c>
      <c r="O476" s="56" t="s">
        <v>795</v>
      </c>
      <c r="P476" s="56">
        <v>44560</v>
      </c>
      <c r="Q476" s="49">
        <v>30986.76</v>
      </c>
      <c r="R476" s="57">
        <f>M476/Q476</f>
        <v>222.00159035665556</v>
      </c>
    </row>
    <row r="477" spans="1:18" s="30" customFormat="1" ht="15" customHeight="1">
      <c r="A477" s="37" t="s">
        <v>52</v>
      </c>
      <c r="B477" s="26" t="s">
        <v>195</v>
      </c>
      <c r="C477" s="65" t="s">
        <v>965</v>
      </c>
      <c r="D477" s="51" t="s">
        <v>967</v>
      </c>
      <c r="E477" s="38" t="s">
        <v>3</v>
      </c>
      <c r="F477" s="38" t="s">
        <v>10</v>
      </c>
      <c r="G477" s="32">
        <v>0</v>
      </c>
      <c r="H477" s="32">
        <v>0</v>
      </c>
      <c r="I477" s="52">
        <v>125266384</v>
      </c>
      <c r="J477" s="53">
        <f>+G477-H477+I477</f>
        <v>125266384</v>
      </c>
      <c r="K477" s="28">
        <v>0</v>
      </c>
      <c r="L477" s="32">
        <v>0</v>
      </c>
      <c r="M477" s="53">
        <f>+J477+L477</f>
        <v>125266384</v>
      </c>
      <c r="N477" s="55" t="s">
        <v>200</v>
      </c>
      <c r="O477" s="29" t="s">
        <v>201</v>
      </c>
      <c r="P477" s="36">
        <v>44932</v>
      </c>
      <c r="Q477" s="49">
        <v>35178.67</v>
      </c>
      <c r="R477" s="33">
        <f>M477/Q477</f>
        <v>3560.8618517982632</v>
      </c>
    </row>
    <row r="478" spans="1:18" s="30" customFormat="1" ht="15" customHeight="1">
      <c r="A478" s="46" t="s">
        <v>189</v>
      </c>
      <c r="B478" s="26" t="s">
        <v>190</v>
      </c>
      <c r="C478" s="65" t="s">
        <v>968</v>
      </c>
      <c r="D478" s="51" t="s">
        <v>969</v>
      </c>
      <c r="E478" s="48" t="s">
        <v>6</v>
      </c>
      <c r="F478" s="48" t="s">
        <v>11</v>
      </c>
      <c r="G478" s="52">
        <v>61980987</v>
      </c>
      <c r="H478" s="52">
        <v>3023965</v>
      </c>
      <c r="I478" s="52">
        <v>17774337</v>
      </c>
      <c r="J478" s="53">
        <f>+G478-H478+I478</f>
        <v>76731359</v>
      </c>
      <c r="K478" s="70">
        <v>0</v>
      </c>
      <c r="L478" s="52">
        <v>0</v>
      </c>
      <c r="M478" s="53">
        <f>+J478+L478</f>
        <v>76731359</v>
      </c>
      <c r="N478" s="55" t="s">
        <v>794</v>
      </c>
      <c r="O478" s="56" t="s">
        <v>795</v>
      </c>
      <c r="P478" s="56">
        <v>44699</v>
      </c>
      <c r="Q478" s="49">
        <v>32489.56</v>
      </c>
      <c r="R478" s="57">
        <f>M478/Q478</f>
        <v>2361.7235505805556</v>
      </c>
    </row>
    <row r="479" spans="1:18" s="30" customFormat="1" ht="15" customHeight="1">
      <c r="A479" s="46" t="s">
        <v>189</v>
      </c>
      <c r="B479" s="26" t="s">
        <v>190</v>
      </c>
      <c r="C479" s="65" t="s">
        <v>970</v>
      </c>
      <c r="D479" s="51" t="s">
        <v>971</v>
      </c>
      <c r="E479" s="38" t="s">
        <v>3</v>
      </c>
      <c r="F479" s="48" t="s">
        <v>11</v>
      </c>
      <c r="G479" s="52">
        <v>50782218</v>
      </c>
      <c r="H479" s="52">
        <v>29990816</v>
      </c>
      <c r="I479" s="52">
        <v>2643581</v>
      </c>
      <c r="J479" s="53">
        <f>+G479-H479+I479</f>
        <v>23434983</v>
      </c>
      <c r="K479" s="70">
        <v>0</v>
      </c>
      <c r="L479" s="52">
        <v>0</v>
      </c>
      <c r="M479" s="53">
        <f>+J479+L479</f>
        <v>23434983</v>
      </c>
      <c r="N479" s="55" t="s">
        <v>218</v>
      </c>
      <c r="O479" s="56" t="s">
        <v>219</v>
      </c>
      <c r="P479" s="56">
        <v>44531</v>
      </c>
      <c r="Q479" s="49">
        <v>30776.05</v>
      </c>
      <c r="R479" s="57">
        <f>M479/Q479</f>
        <v>761.46818711303115</v>
      </c>
    </row>
    <row r="480" spans="1:18" s="30" customFormat="1" ht="15" customHeight="1">
      <c r="A480" s="37" t="s">
        <v>189</v>
      </c>
      <c r="B480" s="26" t="s">
        <v>225</v>
      </c>
      <c r="C480" s="39" t="s">
        <v>972</v>
      </c>
      <c r="D480" s="40" t="s">
        <v>973</v>
      </c>
      <c r="E480" s="38" t="s">
        <v>3</v>
      </c>
      <c r="F480" s="38" t="s">
        <v>10</v>
      </c>
      <c r="G480" s="32">
        <v>75625</v>
      </c>
      <c r="H480" s="32">
        <v>0</v>
      </c>
      <c r="I480" s="52">
        <v>0</v>
      </c>
      <c r="J480" s="35">
        <f>+G480-H480+I480</f>
        <v>75625</v>
      </c>
      <c r="K480" s="28">
        <v>0</v>
      </c>
      <c r="L480" s="32">
        <v>0</v>
      </c>
      <c r="M480" s="35">
        <f>+J480+L480</f>
        <v>75625</v>
      </c>
      <c r="N480" s="28" t="s">
        <v>243</v>
      </c>
      <c r="O480" s="29" t="s">
        <v>244</v>
      </c>
      <c r="P480" s="36">
        <v>43993</v>
      </c>
      <c r="Q480" s="31">
        <v>28714.6</v>
      </c>
      <c r="R480" s="33">
        <f>M480/Q480</f>
        <v>2.6336776413392493</v>
      </c>
    </row>
    <row r="481" spans="1:18" s="30" customFormat="1" ht="15" customHeight="1">
      <c r="A481" s="37" t="s">
        <v>52</v>
      </c>
      <c r="B481" s="26" t="s">
        <v>195</v>
      </c>
      <c r="C481" s="65" t="s">
        <v>972</v>
      </c>
      <c r="D481" s="51" t="s">
        <v>974</v>
      </c>
      <c r="E481" s="38" t="s">
        <v>3</v>
      </c>
      <c r="F481" s="38" t="s">
        <v>12</v>
      </c>
      <c r="G481" s="52">
        <v>6737708</v>
      </c>
      <c r="H481" s="52">
        <v>90862289</v>
      </c>
      <c r="I481" s="52">
        <v>144453728</v>
      </c>
      <c r="J481" s="53">
        <f>+G481-H481+I481</f>
        <v>60329147</v>
      </c>
      <c r="K481" s="28">
        <v>0</v>
      </c>
      <c r="L481" s="32">
        <v>0</v>
      </c>
      <c r="M481" s="53">
        <f>+J481+L481</f>
        <v>60329147</v>
      </c>
      <c r="N481" s="55" t="s">
        <v>289</v>
      </c>
      <c r="O481" s="29" t="s">
        <v>290</v>
      </c>
      <c r="P481" s="36">
        <v>44764</v>
      </c>
      <c r="Q481" s="49">
        <v>33330.449999999997</v>
      </c>
      <c r="R481" s="33">
        <f>M481/Q481</f>
        <v>1810.0309776795693</v>
      </c>
    </row>
    <row r="482" spans="1:18" s="30" customFormat="1" ht="15" customHeight="1">
      <c r="A482" s="46" t="s">
        <v>189</v>
      </c>
      <c r="B482" s="26" t="s">
        <v>190</v>
      </c>
      <c r="C482" s="65" t="s">
        <v>975</v>
      </c>
      <c r="D482" s="51" t="s">
        <v>976</v>
      </c>
      <c r="E482" s="38" t="s">
        <v>3</v>
      </c>
      <c r="F482" s="38" t="s">
        <v>15</v>
      </c>
      <c r="G482" s="52"/>
      <c r="H482" s="52"/>
      <c r="I482" s="52">
        <v>109784400</v>
      </c>
      <c r="J482" s="53">
        <f>+G482-H482+I482</f>
        <v>109784400</v>
      </c>
      <c r="K482" s="70">
        <v>0</v>
      </c>
      <c r="L482" s="52">
        <v>0</v>
      </c>
      <c r="M482" s="53">
        <f>+J482+L482</f>
        <v>109784400</v>
      </c>
      <c r="N482" s="55" t="s">
        <v>902</v>
      </c>
      <c r="O482" s="56" t="s">
        <v>795</v>
      </c>
      <c r="P482" s="56">
        <v>44560</v>
      </c>
      <c r="Q482" s="49">
        <v>30986.76</v>
      </c>
      <c r="R482" s="57">
        <f>M482/Q482</f>
        <v>3542.9454386325001</v>
      </c>
    </row>
    <row r="483" spans="1:18" s="30" customFormat="1" ht="15" customHeight="1">
      <c r="A483" s="37" t="s">
        <v>166</v>
      </c>
      <c r="B483" s="26" t="s">
        <v>167</v>
      </c>
      <c r="C483" s="39" t="s">
        <v>977</v>
      </c>
      <c r="D483" s="40" t="s">
        <v>978</v>
      </c>
      <c r="E483" s="38" t="s">
        <v>3</v>
      </c>
      <c r="F483" s="38" t="s">
        <v>10</v>
      </c>
      <c r="G483" s="32">
        <v>0</v>
      </c>
      <c r="H483" s="32">
        <v>271670205</v>
      </c>
      <c r="I483" s="32">
        <v>273131339</v>
      </c>
      <c r="J483" s="35">
        <f>+G483-H483+I483</f>
        <v>1461134</v>
      </c>
      <c r="K483" s="27" t="s">
        <v>170</v>
      </c>
      <c r="L483" s="32">
        <v>0</v>
      </c>
      <c r="M483" s="35">
        <f>+J483+L483</f>
        <v>1461134</v>
      </c>
      <c r="N483" s="28" t="s">
        <v>171</v>
      </c>
      <c r="O483" s="29" t="s">
        <v>642</v>
      </c>
      <c r="P483" s="36">
        <v>44341</v>
      </c>
      <c r="Q483" s="31">
        <v>29513.759999999998</v>
      </c>
      <c r="R483" s="33">
        <v>50</v>
      </c>
    </row>
    <row r="484" spans="1:18" s="30" customFormat="1" ht="15" customHeight="1">
      <c r="A484" s="37" t="s">
        <v>166</v>
      </c>
      <c r="B484" s="26" t="s">
        <v>167</v>
      </c>
      <c r="C484" s="39" t="s">
        <v>979</v>
      </c>
      <c r="D484" s="40" t="s">
        <v>980</v>
      </c>
      <c r="E484" s="38" t="s">
        <v>3</v>
      </c>
      <c r="F484" s="38" t="s">
        <v>10</v>
      </c>
      <c r="G484" s="32">
        <v>0</v>
      </c>
      <c r="H484" s="32">
        <v>427879490</v>
      </c>
      <c r="I484" s="32">
        <v>428031396</v>
      </c>
      <c r="J484" s="35">
        <f>+G484-H484+I484</f>
        <v>151906</v>
      </c>
      <c r="K484" s="27" t="s">
        <v>170</v>
      </c>
      <c r="L484" s="32">
        <v>0</v>
      </c>
      <c r="M484" s="35">
        <f>+J484+L484</f>
        <v>151906</v>
      </c>
      <c r="N484" s="28" t="s">
        <v>171</v>
      </c>
      <c r="O484" s="29" t="s">
        <v>172</v>
      </c>
      <c r="P484" s="36">
        <v>44341</v>
      </c>
      <c r="Q484" s="31">
        <v>29513.759999999998</v>
      </c>
      <c r="R484" s="33">
        <v>5</v>
      </c>
    </row>
    <row r="485" spans="1:18" s="30" customFormat="1" ht="15" customHeight="1">
      <c r="A485" s="46" t="s">
        <v>189</v>
      </c>
      <c r="B485" s="26" t="s">
        <v>190</v>
      </c>
      <c r="C485" s="65" t="s">
        <v>981</v>
      </c>
      <c r="D485" s="51" t="s">
        <v>982</v>
      </c>
      <c r="E485" s="38" t="s">
        <v>4</v>
      </c>
      <c r="F485" s="48" t="s">
        <v>11</v>
      </c>
      <c r="G485" s="52">
        <v>632268</v>
      </c>
      <c r="H485" s="52"/>
      <c r="I485" s="52">
        <v>177591</v>
      </c>
      <c r="J485" s="53">
        <f>+G485-H485+I485</f>
        <v>809859</v>
      </c>
      <c r="K485" s="70">
        <v>0</v>
      </c>
      <c r="L485" s="52">
        <v>0</v>
      </c>
      <c r="M485" s="53">
        <f>+J485+L485</f>
        <v>809859</v>
      </c>
      <c r="N485" s="55" t="s">
        <v>218</v>
      </c>
      <c r="O485" s="56" t="s">
        <v>219</v>
      </c>
      <c r="P485" s="56">
        <v>44531</v>
      </c>
      <c r="Q485" s="49">
        <v>30776.05</v>
      </c>
      <c r="R485" s="57">
        <f>M485/Q485</f>
        <v>26.314585529981919</v>
      </c>
    </row>
    <row r="486" spans="1:18" s="30" customFormat="1" ht="15" customHeight="1">
      <c r="A486" s="37" t="s">
        <v>52</v>
      </c>
      <c r="B486" s="26" t="s">
        <v>195</v>
      </c>
      <c r="C486" s="65" t="s">
        <v>981</v>
      </c>
      <c r="D486" s="51" t="s">
        <v>983</v>
      </c>
      <c r="E486" s="38" t="s">
        <v>3</v>
      </c>
      <c r="F486" s="38" t="s">
        <v>199</v>
      </c>
      <c r="G486" s="32">
        <v>0</v>
      </c>
      <c r="H486" s="32">
        <v>0</v>
      </c>
      <c r="I486" s="52">
        <v>74055267</v>
      </c>
      <c r="J486" s="53">
        <f>+G486-H486+I486</f>
        <v>74055267</v>
      </c>
      <c r="K486" s="28">
        <v>0</v>
      </c>
      <c r="L486" s="32">
        <v>0</v>
      </c>
      <c r="M486" s="53">
        <f>+J486+L486</f>
        <v>74055267</v>
      </c>
      <c r="N486" s="55" t="s">
        <v>200</v>
      </c>
      <c r="O486" s="29" t="s">
        <v>201</v>
      </c>
      <c r="P486" s="36">
        <v>44932</v>
      </c>
      <c r="Q486" s="49">
        <v>35178.67</v>
      </c>
      <c r="R486" s="33">
        <f>M486/Q486</f>
        <v>2105.1184425107604</v>
      </c>
    </row>
    <row r="487" spans="1:18" s="30" customFormat="1" ht="15" customHeight="1">
      <c r="A487" s="37" t="s">
        <v>321</v>
      </c>
      <c r="B487" s="26" t="s">
        <v>322</v>
      </c>
      <c r="C487" s="39">
        <v>12</v>
      </c>
      <c r="D487" s="40" t="s">
        <v>984</v>
      </c>
      <c r="E487" s="38" t="s">
        <v>4</v>
      </c>
      <c r="F487" s="38" t="s">
        <v>12</v>
      </c>
      <c r="G487" s="32">
        <v>0</v>
      </c>
      <c r="H487" s="32">
        <v>542044219</v>
      </c>
      <c r="I487" s="32">
        <v>503943259</v>
      </c>
      <c r="J487" s="35">
        <f>+G487-H487+I487</f>
        <v>-38100960</v>
      </c>
      <c r="K487" s="27" t="s">
        <v>170</v>
      </c>
      <c r="L487" s="32">
        <v>0</v>
      </c>
      <c r="M487" s="35">
        <f>+J487+L487</f>
        <v>-38100960</v>
      </c>
      <c r="N487" s="28" t="s">
        <v>324</v>
      </c>
      <c r="O487" s="29" t="s">
        <v>325</v>
      </c>
      <c r="P487" s="36">
        <v>44508</v>
      </c>
      <c r="Q487" s="31">
        <v>30474.19</v>
      </c>
      <c r="R487" s="33">
        <v>-1250</v>
      </c>
    </row>
    <row r="488" spans="1:18" s="30" customFormat="1" ht="15" customHeight="1">
      <c r="A488" s="46" t="s">
        <v>189</v>
      </c>
      <c r="B488" s="26" t="s">
        <v>190</v>
      </c>
      <c r="C488" s="65" t="s">
        <v>985</v>
      </c>
      <c r="D488" s="51" t="s">
        <v>986</v>
      </c>
      <c r="E488" s="38" t="s">
        <v>3</v>
      </c>
      <c r="F488" s="48" t="s">
        <v>11</v>
      </c>
      <c r="G488" s="52">
        <v>7989117</v>
      </c>
      <c r="H488" s="52"/>
      <c r="I488" s="52">
        <v>7276719</v>
      </c>
      <c r="J488" s="53">
        <f>+G488-H488+I488</f>
        <v>15265836</v>
      </c>
      <c r="K488" s="70">
        <v>0</v>
      </c>
      <c r="L488" s="52">
        <v>0</v>
      </c>
      <c r="M488" s="53">
        <f>+J488+L488</f>
        <v>15265836</v>
      </c>
      <c r="N488" s="55" t="s">
        <v>902</v>
      </c>
      <c r="O488" s="56" t="s">
        <v>795</v>
      </c>
      <c r="P488" s="56">
        <v>44560</v>
      </c>
      <c r="Q488" s="49">
        <v>30986.76</v>
      </c>
      <c r="R488" s="57">
        <f>M488/Q488</f>
        <v>492.65673468281295</v>
      </c>
    </row>
    <row r="489" spans="1:18" s="30" customFormat="1" ht="15" customHeight="1">
      <c r="A489" s="37" t="s">
        <v>166</v>
      </c>
      <c r="B489" s="26" t="s">
        <v>167</v>
      </c>
      <c r="C489" s="39" t="s">
        <v>987</v>
      </c>
      <c r="D489" s="40" t="s">
        <v>988</v>
      </c>
      <c r="E489" s="38" t="s">
        <v>3</v>
      </c>
      <c r="F489" s="38" t="s">
        <v>10</v>
      </c>
      <c r="G489" s="32">
        <v>0</v>
      </c>
      <c r="H489" s="32">
        <v>424502276</v>
      </c>
      <c r="I489" s="32">
        <v>561509463</v>
      </c>
      <c r="J489" s="35">
        <f>+G489-H489+I489</f>
        <v>137007187</v>
      </c>
      <c r="K489" s="27">
        <v>136</v>
      </c>
      <c r="L489" s="32">
        <v>0</v>
      </c>
      <c r="M489" s="35">
        <f>+J489+L489</f>
        <v>137007187</v>
      </c>
      <c r="N489" s="28" t="s">
        <v>171</v>
      </c>
      <c r="O489" s="29" t="s">
        <v>172</v>
      </c>
      <c r="P489" s="36">
        <v>44341</v>
      </c>
      <c r="Q489" s="31">
        <v>29513.759999999998</v>
      </c>
      <c r="R489" s="33">
        <v>4642</v>
      </c>
    </row>
    <row r="490" spans="1:18" s="30" customFormat="1" ht="15" customHeight="1">
      <c r="A490" s="37" t="s">
        <v>166</v>
      </c>
      <c r="B490" s="26" t="s">
        <v>167</v>
      </c>
      <c r="C490" s="39" t="s">
        <v>989</v>
      </c>
      <c r="D490" s="40" t="s">
        <v>990</v>
      </c>
      <c r="E490" s="38" t="s">
        <v>3</v>
      </c>
      <c r="F490" s="38" t="s">
        <v>11</v>
      </c>
      <c r="G490" s="32">
        <v>0</v>
      </c>
      <c r="H490" s="32">
        <v>603398316</v>
      </c>
      <c r="I490" s="32">
        <v>581037978</v>
      </c>
      <c r="J490" s="35">
        <f>+G490-H490+I490</f>
        <v>-22360338</v>
      </c>
      <c r="K490" s="27" t="s">
        <v>170</v>
      </c>
      <c r="L490" s="32">
        <v>0</v>
      </c>
      <c r="M490" s="35">
        <f>+J490+L490</f>
        <v>-22360338</v>
      </c>
      <c r="N490" s="28" t="s">
        <v>171</v>
      </c>
      <c r="O490" s="29" t="s">
        <v>269</v>
      </c>
      <c r="P490" s="36">
        <v>44341</v>
      </c>
      <c r="Q490" s="31">
        <v>29513.759999999998</v>
      </c>
      <c r="R490" s="33">
        <v>-758</v>
      </c>
    </row>
    <row r="491" spans="1:18" s="30" customFormat="1" ht="15" customHeight="1">
      <c r="A491" s="37" t="s">
        <v>874</v>
      </c>
      <c r="B491" s="26" t="s">
        <v>875</v>
      </c>
      <c r="C491" s="39">
        <v>150</v>
      </c>
      <c r="D491" s="40" t="s">
        <v>991</v>
      </c>
      <c r="E491" s="38" t="s">
        <v>4</v>
      </c>
      <c r="F491" s="38" t="s">
        <v>11</v>
      </c>
      <c r="G491" s="32">
        <v>0</v>
      </c>
      <c r="H491" s="32">
        <v>642501733</v>
      </c>
      <c r="I491" s="32">
        <v>645736360</v>
      </c>
      <c r="J491" s="35">
        <f>+G491-H491+I491</f>
        <v>3234627</v>
      </c>
      <c r="K491" s="27">
        <v>171</v>
      </c>
      <c r="L491" s="32">
        <v>0</v>
      </c>
      <c r="M491" s="35">
        <f>+J491+L491</f>
        <v>3234627</v>
      </c>
      <c r="N491" s="28" t="s">
        <v>877</v>
      </c>
      <c r="O491" s="29" t="s">
        <v>878</v>
      </c>
      <c r="P491" s="36">
        <v>44902</v>
      </c>
      <c r="Q491" s="31">
        <v>34852.33</v>
      </c>
      <c r="R491" s="33">
        <f>M491/Q491</f>
        <v>92.80949078583842</v>
      </c>
    </row>
    <row r="492" spans="1:18" s="30" customFormat="1" ht="15" customHeight="1">
      <c r="A492" s="37" t="s">
        <v>189</v>
      </c>
      <c r="B492" s="26" t="s">
        <v>190</v>
      </c>
      <c r="C492" s="39" t="s">
        <v>992</v>
      </c>
      <c r="D492" s="40" t="s">
        <v>993</v>
      </c>
      <c r="E492" s="38" t="s">
        <v>3</v>
      </c>
      <c r="F492" s="38" t="s">
        <v>18</v>
      </c>
      <c r="G492" s="32">
        <v>8919328</v>
      </c>
      <c r="H492" s="32">
        <v>70617890</v>
      </c>
      <c r="I492" s="32">
        <v>184597492</v>
      </c>
      <c r="J492" s="35">
        <f>+G492-H492+I492</f>
        <v>122898930</v>
      </c>
      <c r="K492" s="28">
        <v>0</v>
      </c>
      <c r="L492" s="32">
        <v>0</v>
      </c>
      <c r="M492" s="35">
        <f>+J492+L492</f>
        <v>122898930</v>
      </c>
      <c r="N492" s="28" t="s">
        <v>193</v>
      </c>
      <c r="O492" s="29" t="s">
        <v>194</v>
      </c>
      <c r="P492" s="36">
        <v>44383</v>
      </c>
      <c r="Q492" s="31">
        <v>29981.279999999999</v>
      </c>
      <c r="R492" s="33">
        <f>M492/Q492</f>
        <v>4099.1888938697748</v>
      </c>
    </row>
    <row r="493" spans="1:18" s="30" customFormat="1" ht="15" customHeight="1">
      <c r="A493" s="46" t="s">
        <v>189</v>
      </c>
      <c r="B493" s="26" t="s">
        <v>190</v>
      </c>
      <c r="C493" s="65" t="s">
        <v>994</v>
      </c>
      <c r="D493" s="51" t="s">
        <v>995</v>
      </c>
      <c r="E493" s="38" t="s">
        <v>3</v>
      </c>
      <c r="F493" s="48" t="s">
        <v>11</v>
      </c>
      <c r="G493" s="52">
        <v>0</v>
      </c>
      <c r="H493" s="52">
        <v>0</v>
      </c>
      <c r="I493" s="52">
        <v>438375</v>
      </c>
      <c r="J493" s="53">
        <f>+G493-H493+I493</f>
        <v>438375</v>
      </c>
      <c r="K493" s="70">
        <v>0</v>
      </c>
      <c r="L493" s="52">
        <v>0</v>
      </c>
      <c r="M493" s="53">
        <f>+J493+L493</f>
        <v>438375</v>
      </c>
      <c r="N493" s="55" t="s">
        <v>902</v>
      </c>
      <c r="O493" s="56" t="s">
        <v>795</v>
      </c>
      <c r="P493" s="56">
        <v>44560</v>
      </c>
      <c r="Q493" s="49">
        <v>30986.76</v>
      </c>
      <c r="R493" s="57">
        <f>M493/Q493</f>
        <v>14.147171243460111</v>
      </c>
    </row>
    <row r="494" spans="1:18" s="30" customFormat="1" ht="15" customHeight="1">
      <c r="A494" s="37" t="s">
        <v>189</v>
      </c>
      <c r="B494" s="26" t="s">
        <v>190</v>
      </c>
      <c r="C494" s="39" t="s">
        <v>996</v>
      </c>
      <c r="D494" s="40" t="s">
        <v>997</v>
      </c>
      <c r="E494" s="38" t="s">
        <v>3</v>
      </c>
      <c r="F494" s="38" t="s">
        <v>14</v>
      </c>
      <c r="G494" s="32">
        <v>73408314</v>
      </c>
      <c r="H494" s="32">
        <v>3110974</v>
      </c>
      <c r="I494" s="32"/>
      <c r="J494" s="35">
        <f>+G494-H494+I494</f>
        <v>70297340</v>
      </c>
      <c r="K494" s="28">
        <v>0</v>
      </c>
      <c r="L494" s="32">
        <v>0</v>
      </c>
      <c r="M494" s="35">
        <f>+J494+L494</f>
        <v>70297340</v>
      </c>
      <c r="N494" s="28" t="s">
        <v>193</v>
      </c>
      <c r="O494" s="29" t="s">
        <v>194</v>
      </c>
      <c r="P494" s="36">
        <v>44383</v>
      </c>
      <c r="Q494" s="31">
        <v>29981.279999999999</v>
      </c>
      <c r="R494" s="33">
        <f>M494/Q494</f>
        <v>2344.7077643115972</v>
      </c>
    </row>
    <row r="495" spans="1:18" s="30" customFormat="1" ht="15" customHeight="1">
      <c r="A495" s="37" t="s">
        <v>52</v>
      </c>
      <c r="B495" s="26" t="s">
        <v>195</v>
      </c>
      <c r="C495" s="65" t="s">
        <v>996</v>
      </c>
      <c r="D495" s="51" t="s">
        <v>998</v>
      </c>
      <c r="E495" s="38" t="s">
        <v>4</v>
      </c>
      <c r="F495" s="38" t="s">
        <v>199</v>
      </c>
      <c r="G495" s="32">
        <v>0</v>
      </c>
      <c r="H495" s="32">
        <v>0</v>
      </c>
      <c r="I495" s="52">
        <v>1052579</v>
      </c>
      <c r="J495" s="53">
        <f>+G495-H495+I495</f>
        <v>1052579</v>
      </c>
      <c r="K495" s="28">
        <v>0</v>
      </c>
      <c r="L495" s="32">
        <v>0</v>
      </c>
      <c r="M495" s="53">
        <f>+J495+L495</f>
        <v>1052579</v>
      </c>
      <c r="N495" s="55" t="s">
        <v>200</v>
      </c>
      <c r="O495" s="29" t="s">
        <v>201</v>
      </c>
      <c r="P495" s="36">
        <v>44932</v>
      </c>
      <c r="Q495" s="49">
        <v>35178.67</v>
      </c>
      <c r="R495" s="33">
        <f>M495/Q495</f>
        <v>29.920943571772327</v>
      </c>
    </row>
    <row r="496" spans="1:18" s="30" customFormat="1" ht="15" customHeight="1">
      <c r="A496" s="46" t="s">
        <v>189</v>
      </c>
      <c r="B496" s="26" t="s">
        <v>190</v>
      </c>
      <c r="C496" s="65" t="s">
        <v>999</v>
      </c>
      <c r="D496" s="51" t="s">
        <v>1000</v>
      </c>
      <c r="E496" s="38" t="s">
        <v>3</v>
      </c>
      <c r="F496" s="48" t="s">
        <v>11</v>
      </c>
      <c r="G496" s="52">
        <v>13979112</v>
      </c>
      <c r="H496" s="52">
        <v>28800866</v>
      </c>
      <c r="I496" s="52">
        <v>52986879</v>
      </c>
      <c r="J496" s="53">
        <f>+G496-H496+I496</f>
        <v>38165125</v>
      </c>
      <c r="K496" s="70">
        <v>0</v>
      </c>
      <c r="L496" s="52">
        <v>0</v>
      </c>
      <c r="M496" s="53">
        <f>+J496+L496</f>
        <v>38165125</v>
      </c>
      <c r="N496" s="55" t="s">
        <v>218</v>
      </c>
      <c r="O496" s="56" t="s">
        <v>219</v>
      </c>
      <c r="P496" s="56">
        <v>44531</v>
      </c>
      <c r="Q496" s="49">
        <v>30776.05</v>
      </c>
      <c r="R496" s="57">
        <f>M496/Q496</f>
        <v>1240.0917271709657</v>
      </c>
    </row>
    <row r="497" spans="1:18" s="30" customFormat="1" ht="15" customHeight="1">
      <c r="A497" s="37" t="s">
        <v>52</v>
      </c>
      <c r="B497" s="26" t="s">
        <v>195</v>
      </c>
      <c r="C497" s="65" t="s">
        <v>999</v>
      </c>
      <c r="D497" s="51" t="s">
        <v>1001</v>
      </c>
      <c r="E497" s="38" t="s">
        <v>4</v>
      </c>
      <c r="F497" s="38" t="s">
        <v>199</v>
      </c>
      <c r="G497" s="32">
        <v>0</v>
      </c>
      <c r="H497" s="32">
        <v>0</v>
      </c>
      <c r="I497" s="52">
        <v>1638095</v>
      </c>
      <c r="J497" s="53">
        <f>+G497-H497+I497</f>
        <v>1638095</v>
      </c>
      <c r="K497" s="28">
        <v>0</v>
      </c>
      <c r="L497" s="32">
        <v>0</v>
      </c>
      <c r="M497" s="53">
        <f>+J497+L497</f>
        <v>1638095</v>
      </c>
      <c r="N497" s="55" t="s">
        <v>200</v>
      </c>
      <c r="O497" s="29" t="s">
        <v>201</v>
      </c>
      <c r="P497" s="36">
        <v>44932</v>
      </c>
      <c r="Q497" s="49">
        <v>35178.67</v>
      </c>
      <c r="R497" s="33">
        <f>M497/Q497</f>
        <v>46.565006579270907</v>
      </c>
    </row>
    <row r="498" spans="1:18" s="30" customFormat="1" ht="15" customHeight="1">
      <c r="A498" s="37" t="s">
        <v>189</v>
      </c>
      <c r="B498" s="26" t="s">
        <v>190</v>
      </c>
      <c r="C498" s="39" t="s">
        <v>1002</v>
      </c>
      <c r="D498" s="40" t="s">
        <v>1003</v>
      </c>
      <c r="E498" s="38" t="s">
        <v>3</v>
      </c>
      <c r="F498" s="38" t="s">
        <v>11</v>
      </c>
      <c r="G498" s="32">
        <v>2506280</v>
      </c>
      <c r="H498" s="32"/>
      <c r="I498" s="32"/>
      <c r="J498" s="35">
        <f>+G498-H498+I498</f>
        <v>2506280</v>
      </c>
      <c r="K498" s="28">
        <v>0</v>
      </c>
      <c r="L498" s="32">
        <v>0</v>
      </c>
      <c r="M498" s="35">
        <f>+J498+L498</f>
        <v>2506280</v>
      </c>
      <c r="N498" s="28" t="s">
        <v>193</v>
      </c>
      <c r="O498" s="29" t="s">
        <v>194</v>
      </c>
      <c r="P498" s="36">
        <v>44383</v>
      </c>
      <c r="Q498" s="31">
        <v>29981.279999999999</v>
      </c>
      <c r="R498" s="33">
        <f>M498/Q498</f>
        <v>83.594829840487137</v>
      </c>
    </row>
    <row r="499" spans="1:18" s="30" customFormat="1" ht="15" customHeight="1">
      <c r="A499" s="37" t="s">
        <v>52</v>
      </c>
      <c r="B499" s="26" t="s">
        <v>195</v>
      </c>
      <c r="C499" s="65" t="s">
        <v>1002</v>
      </c>
      <c r="D499" s="51" t="s">
        <v>1004</v>
      </c>
      <c r="E499" s="38" t="s">
        <v>198</v>
      </c>
      <c r="F499" s="38" t="s">
        <v>199</v>
      </c>
      <c r="G499" s="52">
        <v>156454</v>
      </c>
      <c r="H499" s="32">
        <v>0</v>
      </c>
      <c r="I499" s="32">
        <v>0</v>
      </c>
      <c r="J499" s="53">
        <f>+G499-H499+I499</f>
        <v>156454</v>
      </c>
      <c r="K499" s="28">
        <v>0</v>
      </c>
      <c r="L499" s="32">
        <v>0</v>
      </c>
      <c r="M499" s="53">
        <f>+J499+L499</f>
        <v>156454</v>
      </c>
      <c r="N499" s="55" t="s">
        <v>200</v>
      </c>
      <c r="O499" s="29" t="s">
        <v>201</v>
      </c>
      <c r="P499" s="36">
        <v>44932</v>
      </c>
      <c r="Q499" s="49">
        <v>35178.67</v>
      </c>
      <c r="R499" s="33">
        <f>M499/Q499</f>
        <v>4.4474108884730441</v>
      </c>
    </row>
    <row r="500" spans="1:18" s="30" customFormat="1" ht="15" customHeight="1">
      <c r="A500" s="37" t="s">
        <v>236</v>
      </c>
      <c r="B500" s="26" t="s">
        <v>237</v>
      </c>
      <c r="C500" s="39" t="s">
        <v>358</v>
      </c>
      <c r="D500" s="40" t="s">
        <v>1005</v>
      </c>
      <c r="E500" s="38" t="s">
        <v>3</v>
      </c>
      <c r="F500" s="38" t="s">
        <v>10</v>
      </c>
      <c r="G500" s="32">
        <v>0</v>
      </c>
      <c r="H500" s="32">
        <v>0</v>
      </c>
      <c r="I500" s="32">
        <v>1080629132</v>
      </c>
      <c r="J500" s="35">
        <f>+G500-H500+I500</f>
        <v>1080629132</v>
      </c>
      <c r="K500" s="27">
        <v>210</v>
      </c>
      <c r="L500" s="32">
        <v>0</v>
      </c>
      <c r="M500" s="35">
        <f>+J500+L500</f>
        <v>1080629132</v>
      </c>
      <c r="N500" s="28" t="s">
        <v>620</v>
      </c>
      <c r="O500" s="29" t="s">
        <v>621</v>
      </c>
      <c r="P500" s="36">
        <v>44573</v>
      </c>
      <c r="Q500" s="31">
        <v>31060.59</v>
      </c>
      <c r="R500" s="33">
        <f>M500/Q500</f>
        <v>34791.004678275589</v>
      </c>
    </row>
    <row r="501" spans="1:18" s="30" customFormat="1" ht="15" customHeight="1">
      <c r="A501" s="37" t="s">
        <v>236</v>
      </c>
      <c r="B501" s="26" t="s">
        <v>237</v>
      </c>
      <c r="C501" s="39" t="s">
        <v>1006</v>
      </c>
      <c r="D501" s="40" t="s">
        <v>1007</v>
      </c>
      <c r="E501" s="38" t="s">
        <v>4</v>
      </c>
      <c r="F501" s="38" t="s">
        <v>12</v>
      </c>
      <c r="G501" s="32">
        <v>0</v>
      </c>
      <c r="H501" s="32">
        <v>0</v>
      </c>
      <c r="I501" s="32">
        <v>133817926</v>
      </c>
      <c r="J501" s="35">
        <f>+G501-H501+I501</f>
        <v>133817926</v>
      </c>
      <c r="K501" s="28">
        <v>0</v>
      </c>
      <c r="L501" s="32">
        <v>0</v>
      </c>
      <c r="M501" s="35">
        <f>+J501+L501</f>
        <v>133817926</v>
      </c>
      <c r="N501" s="28" t="s">
        <v>620</v>
      </c>
      <c r="O501" s="29" t="s">
        <v>621</v>
      </c>
      <c r="P501" s="36">
        <v>44573</v>
      </c>
      <c r="Q501" s="31">
        <v>31060.59</v>
      </c>
      <c r="R501" s="33">
        <f>M501/Q501</f>
        <v>4308.2866745287192</v>
      </c>
    </row>
    <row r="502" spans="1:18" s="30" customFormat="1" ht="15" customHeight="1">
      <c r="A502" s="37" t="s">
        <v>189</v>
      </c>
      <c r="B502" s="26" t="s">
        <v>190</v>
      </c>
      <c r="C502" s="39" t="s">
        <v>839</v>
      </c>
      <c r="D502" s="40" t="s">
        <v>1008</v>
      </c>
      <c r="E502" s="38" t="s">
        <v>4</v>
      </c>
      <c r="F502" s="38" t="s">
        <v>9</v>
      </c>
      <c r="G502" s="32">
        <v>0</v>
      </c>
      <c r="H502" s="32">
        <v>0</v>
      </c>
      <c r="I502" s="32">
        <v>875478</v>
      </c>
      <c r="J502" s="35">
        <f>+G502-H502+I502</f>
        <v>875478</v>
      </c>
      <c r="K502" s="28">
        <v>0</v>
      </c>
      <c r="L502" s="32">
        <v>0</v>
      </c>
      <c r="M502" s="35">
        <f>+J502+L502</f>
        <v>875478</v>
      </c>
      <c r="N502" s="28" t="s">
        <v>771</v>
      </c>
      <c r="O502" s="29" t="s">
        <v>772</v>
      </c>
      <c r="P502" s="36">
        <v>43409</v>
      </c>
      <c r="Q502" s="31">
        <v>27445.360000000001</v>
      </c>
      <c r="R502" s="33">
        <f>M502/Q502</f>
        <v>31.898943938064576</v>
      </c>
    </row>
    <row r="503" spans="1:18" s="30" customFormat="1" ht="15" customHeight="1">
      <c r="A503" s="37" t="s">
        <v>189</v>
      </c>
      <c r="B503" s="26" t="s">
        <v>225</v>
      </c>
      <c r="C503" s="39" t="s">
        <v>839</v>
      </c>
      <c r="D503" s="40" t="s">
        <v>1009</v>
      </c>
      <c r="E503" s="38" t="s">
        <v>3</v>
      </c>
      <c r="F503" s="38" t="s">
        <v>10</v>
      </c>
      <c r="G503" s="32">
        <v>781578</v>
      </c>
      <c r="H503" s="32">
        <v>0</v>
      </c>
      <c r="I503" s="52">
        <v>0</v>
      </c>
      <c r="J503" s="35">
        <f>+G503-H503+I503</f>
        <v>781578</v>
      </c>
      <c r="K503" s="28">
        <v>0</v>
      </c>
      <c r="L503" s="32">
        <v>0</v>
      </c>
      <c r="M503" s="35">
        <f>+J503+L503</f>
        <v>781578</v>
      </c>
      <c r="N503" s="28" t="s">
        <v>243</v>
      </c>
      <c r="O503" s="29" t="s">
        <v>244</v>
      </c>
      <c r="P503" s="36">
        <v>43993</v>
      </c>
      <c r="Q503" s="31">
        <v>28714.6</v>
      </c>
      <c r="R503" s="33">
        <f>M503/Q503</f>
        <v>27.218836410745755</v>
      </c>
    </row>
    <row r="504" spans="1:18" s="30" customFormat="1" ht="15" customHeight="1">
      <c r="A504" s="37" t="s">
        <v>189</v>
      </c>
      <c r="B504" s="26" t="s">
        <v>190</v>
      </c>
      <c r="C504" s="39" t="s">
        <v>1010</v>
      </c>
      <c r="D504" s="40" t="s">
        <v>1011</v>
      </c>
      <c r="E504" s="38" t="s">
        <v>3</v>
      </c>
      <c r="F504" s="38" t="s">
        <v>12</v>
      </c>
      <c r="G504" s="32">
        <v>92492</v>
      </c>
      <c r="H504" s="32">
        <v>133079</v>
      </c>
      <c r="I504" s="32">
        <v>3512842</v>
      </c>
      <c r="J504" s="35">
        <f>+G504-H504+I504</f>
        <v>3472255</v>
      </c>
      <c r="K504" s="28">
        <v>0</v>
      </c>
      <c r="L504" s="32">
        <v>0</v>
      </c>
      <c r="M504" s="35">
        <f>+J504+L504</f>
        <v>3472255</v>
      </c>
      <c r="N504" s="28" t="s">
        <v>193</v>
      </c>
      <c r="O504" s="29" t="s">
        <v>194</v>
      </c>
      <c r="P504" s="36">
        <v>44383</v>
      </c>
      <c r="Q504" s="31">
        <v>29981.279999999999</v>
      </c>
      <c r="R504" s="33">
        <f>M504/Q504</f>
        <v>115.81410133256486</v>
      </c>
    </row>
    <row r="505" spans="1:18" s="30" customFormat="1" ht="15" customHeight="1">
      <c r="A505" s="37" t="s">
        <v>52</v>
      </c>
      <c r="B505" s="26" t="s">
        <v>195</v>
      </c>
      <c r="C505" s="65" t="s">
        <v>1010</v>
      </c>
      <c r="D505" s="51" t="s">
        <v>1012</v>
      </c>
      <c r="E505" s="38" t="s">
        <v>4</v>
      </c>
      <c r="F505" s="38" t="s">
        <v>199</v>
      </c>
      <c r="G505" s="52">
        <v>305305</v>
      </c>
      <c r="H505" s="32">
        <v>0</v>
      </c>
      <c r="I505" s="52">
        <v>94462</v>
      </c>
      <c r="J505" s="53">
        <f>+G505-H505+I505</f>
        <v>399767</v>
      </c>
      <c r="K505" s="28">
        <v>0</v>
      </c>
      <c r="L505" s="32">
        <v>0</v>
      </c>
      <c r="M505" s="53">
        <f>+J505+L505</f>
        <v>399767</v>
      </c>
      <c r="N505" s="55" t="s">
        <v>200</v>
      </c>
      <c r="O505" s="29" t="s">
        <v>201</v>
      </c>
      <c r="P505" s="36">
        <v>44932</v>
      </c>
      <c r="Q505" s="49">
        <v>35178.67</v>
      </c>
      <c r="R505" s="33">
        <f>M505/Q505</f>
        <v>11.363903183377882</v>
      </c>
    </row>
    <row r="506" spans="1:18" s="30" customFormat="1" ht="15" customHeight="1">
      <c r="A506" s="46" t="s">
        <v>189</v>
      </c>
      <c r="B506" s="26" t="s">
        <v>190</v>
      </c>
      <c r="C506" s="65" t="s">
        <v>1013</v>
      </c>
      <c r="D506" s="51" t="s">
        <v>1014</v>
      </c>
      <c r="E506" s="38" t="s">
        <v>3</v>
      </c>
      <c r="F506" s="48" t="s">
        <v>11</v>
      </c>
      <c r="G506" s="52"/>
      <c r="H506" s="52"/>
      <c r="I506" s="52">
        <v>3638254</v>
      </c>
      <c r="J506" s="53">
        <f>+G506-H506+I506</f>
        <v>3638254</v>
      </c>
      <c r="K506" s="70">
        <v>0</v>
      </c>
      <c r="L506" s="52">
        <v>0</v>
      </c>
      <c r="M506" s="53">
        <f>+J506+L506</f>
        <v>3638254</v>
      </c>
      <c r="N506" s="55" t="s">
        <v>218</v>
      </c>
      <c r="O506" s="56" t="s">
        <v>219</v>
      </c>
      <c r="P506" s="56">
        <v>44531</v>
      </c>
      <c r="Q506" s="49">
        <v>30776.05</v>
      </c>
      <c r="R506" s="57">
        <f>M506/Q506</f>
        <v>118.21705514515345</v>
      </c>
    </row>
    <row r="507" spans="1:18" s="30" customFormat="1" ht="15" customHeight="1">
      <c r="A507" s="37" t="s">
        <v>293</v>
      </c>
      <c r="B507" s="26" t="s">
        <v>294</v>
      </c>
      <c r="C507" s="39">
        <v>597</v>
      </c>
      <c r="D507" s="40" t="s">
        <v>1015</v>
      </c>
      <c r="E507" s="38" t="s">
        <v>3</v>
      </c>
      <c r="F507" s="38" t="s">
        <v>296</v>
      </c>
      <c r="G507" s="32">
        <v>5212</v>
      </c>
      <c r="H507" s="32">
        <v>0</v>
      </c>
      <c r="I507" s="32">
        <v>5898898</v>
      </c>
      <c r="J507" s="35">
        <f>+G507-H507+I507</f>
        <v>5904110</v>
      </c>
      <c r="K507" s="27" t="s">
        <v>401</v>
      </c>
      <c r="L507" s="32">
        <v>0</v>
      </c>
      <c r="M507" s="35">
        <f>+J507+L507</f>
        <v>5904110</v>
      </c>
      <c r="N507" s="55" t="s">
        <v>402</v>
      </c>
      <c r="O507" s="56" t="s">
        <v>403</v>
      </c>
      <c r="P507" s="56">
        <v>44524</v>
      </c>
      <c r="Q507" s="49">
        <v>30683.439999999999</v>
      </c>
      <c r="R507" s="57">
        <f>+M507/Q507</f>
        <v>192.42008066892109</v>
      </c>
    </row>
    <row r="508" spans="1:18" s="30" customFormat="1" ht="15" customHeight="1">
      <c r="A508" s="46" t="s">
        <v>189</v>
      </c>
      <c r="B508" s="26" t="s">
        <v>190</v>
      </c>
      <c r="C508" s="65" t="s">
        <v>1016</v>
      </c>
      <c r="D508" s="51" t="s">
        <v>1017</v>
      </c>
      <c r="E508" s="38" t="s">
        <v>3</v>
      </c>
      <c r="F508" s="48" t="s">
        <v>10</v>
      </c>
      <c r="G508" s="52"/>
      <c r="H508" s="52"/>
      <c r="I508" s="52">
        <v>1317929</v>
      </c>
      <c r="J508" s="53">
        <f>+G508-H508+I508</f>
        <v>1317929</v>
      </c>
      <c r="K508" s="70">
        <v>0</v>
      </c>
      <c r="L508" s="52">
        <v>0</v>
      </c>
      <c r="M508" s="53">
        <f>+J508+L508</f>
        <v>1317929</v>
      </c>
      <c r="N508" s="55" t="s">
        <v>218</v>
      </c>
      <c r="O508" s="56" t="s">
        <v>219</v>
      </c>
      <c r="P508" s="56">
        <v>44531</v>
      </c>
      <c r="Q508" s="49">
        <v>30776.05</v>
      </c>
      <c r="R508" s="57">
        <f>M508/Q508</f>
        <v>42.823201807899324</v>
      </c>
    </row>
    <row r="509" spans="1:18" s="30" customFormat="1" ht="15" customHeight="1">
      <c r="A509" s="37" t="s">
        <v>52</v>
      </c>
      <c r="B509" s="26" t="s">
        <v>195</v>
      </c>
      <c r="C509" s="65" t="s">
        <v>1018</v>
      </c>
      <c r="D509" s="51" t="s">
        <v>1019</v>
      </c>
      <c r="E509" s="38" t="s">
        <v>4</v>
      </c>
      <c r="F509" s="38" t="s">
        <v>199</v>
      </c>
      <c r="G509" s="32">
        <v>0</v>
      </c>
      <c r="H509" s="32">
        <v>0</v>
      </c>
      <c r="I509" s="52">
        <v>3196721</v>
      </c>
      <c r="J509" s="53">
        <f>+G509-H509+I509</f>
        <v>3196721</v>
      </c>
      <c r="K509" s="28">
        <v>0</v>
      </c>
      <c r="L509" s="32">
        <v>0</v>
      </c>
      <c r="M509" s="53">
        <f>+J509+L509</f>
        <v>3196721</v>
      </c>
      <c r="N509" s="55" t="s">
        <v>200</v>
      </c>
      <c r="O509" s="29" t="s">
        <v>201</v>
      </c>
      <c r="P509" s="36">
        <v>44932</v>
      </c>
      <c r="Q509" s="49">
        <v>35178.67</v>
      </c>
      <c r="R509" s="33">
        <f>M509/Q509</f>
        <v>90.871002229475991</v>
      </c>
    </row>
    <row r="510" spans="1:18" s="30" customFormat="1" ht="15" customHeight="1">
      <c r="A510" s="37" t="s">
        <v>189</v>
      </c>
      <c r="B510" s="26" t="s">
        <v>190</v>
      </c>
      <c r="C510" s="39" t="s">
        <v>1020</v>
      </c>
      <c r="D510" s="40" t="s">
        <v>1021</v>
      </c>
      <c r="E510" s="38" t="s">
        <v>3</v>
      </c>
      <c r="F510" s="38" t="s">
        <v>11</v>
      </c>
      <c r="G510" s="32">
        <v>1706731</v>
      </c>
      <c r="H510" s="32"/>
      <c r="I510" s="32">
        <v>141407</v>
      </c>
      <c r="J510" s="35">
        <f>+G510-H510+I510</f>
        <v>1848138</v>
      </c>
      <c r="K510" s="28">
        <v>0</v>
      </c>
      <c r="L510" s="32">
        <v>0</v>
      </c>
      <c r="M510" s="35">
        <f>+J510+L510</f>
        <v>1848138</v>
      </c>
      <c r="N510" s="28" t="s">
        <v>193</v>
      </c>
      <c r="O510" s="29" t="s">
        <v>194</v>
      </c>
      <c r="P510" s="36">
        <v>44383</v>
      </c>
      <c r="Q510" s="31">
        <v>29981.279999999999</v>
      </c>
      <c r="R510" s="33">
        <f>M510/Q510</f>
        <v>61.643065272730183</v>
      </c>
    </row>
    <row r="511" spans="1:18" s="30" customFormat="1" ht="15" customHeight="1">
      <c r="A511" s="37" t="s">
        <v>189</v>
      </c>
      <c r="B511" s="26" t="s">
        <v>190</v>
      </c>
      <c r="C511" s="39" t="s">
        <v>1022</v>
      </c>
      <c r="D511" s="40" t="s">
        <v>1023</v>
      </c>
      <c r="E511" s="38" t="s">
        <v>3</v>
      </c>
      <c r="F511" s="38" t="s">
        <v>11</v>
      </c>
      <c r="G511" s="32">
        <v>8106280</v>
      </c>
      <c r="H511" s="32">
        <v>28982</v>
      </c>
      <c r="I511" s="32">
        <v>83088</v>
      </c>
      <c r="J511" s="35">
        <f>+G511-H511+I511</f>
        <v>8160386</v>
      </c>
      <c r="K511" s="28">
        <v>0</v>
      </c>
      <c r="L511" s="32">
        <v>0</v>
      </c>
      <c r="M511" s="35">
        <f>+J511+L511</f>
        <v>8160386</v>
      </c>
      <c r="N511" s="28" t="s">
        <v>193</v>
      </c>
      <c r="O511" s="29" t="s">
        <v>194</v>
      </c>
      <c r="P511" s="36">
        <v>44383</v>
      </c>
      <c r="Q511" s="31">
        <v>29981.279999999999</v>
      </c>
      <c r="R511" s="33">
        <f>M511/Q511</f>
        <v>272.18270867688108</v>
      </c>
    </row>
    <row r="512" spans="1:18" s="30" customFormat="1" ht="15" customHeight="1">
      <c r="A512" s="37" t="s">
        <v>52</v>
      </c>
      <c r="B512" s="26" t="s">
        <v>195</v>
      </c>
      <c r="C512" s="65" t="s">
        <v>1022</v>
      </c>
      <c r="D512" s="51" t="s">
        <v>1024</v>
      </c>
      <c r="E512" s="38" t="s">
        <v>4</v>
      </c>
      <c r="F512" s="38" t="s">
        <v>199</v>
      </c>
      <c r="G512" s="52">
        <v>144103</v>
      </c>
      <c r="H512" s="32">
        <v>0</v>
      </c>
      <c r="I512" s="52">
        <v>1383946</v>
      </c>
      <c r="J512" s="53">
        <f>+G512-H512+I512</f>
        <v>1528049</v>
      </c>
      <c r="K512" s="28">
        <v>0</v>
      </c>
      <c r="L512" s="32">
        <v>0</v>
      </c>
      <c r="M512" s="53">
        <f>+J512+L512</f>
        <v>1528049</v>
      </c>
      <c r="N512" s="55" t="s">
        <v>200</v>
      </c>
      <c r="O512" s="29" t="s">
        <v>201</v>
      </c>
      <c r="P512" s="36">
        <v>44932</v>
      </c>
      <c r="Q512" s="49">
        <v>35178.67</v>
      </c>
      <c r="R512" s="33">
        <f>M512/Q512</f>
        <v>43.436804177076624</v>
      </c>
    </row>
    <row r="513" spans="1:18" s="30" customFormat="1" ht="15" customHeight="1">
      <c r="A513" s="37" t="s">
        <v>391</v>
      </c>
      <c r="B513" s="26" t="s">
        <v>392</v>
      </c>
      <c r="C513" s="39">
        <v>153</v>
      </c>
      <c r="D513" s="40" t="s">
        <v>1025</v>
      </c>
      <c r="E513" s="38" t="s">
        <v>3</v>
      </c>
      <c r="F513" s="38" t="s">
        <v>9</v>
      </c>
      <c r="G513" s="32">
        <v>11262</v>
      </c>
      <c r="H513" s="32">
        <v>0</v>
      </c>
      <c r="I513" s="32">
        <v>288313</v>
      </c>
      <c r="J513" s="35">
        <f>+G513-H513+I513</f>
        <v>299575</v>
      </c>
      <c r="K513" s="27"/>
      <c r="L513" s="32">
        <v>0</v>
      </c>
      <c r="M513" s="35">
        <f>+J513+L513</f>
        <v>299575</v>
      </c>
      <c r="N513" s="28" t="s">
        <v>481</v>
      </c>
      <c r="O513" s="29" t="s">
        <v>482</v>
      </c>
      <c r="P513" s="36">
        <v>44130</v>
      </c>
      <c r="Q513" s="31">
        <v>28810.82</v>
      </c>
      <c r="R513" s="33">
        <f>M513/Q513</f>
        <v>10.398003250167818</v>
      </c>
    </row>
    <row r="514" spans="1:18" ht="15" customHeight="1">
      <c r="A514" s="37" t="s">
        <v>52</v>
      </c>
      <c r="B514" s="26" t="s">
        <v>195</v>
      </c>
      <c r="C514" s="65" t="s">
        <v>1026</v>
      </c>
      <c r="D514" s="51" t="s">
        <v>1027</v>
      </c>
      <c r="E514" s="38" t="s">
        <v>4</v>
      </c>
      <c r="F514" s="38" t="s">
        <v>199</v>
      </c>
      <c r="G514" s="52">
        <v>1019212</v>
      </c>
      <c r="H514" s="32">
        <v>0</v>
      </c>
      <c r="I514" s="52">
        <v>1421038</v>
      </c>
      <c r="J514" s="53">
        <f>+G514-H514+I514</f>
        <v>2440250</v>
      </c>
      <c r="K514" s="28">
        <v>0</v>
      </c>
      <c r="L514" s="32">
        <v>0</v>
      </c>
      <c r="M514" s="53">
        <f>+J514+L514</f>
        <v>2440250</v>
      </c>
      <c r="N514" s="55" t="s">
        <v>200</v>
      </c>
      <c r="O514" s="29" t="s">
        <v>201</v>
      </c>
      <c r="P514" s="36">
        <v>44932</v>
      </c>
      <c r="Q514" s="49">
        <v>35178.67</v>
      </c>
      <c r="R514" s="33">
        <f>M514/Q514</f>
        <v>69.367318321016683</v>
      </c>
    </row>
    <row r="515" spans="1:18" ht="15" customHeight="1">
      <c r="A515" s="37" t="s">
        <v>189</v>
      </c>
      <c r="B515" s="26" t="s">
        <v>190</v>
      </c>
      <c r="C515" s="39" t="s">
        <v>1028</v>
      </c>
      <c r="D515" s="40" t="s">
        <v>1029</v>
      </c>
      <c r="E515" s="38" t="s">
        <v>3</v>
      </c>
      <c r="F515" s="38" t="s">
        <v>11</v>
      </c>
      <c r="G515" s="32">
        <v>10481577</v>
      </c>
      <c r="H515" s="32">
        <v>15705965</v>
      </c>
      <c r="I515" s="32"/>
      <c r="J515" s="35">
        <f>+G515-H515+I515</f>
        <v>-5224388</v>
      </c>
      <c r="K515" s="28">
        <v>0</v>
      </c>
      <c r="L515" s="32">
        <v>0</v>
      </c>
      <c r="M515" s="35">
        <f>+J515+L515</f>
        <v>-5224388</v>
      </c>
      <c r="N515" s="28" t="s">
        <v>193</v>
      </c>
      <c r="O515" s="29" t="s">
        <v>194</v>
      </c>
      <c r="P515" s="36">
        <v>44383</v>
      </c>
      <c r="Q515" s="31">
        <v>29981.279999999999</v>
      </c>
      <c r="R515" s="33">
        <f>M515/Q515</f>
        <v>-174.25500178778225</v>
      </c>
    </row>
    <row r="516" spans="1:18" ht="15" customHeight="1">
      <c r="A516" s="37" t="s">
        <v>189</v>
      </c>
      <c r="B516" s="26" t="s">
        <v>190</v>
      </c>
      <c r="C516" s="39" t="s">
        <v>1030</v>
      </c>
      <c r="D516" s="40" t="s">
        <v>1031</v>
      </c>
      <c r="E516" s="38" t="s">
        <v>3</v>
      </c>
      <c r="F516" s="38" t="s">
        <v>10</v>
      </c>
      <c r="G516" s="32"/>
      <c r="H516" s="32">
        <v>32237355</v>
      </c>
      <c r="I516" s="32">
        <v>43501184</v>
      </c>
      <c r="J516" s="35">
        <f>+G516-H516+I516</f>
        <v>11263829</v>
      </c>
      <c r="K516" s="28">
        <v>0</v>
      </c>
      <c r="L516" s="32">
        <v>0</v>
      </c>
      <c r="M516" s="35">
        <f>+J516+L516</f>
        <v>11263829</v>
      </c>
      <c r="N516" s="28" t="s">
        <v>193</v>
      </c>
      <c r="O516" s="29" t="s">
        <v>194</v>
      </c>
      <c r="P516" s="36">
        <v>44383</v>
      </c>
      <c r="Q516" s="31">
        <v>29981.279999999999</v>
      </c>
      <c r="R516" s="33">
        <f>M516/Q516</f>
        <v>375.69540059663899</v>
      </c>
    </row>
    <row r="517" spans="1:18" ht="15" customHeight="1">
      <c r="A517" s="37" t="s">
        <v>52</v>
      </c>
      <c r="B517" s="26" t="s">
        <v>195</v>
      </c>
      <c r="C517" s="65" t="s">
        <v>1030</v>
      </c>
      <c r="D517" s="51" t="s">
        <v>1032</v>
      </c>
      <c r="E517" s="38" t="s">
        <v>6</v>
      </c>
      <c r="F517" s="38" t="s">
        <v>199</v>
      </c>
      <c r="G517" s="32">
        <v>0</v>
      </c>
      <c r="H517" s="32">
        <v>0</v>
      </c>
      <c r="I517" s="52">
        <v>1784661</v>
      </c>
      <c r="J517" s="53">
        <f>+G517-H517+I517</f>
        <v>1784661</v>
      </c>
      <c r="K517" s="28">
        <v>0</v>
      </c>
      <c r="L517" s="32">
        <v>0</v>
      </c>
      <c r="M517" s="53">
        <f>+J517+L517</f>
        <v>1784661</v>
      </c>
      <c r="N517" s="55" t="s">
        <v>200</v>
      </c>
      <c r="O517" s="29" t="s">
        <v>201</v>
      </c>
      <c r="P517" s="36">
        <v>44932</v>
      </c>
      <c r="Q517" s="49">
        <v>35178.67</v>
      </c>
      <c r="R517" s="33">
        <f>M517/Q517</f>
        <v>50.731338052291349</v>
      </c>
    </row>
    <row r="518" spans="1:18" ht="15" customHeight="1">
      <c r="A518" s="46" t="s">
        <v>189</v>
      </c>
      <c r="B518" s="26" t="s">
        <v>190</v>
      </c>
      <c r="C518" s="65" t="s">
        <v>1033</v>
      </c>
      <c r="D518" s="51" t="s">
        <v>1034</v>
      </c>
      <c r="E518" s="38" t="s">
        <v>3</v>
      </c>
      <c r="F518" s="38" t="s">
        <v>15</v>
      </c>
      <c r="G518" s="52">
        <v>31254835</v>
      </c>
      <c r="H518" s="52"/>
      <c r="I518" s="52"/>
      <c r="J518" s="53">
        <f>+G518-H518+I518</f>
        <v>31254835</v>
      </c>
      <c r="K518" s="70">
        <v>0</v>
      </c>
      <c r="L518" s="52">
        <v>0</v>
      </c>
      <c r="M518" s="53">
        <f>+J518+L518</f>
        <v>31254835</v>
      </c>
      <c r="N518" s="55" t="s">
        <v>794</v>
      </c>
      <c r="O518" s="56" t="s">
        <v>795</v>
      </c>
      <c r="P518" s="56">
        <v>44699</v>
      </c>
      <c r="Q518" s="49">
        <v>32489.56</v>
      </c>
      <c r="R518" s="57">
        <f>M518/Q518</f>
        <v>961.99625356576075</v>
      </c>
    </row>
    <row r="519" spans="1:18" ht="15" customHeight="1">
      <c r="A519" s="46" t="s">
        <v>189</v>
      </c>
      <c r="B519" s="26" t="s">
        <v>190</v>
      </c>
      <c r="C519" s="65" t="s">
        <v>1035</v>
      </c>
      <c r="D519" s="51" t="s">
        <v>1036</v>
      </c>
      <c r="E519" s="38" t="s">
        <v>3</v>
      </c>
      <c r="F519" s="38" t="s">
        <v>15</v>
      </c>
      <c r="G519" s="52">
        <v>22247069</v>
      </c>
      <c r="H519" s="52"/>
      <c r="I519" s="52">
        <v>21176154</v>
      </c>
      <c r="J519" s="53">
        <f>+G519-H519+I519</f>
        <v>43423223</v>
      </c>
      <c r="K519" s="70">
        <v>0</v>
      </c>
      <c r="L519" s="52">
        <v>0</v>
      </c>
      <c r="M519" s="53">
        <f>+J519+L519</f>
        <v>43423223</v>
      </c>
      <c r="N519" s="55" t="s">
        <v>902</v>
      </c>
      <c r="O519" s="56" t="s">
        <v>795</v>
      </c>
      <c r="P519" s="56">
        <v>44560</v>
      </c>
      <c r="Q519" s="49">
        <v>30986.76</v>
      </c>
      <c r="R519" s="57">
        <f>M519/Q519</f>
        <v>1401.3476400888637</v>
      </c>
    </row>
    <row r="520" spans="1:18" ht="15" customHeight="1">
      <c r="A520" s="37" t="s">
        <v>52</v>
      </c>
      <c r="B520" s="26" t="s">
        <v>195</v>
      </c>
      <c r="C520" s="65" t="s">
        <v>1037</v>
      </c>
      <c r="D520" s="51" t="s">
        <v>1038</v>
      </c>
      <c r="E520" s="38" t="s">
        <v>3</v>
      </c>
      <c r="F520" s="38" t="s">
        <v>199</v>
      </c>
      <c r="G520" s="32">
        <v>0</v>
      </c>
      <c r="H520" s="52">
        <v>1846713</v>
      </c>
      <c r="I520" s="52">
        <v>20383309</v>
      </c>
      <c r="J520" s="53">
        <f>+G520-H520+I520</f>
        <v>18536596</v>
      </c>
      <c r="K520" s="28">
        <v>0</v>
      </c>
      <c r="L520" s="32">
        <v>0</v>
      </c>
      <c r="M520" s="53">
        <f>+J520+L520</f>
        <v>18536596</v>
      </c>
      <c r="N520" s="55" t="s">
        <v>200</v>
      </c>
      <c r="O520" s="29" t="s">
        <v>201</v>
      </c>
      <c r="P520" s="36">
        <v>44932</v>
      </c>
      <c r="Q520" s="49">
        <v>35178.67</v>
      </c>
      <c r="R520" s="33">
        <f>M520/Q520</f>
        <v>526.92714079298628</v>
      </c>
    </row>
    <row r="521" spans="1:18" ht="15" customHeight="1">
      <c r="A521" s="37" t="s">
        <v>189</v>
      </c>
      <c r="B521" s="26" t="s">
        <v>190</v>
      </c>
      <c r="C521" s="39" t="s">
        <v>1039</v>
      </c>
      <c r="D521" s="40" t="s">
        <v>1040</v>
      </c>
      <c r="E521" s="38" t="s">
        <v>3</v>
      </c>
      <c r="F521" s="38" t="s">
        <v>10</v>
      </c>
      <c r="G521" s="32">
        <v>0</v>
      </c>
      <c r="H521" s="32">
        <v>0</v>
      </c>
      <c r="I521" s="32">
        <v>2310126</v>
      </c>
      <c r="J521" s="35">
        <f>+G521-H521+I521</f>
        <v>2310126</v>
      </c>
      <c r="K521" s="28">
        <v>0</v>
      </c>
      <c r="L521" s="32">
        <v>0</v>
      </c>
      <c r="M521" s="35">
        <f>+J521+L521</f>
        <v>2310126</v>
      </c>
      <c r="N521" s="28" t="s">
        <v>771</v>
      </c>
      <c r="O521" s="29" t="s">
        <v>772</v>
      </c>
      <c r="P521" s="36">
        <v>43409</v>
      </c>
      <c r="Q521" s="31">
        <v>27445.360000000001</v>
      </c>
      <c r="R521" s="33">
        <f>M521/Q521</f>
        <v>84.171823579650621</v>
      </c>
    </row>
    <row r="522" spans="1:18" ht="15" customHeight="1">
      <c r="A522" s="37" t="s">
        <v>189</v>
      </c>
      <c r="B522" s="26" t="s">
        <v>225</v>
      </c>
      <c r="C522" s="39" t="s">
        <v>1039</v>
      </c>
      <c r="D522" s="40" t="s">
        <v>1041</v>
      </c>
      <c r="E522" s="38" t="s">
        <v>3</v>
      </c>
      <c r="F522" s="38" t="s">
        <v>10</v>
      </c>
      <c r="G522" s="32">
        <v>7632082</v>
      </c>
      <c r="H522" s="32">
        <v>0</v>
      </c>
      <c r="I522" s="52">
        <v>0</v>
      </c>
      <c r="J522" s="35">
        <f>+G522-H522+I522</f>
        <v>7632082</v>
      </c>
      <c r="K522" s="28">
        <v>0</v>
      </c>
      <c r="L522" s="32">
        <v>0</v>
      </c>
      <c r="M522" s="35">
        <f>+J522+L522</f>
        <v>7632082</v>
      </c>
      <c r="N522" s="28" t="s">
        <v>538</v>
      </c>
      <c r="O522" s="29" t="s">
        <v>539</v>
      </c>
      <c r="P522" s="36">
        <v>44067</v>
      </c>
      <c r="Q522" s="31">
        <v>28672.97</v>
      </c>
      <c r="R522" s="33">
        <f>M522/Q522</f>
        <v>266.17689063951167</v>
      </c>
    </row>
    <row r="523" spans="1:18" ht="15" customHeight="1">
      <c r="A523" s="37" t="s">
        <v>189</v>
      </c>
      <c r="B523" s="26" t="s">
        <v>190</v>
      </c>
      <c r="C523" s="39" t="s">
        <v>1042</v>
      </c>
      <c r="D523" s="40" t="s">
        <v>1043</v>
      </c>
      <c r="E523" s="38" t="s">
        <v>3</v>
      </c>
      <c r="F523" s="38" t="s">
        <v>10</v>
      </c>
      <c r="G523" s="32">
        <v>992434</v>
      </c>
      <c r="H523" s="32"/>
      <c r="I523" s="32">
        <v>15528723</v>
      </c>
      <c r="J523" s="35">
        <f>+G523-H523+I523</f>
        <v>16521157</v>
      </c>
      <c r="K523" s="28">
        <v>0</v>
      </c>
      <c r="L523" s="32">
        <v>0</v>
      </c>
      <c r="M523" s="35">
        <f>+J523+L523</f>
        <v>16521157</v>
      </c>
      <c r="N523" s="28" t="s">
        <v>193</v>
      </c>
      <c r="O523" s="29" t="s">
        <v>194</v>
      </c>
      <c r="P523" s="36">
        <v>44383</v>
      </c>
      <c r="Q523" s="31">
        <v>29981.279999999999</v>
      </c>
      <c r="R523" s="33">
        <f>M523/Q523</f>
        <v>551.04908796422308</v>
      </c>
    </row>
    <row r="524" spans="1:18" ht="15" customHeight="1">
      <c r="A524" s="37" t="s">
        <v>52</v>
      </c>
      <c r="B524" s="26" t="s">
        <v>195</v>
      </c>
      <c r="C524" s="65" t="s">
        <v>1042</v>
      </c>
      <c r="D524" s="51" t="s">
        <v>1044</v>
      </c>
      <c r="E524" s="38" t="s">
        <v>4</v>
      </c>
      <c r="F524" s="38" t="s">
        <v>199</v>
      </c>
      <c r="G524" s="32">
        <v>0</v>
      </c>
      <c r="H524" s="32">
        <v>0</v>
      </c>
      <c r="I524" s="52">
        <v>974610</v>
      </c>
      <c r="J524" s="53">
        <f>+G524-H524+I524</f>
        <v>974610</v>
      </c>
      <c r="K524" s="28">
        <v>0</v>
      </c>
      <c r="L524" s="32">
        <v>0</v>
      </c>
      <c r="M524" s="53">
        <f>+J524+L524</f>
        <v>974610</v>
      </c>
      <c r="N524" s="55" t="s">
        <v>200</v>
      </c>
      <c r="O524" s="29" t="s">
        <v>201</v>
      </c>
      <c r="P524" s="36">
        <v>44932</v>
      </c>
      <c r="Q524" s="49">
        <v>35178.67</v>
      </c>
      <c r="R524" s="33">
        <f>M524/Q524</f>
        <v>27.704572117138028</v>
      </c>
    </row>
    <row r="525" spans="1:18" ht="15" customHeight="1">
      <c r="A525" s="46" t="s">
        <v>189</v>
      </c>
      <c r="B525" s="26" t="s">
        <v>190</v>
      </c>
      <c r="C525" s="65" t="s">
        <v>1045</v>
      </c>
      <c r="D525" s="51" t="s">
        <v>1046</v>
      </c>
      <c r="E525" s="38" t="s">
        <v>3</v>
      </c>
      <c r="F525" s="48" t="s">
        <v>11</v>
      </c>
      <c r="G525" s="52">
        <v>45619231</v>
      </c>
      <c r="H525" s="52">
        <v>18721688</v>
      </c>
      <c r="I525" s="52">
        <v>264693</v>
      </c>
      <c r="J525" s="53">
        <f>+G525-H525+I525</f>
        <v>27162236</v>
      </c>
      <c r="K525" s="70">
        <v>0</v>
      </c>
      <c r="L525" s="52">
        <v>0</v>
      </c>
      <c r="M525" s="53">
        <f>+J525+L525</f>
        <v>27162236</v>
      </c>
      <c r="N525" s="55" t="s">
        <v>218</v>
      </c>
      <c r="O525" s="56" t="s">
        <v>219</v>
      </c>
      <c r="P525" s="56">
        <v>44531</v>
      </c>
      <c r="Q525" s="49">
        <v>30776.05</v>
      </c>
      <c r="R525" s="57">
        <f>M525/Q525</f>
        <v>882.57706885711457</v>
      </c>
    </row>
    <row r="526" spans="1:18" ht="15" customHeight="1">
      <c r="A526" s="37" t="s">
        <v>52</v>
      </c>
      <c r="B526" s="26" t="s">
        <v>195</v>
      </c>
      <c r="C526" s="65" t="s">
        <v>1047</v>
      </c>
      <c r="D526" s="51" t="s">
        <v>1048</v>
      </c>
      <c r="E526" s="38" t="s">
        <v>4</v>
      </c>
      <c r="F526" s="38" t="s">
        <v>199</v>
      </c>
      <c r="G526" s="32">
        <v>0</v>
      </c>
      <c r="H526" s="32">
        <v>0</v>
      </c>
      <c r="I526" s="52">
        <v>1264245</v>
      </c>
      <c r="J526" s="53">
        <f>+G526-H526+I526</f>
        <v>1264245</v>
      </c>
      <c r="K526" s="28">
        <v>0</v>
      </c>
      <c r="L526" s="32">
        <v>0</v>
      </c>
      <c r="M526" s="53">
        <f>+J526+L526</f>
        <v>1264245</v>
      </c>
      <c r="N526" s="55" t="s">
        <v>200</v>
      </c>
      <c r="O526" s="29" t="s">
        <v>201</v>
      </c>
      <c r="P526" s="36">
        <v>44932</v>
      </c>
      <c r="Q526" s="49">
        <v>35178.67</v>
      </c>
      <c r="R526" s="33">
        <f>M526/Q526</f>
        <v>35.93782823512089</v>
      </c>
    </row>
    <row r="527" spans="1:18" ht="15" customHeight="1">
      <c r="A527" s="46" t="s">
        <v>189</v>
      </c>
      <c r="B527" s="26" t="s">
        <v>190</v>
      </c>
      <c r="C527" s="65" t="s">
        <v>1049</v>
      </c>
      <c r="D527" s="51" t="s">
        <v>1050</v>
      </c>
      <c r="E527" s="38" t="s">
        <v>3</v>
      </c>
      <c r="F527" s="48" t="s">
        <v>10</v>
      </c>
      <c r="G527" s="52">
        <v>148075710</v>
      </c>
      <c r="H527" s="52">
        <v>120309519</v>
      </c>
      <c r="I527" s="52">
        <v>53607340</v>
      </c>
      <c r="J527" s="53">
        <f>+G527-H527+I527</f>
        <v>81373531</v>
      </c>
      <c r="K527" s="70">
        <v>0</v>
      </c>
      <c r="L527" s="52">
        <v>0</v>
      </c>
      <c r="M527" s="53">
        <f>+J527+L527</f>
        <v>81373531</v>
      </c>
      <c r="N527" s="55" t="s">
        <v>902</v>
      </c>
      <c r="O527" s="56" t="s">
        <v>795</v>
      </c>
      <c r="P527" s="56">
        <v>44560</v>
      </c>
      <c r="Q527" s="49">
        <v>30986.76</v>
      </c>
      <c r="R527" s="57">
        <f>M527/Q527</f>
        <v>2626.0742007231479</v>
      </c>
    </row>
    <row r="528" spans="1:18" ht="15" customHeight="1">
      <c r="A528" s="37" t="s">
        <v>189</v>
      </c>
      <c r="B528" s="26" t="s">
        <v>190</v>
      </c>
      <c r="C528" s="39" t="s">
        <v>1051</v>
      </c>
      <c r="D528" s="40" t="s">
        <v>1052</v>
      </c>
      <c r="E528" s="38" t="s">
        <v>3</v>
      </c>
      <c r="F528" s="38" t="s">
        <v>12</v>
      </c>
      <c r="G528" s="32">
        <v>1137275</v>
      </c>
      <c r="H528" s="32">
        <v>66870002</v>
      </c>
      <c r="I528" s="32">
        <v>245217459</v>
      </c>
      <c r="J528" s="35">
        <f>+G528-H528+I528</f>
        <v>179484732</v>
      </c>
      <c r="K528" s="28">
        <v>0</v>
      </c>
      <c r="L528" s="32">
        <v>0</v>
      </c>
      <c r="M528" s="35">
        <f>+J528+L528</f>
        <v>179484732</v>
      </c>
      <c r="N528" s="28" t="s">
        <v>193</v>
      </c>
      <c r="O528" s="29" t="s">
        <v>194</v>
      </c>
      <c r="P528" s="36">
        <v>44383</v>
      </c>
      <c r="Q528" s="31">
        <v>29981.279999999999</v>
      </c>
      <c r="R528" s="33">
        <f>M528/Q528</f>
        <v>5986.5600134483921</v>
      </c>
    </row>
    <row r="529" spans="1:18" ht="15" customHeight="1">
      <c r="A529" s="37" t="s">
        <v>52</v>
      </c>
      <c r="B529" s="26" t="s">
        <v>195</v>
      </c>
      <c r="C529" s="65" t="s">
        <v>1051</v>
      </c>
      <c r="D529" s="51" t="s">
        <v>1053</v>
      </c>
      <c r="E529" s="38" t="s">
        <v>3</v>
      </c>
      <c r="F529" s="38" t="s">
        <v>10</v>
      </c>
      <c r="G529" s="52">
        <v>837175</v>
      </c>
      <c r="H529" s="32">
        <v>0</v>
      </c>
      <c r="I529" s="52">
        <v>3149594</v>
      </c>
      <c r="J529" s="53">
        <f>+G529-H529+I529</f>
        <v>3986769</v>
      </c>
      <c r="K529" s="28">
        <v>0</v>
      </c>
      <c r="L529" s="32">
        <v>0</v>
      </c>
      <c r="M529" s="53">
        <f>+J529+L529</f>
        <v>3986769</v>
      </c>
      <c r="N529" s="55" t="s">
        <v>200</v>
      </c>
      <c r="O529" s="29" t="s">
        <v>201</v>
      </c>
      <c r="P529" s="36">
        <v>44932</v>
      </c>
      <c r="Q529" s="49">
        <v>35178.67</v>
      </c>
      <c r="R529" s="33">
        <f>M529/Q529</f>
        <v>113.3291565599268</v>
      </c>
    </row>
    <row r="530" spans="1:18" ht="15" customHeight="1">
      <c r="A530" s="37" t="s">
        <v>189</v>
      </c>
      <c r="B530" s="26" t="s">
        <v>190</v>
      </c>
      <c r="C530" s="39" t="s">
        <v>1054</v>
      </c>
      <c r="D530" s="40" t="s">
        <v>1055</v>
      </c>
      <c r="E530" s="38" t="s">
        <v>3</v>
      </c>
      <c r="F530" s="38" t="s">
        <v>15</v>
      </c>
      <c r="G530" s="32">
        <v>23640029</v>
      </c>
      <c r="H530" s="32">
        <v>0</v>
      </c>
      <c r="I530" s="52">
        <v>0</v>
      </c>
      <c r="J530" s="35">
        <f>+G530-H530+I530</f>
        <v>23640029</v>
      </c>
      <c r="K530" s="28">
        <v>0</v>
      </c>
      <c r="L530" s="32">
        <v>0</v>
      </c>
      <c r="M530" s="35">
        <f>+J530+L530</f>
        <v>23640029</v>
      </c>
      <c r="N530" s="28" t="s">
        <v>204</v>
      </c>
      <c r="O530" s="29" t="s">
        <v>205</v>
      </c>
      <c r="P530" s="36">
        <v>44335</v>
      </c>
      <c r="Q530" s="31">
        <v>29567.53</v>
      </c>
      <c r="R530" s="33">
        <f>M530/Q530</f>
        <v>799.52667672950702</v>
      </c>
    </row>
    <row r="531" spans="1:18" ht="15" customHeight="1">
      <c r="A531" s="37" t="s">
        <v>293</v>
      </c>
      <c r="B531" s="26" t="s">
        <v>294</v>
      </c>
      <c r="C531" s="39">
        <v>551</v>
      </c>
      <c r="D531" s="40" t="s">
        <v>1056</v>
      </c>
      <c r="E531" s="38" t="s">
        <v>3</v>
      </c>
      <c r="F531" s="38" t="s">
        <v>296</v>
      </c>
      <c r="G531" s="32">
        <v>31716</v>
      </c>
      <c r="H531" s="32">
        <v>0</v>
      </c>
      <c r="I531" s="32">
        <v>282195</v>
      </c>
      <c r="J531" s="35">
        <f>+G531-H531+I531</f>
        <v>313911</v>
      </c>
      <c r="K531" s="27" t="s">
        <v>297</v>
      </c>
      <c r="L531" s="32">
        <v>0</v>
      </c>
      <c r="M531" s="35">
        <f>+J531+L531</f>
        <v>313911</v>
      </c>
      <c r="N531" s="55" t="s">
        <v>298</v>
      </c>
      <c r="O531" s="56" t="s">
        <v>299</v>
      </c>
      <c r="P531" s="56">
        <v>44502</v>
      </c>
      <c r="Q531" s="49">
        <v>30403.919999999998</v>
      </c>
      <c r="R531" s="57">
        <f>+M531/Q531</f>
        <v>10.324688395443745</v>
      </c>
    </row>
    <row r="532" spans="1:18" ht="15" customHeight="1">
      <c r="A532" s="37" t="s">
        <v>189</v>
      </c>
      <c r="B532" s="26" t="s">
        <v>190</v>
      </c>
      <c r="C532" s="39" t="s">
        <v>1057</v>
      </c>
      <c r="D532" s="40" t="s">
        <v>1058</v>
      </c>
      <c r="E532" s="38" t="s">
        <v>3</v>
      </c>
      <c r="F532" s="38" t="s">
        <v>12</v>
      </c>
      <c r="G532" s="32">
        <v>43990399</v>
      </c>
      <c r="H532" s="32">
        <v>8079259</v>
      </c>
      <c r="I532" s="32">
        <v>126086211</v>
      </c>
      <c r="J532" s="35">
        <f>+G532-H532+I532</f>
        <v>161997351</v>
      </c>
      <c r="K532" s="28">
        <v>0</v>
      </c>
      <c r="L532" s="32">
        <v>0</v>
      </c>
      <c r="M532" s="35">
        <f>+J532+L532</f>
        <v>161997351</v>
      </c>
      <c r="N532" s="28" t="s">
        <v>193</v>
      </c>
      <c r="O532" s="29" t="s">
        <v>194</v>
      </c>
      <c r="P532" s="36">
        <v>44383</v>
      </c>
      <c r="Q532" s="31">
        <v>29981.279999999999</v>
      </c>
      <c r="R532" s="33">
        <f>M532/Q532</f>
        <v>5403.2833488096576</v>
      </c>
    </row>
    <row r="533" spans="1:18" ht="15" customHeight="1">
      <c r="A533" s="37" t="s">
        <v>52</v>
      </c>
      <c r="B533" s="26" t="s">
        <v>195</v>
      </c>
      <c r="C533" s="65" t="s">
        <v>1057</v>
      </c>
      <c r="D533" s="51" t="s">
        <v>1059</v>
      </c>
      <c r="E533" s="38" t="s">
        <v>4</v>
      </c>
      <c r="F533" s="38" t="s">
        <v>199</v>
      </c>
      <c r="G533" s="52">
        <v>1282626</v>
      </c>
      <c r="H533" s="32">
        <v>0</v>
      </c>
      <c r="I533" s="52">
        <v>354138</v>
      </c>
      <c r="J533" s="53">
        <f>+G533-H533+I533</f>
        <v>1636764</v>
      </c>
      <c r="K533" s="28">
        <v>0</v>
      </c>
      <c r="L533" s="32">
        <v>0</v>
      </c>
      <c r="M533" s="53">
        <f>+J533+L533</f>
        <v>1636764</v>
      </c>
      <c r="N533" s="55" t="s">
        <v>200</v>
      </c>
      <c r="O533" s="29" t="s">
        <v>201</v>
      </c>
      <c r="P533" s="36">
        <v>44932</v>
      </c>
      <c r="Q533" s="49">
        <v>35178.67</v>
      </c>
      <c r="R533" s="33">
        <f>M533/Q533</f>
        <v>46.527171152291999</v>
      </c>
    </row>
    <row r="534" spans="1:18" ht="15" customHeight="1">
      <c r="A534" s="37" t="s">
        <v>52</v>
      </c>
      <c r="B534" s="26" t="s">
        <v>195</v>
      </c>
      <c r="C534" s="65" t="s">
        <v>1060</v>
      </c>
      <c r="D534" s="51" t="s">
        <v>1061</v>
      </c>
      <c r="E534" s="38" t="s">
        <v>4</v>
      </c>
      <c r="F534" s="38" t="s">
        <v>199</v>
      </c>
      <c r="G534" s="32">
        <v>0</v>
      </c>
      <c r="H534" s="32">
        <v>0</v>
      </c>
      <c r="I534" s="52">
        <v>542132</v>
      </c>
      <c r="J534" s="53">
        <f>+G534-H534+I534</f>
        <v>542132</v>
      </c>
      <c r="K534" s="28">
        <v>0</v>
      </c>
      <c r="L534" s="32">
        <v>0</v>
      </c>
      <c r="M534" s="53">
        <f>+J534+L534</f>
        <v>542132</v>
      </c>
      <c r="N534" s="55" t="s">
        <v>200</v>
      </c>
      <c r="O534" s="29" t="s">
        <v>201</v>
      </c>
      <c r="P534" s="36">
        <v>44932</v>
      </c>
      <c r="Q534" s="49">
        <v>35178.67</v>
      </c>
      <c r="R534" s="33">
        <f>M534/Q534</f>
        <v>15.410815701673771</v>
      </c>
    </row>
    <row r="535" spans="1:18" s="30" customFormat="1" ht="15" customHeight="1">
      <c r="A535" s="37" t="s">
        <v>52</v>
      </c>
      <c r="B535" s="26" t="s">
        <v>195</v>
      </c>
      <c r="C535" s="65" t="s">
        <v>1062</v>
      </c>
      <c r="D535" s="51" t="s">
        <v>1063</v>
      </c>
      <c r="E535" s="38" t="s">
        <v>3</v>
      </c>
      <c r="F535" s="38" t="s">
        <v>199</v>
      </c>
      <c r="G535" s="32">
        <v>0</v>
      </c>
      <c r="H535" s="32">
        <v>0</v>
      </c>
      <c r="I535" s="52">
        <v>545052</v>
      </c>
      <c r="J535" s="53">
        <f>+G535-H535+I535</f>
        <v>545052</v>
      </c>
      <c r="K535" s="28">
        <v>0</v>
      </c>
      <c r="L535" s="32">
        <v>0</v>
      </c>
      <c r="M535" s="53">
        <f>+J535+L535</f>
        <v>545052</v>
      </c>
      <c r="N535" s="55" t="s">
        <v>200</v>
      </c>
      <c r="O535" s="29" t="s">
        <v>201</v>
      </c>
      <c r="P535" s="36">
        <v>44932</v>
      </c>
      <c r="Q535" s="49">
        <v>35178.67</v>
      </c>
      <c r="R535" s="33">
        <f>M535/Q535</f>
        <v>15.493820545233802</v>
      </c>
    </row>
    <row r="536" spans="1:18" s="30" customFormat="1" ht="15" customHeight="1">
      <c r="A536" s="37" t="s">
        <v>189</v>
      </c>
      <c r="B536" s="26" t="s">
        <v>190</v>
      </c>
      <c r="C536" s="39" t="s">
        <v>1064</v>
      </c>
      <c r="D536" s="40" t="s">
        <v>1065</v>
      </c>
      <c r="E536" s="38" t="s">
        <v>3</v>
      </c>
      <c r="F536" s="38" t="s">
        <v>11</v>
      </c>
      <c r="G536" s="32">
        <v>0</v>
      </c>
      <c r="H536" s="32">
        <v>64303655</v>
      </c>
      <c r="I536" s="52">
        <v>0</v>
      </c>
      <c r="J536" s="35">
        <f>+G536-H536+I536</f>
        <v>-64303655</v>
      </c>
      <c r="K536" s="28">
        <v>0</v>
      </c>
      <c r="L536" s="32">
        <v>0</v>
      </c>
      <c r="M536" s="35">
        <f>+J536+L536</f>
        <v>-64303655</v>
      </c>
      <c r="N536" s="28" t="s">
        <v>204</v>
      </c>
      <c r="O536" s="29" t="s">
        <v>205</v>
      </c>
      <c r="P536" s="36">
        <v>44335</v>
      </c>
      <c r="Q536" s="31">
        <v>29567.53</v>
      </c>
      <c r="R536" s="33">
        <f>M536/Q536</f>
        <v>-2174.8064515365336</v>
      </c>
    </row>
    <row r="537" spans="1:18" s="30" customFormat="1" ht="15" customHeight="1">
      <c r="A537" s="37" t="s">
        <v>52</v>
      </c>
      <c r="B537" s="26" t="s">
        <v>195</v>
      </c>
      <c r="C537" s="65" t="s">
        <v>1064</v>
      </c>
      <c r="D537" s="51" t="s">
        <v>1066</v>
      </c>
      <c r="E537" s="38" t="s">
        <v>3</v>
      </c>
      <c r="F537" s="38" t="s">
        <v>15</v>
      </c>
      <c r="G537" s="52">
        <v>419116</v>
      </c>
      <c r="H537" s="32">
        <v>0</v>
      </c>
      <c r="I537" s="52">
        <v>1699727</v>
      </c>
      <c r="J537" s="53">
        <f>+G537-H537+I537</f>
        <v>2118843</v>
      </c>
      <c r="K537" s="28">
        <v>0</v>
      </c>
      <c r="L537" s="32">
        <v>0</v>
      </c>
      <c r="M537" s="53">
        <f>+J537+L537</f>
        <v>2118843</v>
      </c>
      <c r="N537" s="55" t="s">
        <v>200</v>
      </c>
      <c r="O537" s="29" t="s">
        <v>201</v>
      </c>
      <c r="P537" s="36">
        <v>44932</v>
      </c>
      <c r="Q537" s="49">
        <v>35178.67</v>
      </c>
      <c r="R537" s="33">
        <f>M537/Q537</f>
        <v>60.230901281941591</v>
      </c>
    </row>
    <row r="538" spans="1:18" s="30" customFormat="1" ht="15" customHeight="1">
      <c r="A538" s="37" t="s">
        <v>189</v>
      </c>
      <c r="B538" s="26" t="s">
        <v>190</v>
      </c>
      <c r="C538" s="39" t="s">
        <v>1067</v>
      </c>
      <c r="D538" s="40" t="s">
        <v>1068</v>
      </c>
      <c r="E538" s="38" t="s">
        <v>3</v>
      </c>
      <c r="F538" s="38" t="s">
        <v>10</v>
      </c>
      <c r="G538" s="32">
        <v>24428797</v>
      </c>
      <c r="H538" s="32">
        <v>0</v>
      </c>
      <c r="I538" s="52">
        <v>0</v>
      </c>
      <c r="J538" s="35">
        <f>+G538-H538+I538</f>
        <v>24428797</v>
      </c>
      <c r="K538" s="28">
        <v>0</v>
      </c>
      <c r="L538" s="32">
        <v>0</v>
      </c>
      <c r="M538" s="35">
        <f>+J538+L538</f>
        <v>24428797</v>
      </c>
      <c r="N538" s="28" t="s">
        <v>771</v>
      </c>
      <c r="O538" s="29" t="s">
        <v>772</v>
      </c>
      <c r="P538" s="36">
        <v>43409</v>
      </c>
      <c r="Q538" s="31">
        <v>27445.360000000001</v>
      </c>
      <c r="R538" s="33">
        <f>M538/Q538</f>
        <v>890.0884156739063</v>
      </c>
    </row>
    <row r="539" spans="1:18" s="30" customFormat="1" ht="15" customHeight="1">
      <c r="A539" s="37" t="s">
        <v>189</v>
      </c>
      <c r="B539" s="26" t="s">
        <v>225</v>
      </c>
      <c r="C539" s="39" t="s">
        <v>1067</v>
      </c>
      <c r="D539" s="40" t="s">
        <v>1069</v>
      </c>
      <c r="E539" s="38" t="s">
        <v>3</v>
      </c>
      <c r="F539" s="38" t="s">
        <v>10</v>
      </c>
      <c r="G539" s="32">
        <v>13590808</v>
      </c>
      <c r="H539" s="32">
        <v>0</v>
      </c>
      <c r="I539" s="52">
        <v>0</v>
      </c>
      <c r="J539" s="35">
        <f>+G539-H539+I539</f>
        <v>13590808</v>
      </c>
      <c r="K539" s="28">
        <v>0</v>
      </c>
      <c r="L539" s="32">
        <v>0</v>
      </c>
      <c r="M539" s="35">
        <f>+J539+L539</f>
        <v>13590808</v>
      </c>
      <c r="N539" s="28" t="s">
        <v>243</v>
      </c>
      <c r="O539" s="29" t="s">
        <v>244</v>
      </c>
      <c r="P539" s="36">
        <v>43993</v>
      </c>
      <c r="Q539" s="31">
        <v>28714.6</v>
      </c>
      <c r="R539" s="33">
        <f>M539/Q539</f>
        <v>473.30654092343269</v>
      </c>
    </row>
    <row r="540" spans="1:18" s="30" customFormat="1" ht="15" customHeight="1">
      <c r="A540" s="37" t="s">
        <v>356</v>
      </c>
      <c r="B540" s="26" t="s">
        <v>357</v>
      </c>
      <c r="C540" s="39" t="s">
        <v>1070</v>
      </c>
      <c r="D540" s="40" t="s">
        <v>1071</v>
      </c>
      <c r="E540" s="38" t="s">
        <v>3</v>
      </c>
      <c r="F540" s="38" t="s">
        <v>9</v>
      </c>
      <c r="G540" s="32">
        <v>23111829</v>
      </c>
      <c r="H540" s="32">
        <v>5919631</v>
      </c>
      <c r="I540" s="52">
        <v>0</v>
      </c>
      <c r="J540" s="35">
        <f>+G540-H540+I540</f>
        <v>17192198</v>
      </c>
      <c r="K540" s="28">
        <v>0</v>
      </c>
      <c r="L540" s="32">
        <v>0</v>
      </c>
      <c r="M540" s="35">
        <f>+J540+L540</f>
        <v>17192198</v>
      </c>
      <c r="N540" s="28" t="s">
        <v>697</v>
      </c>
      <c r="O540" s="29" t="s">
        <v>1072</v>
      </c>
      <c r="P540" s="36">
        <v>43404</v>
      </c>
      <c r="Q540" s="31">
        <v>27432.1</v>
      </c>
      <c r="R540" s="33">
        <f>+M540/Q540</f>
        <v>626.71826072375063</v>
      </c>
    </row>
    <row r="541" spans="1:18" s="30" customFormat="1" ht="15" customHeight="1">
      <c r="A541" s="37" t="s">
        <v>293</v>
      </c>
      <c r="B541" s="26" t="s">
        <v>294</v>
      </c>
      <c r="C541" s="39">
        <v>577</v>
      </c>
      <c r="D541" s="40" t="s">
        <v>1073</v>
      </c>
      <c r="E541" s="38" t="s">
        <v>3</v>
      </c>
      <c r="F541" s="38" t="s">
        <v>678</v>
      </c>
      <c r="G541" s="32">
        <v>45542</v>
      </c>
      <c r="H541" s="32">
        <v>0</v>
      </c>
      <c r="I541" s="32">
        <v>1888670</v>
      </c>
      <c r="J541" s="35">
        <f>+G541-H541+I541</f>
        <v>1934212</v>
      </c>
      <c r="K541" s="27" t="s">
        <v>401</v>
      </c>
      <c r="L541" s="32">
        <v>0</v>
      </c>
      <c r="M541" s="35">
        <f>+J541+L541</f>
        <v>1934212</v>
      </c>
      <c r="N541" s="55" t="s">
        <v>402</v>
      </c>
      <c r="O541" s="56" t="s">
        <v>403</v>
      </c>
      <c r="P541" s="56">
        <v>44524</v>
      </c>
      <c r="Q541" s="49">
        <v>30683.439999999999</v>
      </c>
      <c r="R541" s="57">
        <f>+M541/Q541</f>
        <v>63.037651580135737</v>
      </c>
    </row>
    <row r="542" spans="1:18" s="30" customFormat="1" ht="15" customHeight="1">
      <c r="A542" s="37" t="s">
        <v>52</v>
      </c>
      <c r="B542" s="26" t="s">
        <v>622</v>
      </c>
      <c r="C542" s="65" t="s">
        <v>1070</v>
      </c>
      <c r="D542" s="51" t="s">
        <v>1074</v>
      </c>
      <c r="E542" s="38" t="s">
        <v>4</v>
      </c>
      <c r="F542" s="38" t="s">
        <v>11</v>
      </c>
      <c r="G542" s="52">
        <v>146237609</v>
      </c>
      <c r="H542" s="32">
        <v>0</v>
      </c>
      <c r="I542" s="52">
        <v>84596321</v>
      </c>
      <c r="J542" s="53">
        <f>+G542-H542+I542</f>
        <v>230833930</v>
      </c>
      <c r="K542" s="28">
        <v>0</v>
      </c>
      <c r="L542" s="32">
        <v>0</v>
      </c>
      <c r="M542" s="53">
        <f>+J542+L542</f>
        <v>230833930</v>
      </c>
      <c r="N542" s="55" t="s">
        <v>624</v>
      </c>
      <c r="O542" s="29" t="s">
        <v>625</v>
      </c>
      <c r="P542" s="36">
        <v>44900</v>
      </c>
      <c r="Q542" s="49">
        <v>34840.75</v>
      </c>
      <c r="R542" s="33">
        <f>M542/Q542</f>
        <v>6625.4007161154686</v>
      </c>
    </row>
    <row r="543" spans="1:18" s="30" customFormat="1" ht="15" customHeight="1">
      <c r="A543" s="37" t="s">
        <v>189</v>
      </c>
      <c r="B543" s="26" t="s">
        <v>225</v>
      </c>
      <c r="C543" s="39" t="s">
        <v>1070</v>
      </c>
      <c r="D543" s="40" t="s">
        <v>1075</v>
      </c>
      <c r="E543" s="38" t="s">
        <v>3</v>
      </c>
      <c r="F543" s="38" t="s">
        <v>10</v>
      </c>
      <c r="G543" s="32">
        <v>2410070</v>
      </c>
      <c r="H543" s="32">
        <v>0</v>
      </c>
      <c r="I543" s="52">
        <v>0</v>
      </c>
      <c r="J543" s="35">
        <f>+G543-H543+I543</f>
        <v>2410070</v>
      </c>
      <c r="K543" s="28">
        <v>0</v>
      </c>
      <c r="L543" s="32">
        <v>0</v>
      </c>
      <c r="M543" s="35">
        <f>+J543+L543</f>
        <v>2410070</v>
      </c>
      <c r="N543" s="28" t="s">
        <v>243</v>
      </c>
      <c r="O543" s="29" t="s">
        <v>244</v>
      </c>
      <c r="P543" s="36">
        <v>43993</v>
      </c>
      <c r="Q543" s="31">
        <v>28714.6</v>
      </c>
      <c r="R543" s="33">
        <f>M543/Q543</f>
        <v>83.931867412396485</v>
      </c>
    </row>
    <row r="544" spans="1:18" s="30" customFormat="1" ht="15" customHeight="1">
      <c r="A544" s="37" t="s">
        <v>189</v>
      </c>
      <c r="B544" s="26" t="s">
        <v>190</v>
      </c>
      <c r="C544" s="39" t="s">
        <v>1076</v>
      </c>
      <c r="D544" s="40" t="s">
        <v>1077</v>
      </c>
      <c r="E544" s="38" t="s">
        <v>3</v>
      </c>
      <c r="F544" s="38" t="s">
        <v>10</v>
      </c>
      <c r="G544" s="32">
        <v>0</v>
      </c>
      <c r="H544" s="32">
        <v>4738397</v>
      </c>
      <c r="I544" s="32">
        <v>28572763</v>
      </c>
      <c r="J544" s="35">
        <f>+G544-H544+I544</f>
        <v>23834366</v>
      </c>
      <c r="K544" s="28">
        <v>0</v>
      </c>
      <c r="L544" s="32">
        <v>0</v>
      </c>
      <c r="M544" s="35">
        <f>+J544+L544</f>
        <v>23834366</v>
      </c>
      <c r="N544" s="28" t="s">
        <v>771</v>
      </c>
      <c r="O544" s="29" t="s">
        <v>772</v>
      </c>
      <c r="P544" s="36">
        <v>43409</v>
      </c>
      <c r="Q544" s="31">
        <v>27445.360000000001</v>
      </c>
      <c r="R544" s="33">
        <f>M544/Q544</f>
        <v>868.42970906557605</v>
      </c>
    </row>
    <row r="545" spans="1:18" s="30" customFormat="1" ht="15" customHeight="1">
      <c r="A545" s="37" t="s">
        <v>189</v>
      </c>
      <c r="B545" s="26" t="s">
        <v>190</v>
      </c>
      <c r="C545" s="39" t="s">
        <v>1078</v>
      </c>
      <c r="D545" s="40" t="s">
        <v>1079</v>
      </c>
      <c r="E545" s="38" t="s">
        <v>3</v>
      </c>
      <c r="F545" s="38" t="s">
        <v>10</v>
      </c>
      <c r="G545" s="32">
        <v>0</v>
      </c>
      <c r="H545" s="32">
        <v>1337442</v>
      </c>
      <c r="I545" s="32">
        <v>13231009</v>
      </c>
      <c r="J545" s="35">
        <f>+G545-H545+I545</f>
        <v>11893567</v>
      </c>
      <c r="K545" s="28">
        <v>0</v>
      </c>
      <c r="L545" s="32">
        <v>0</v>
      </c>
      <c r="M545" s="35">
        <f>+J545+L545</f>
        <v>11893567</v>
      </c>
      <c r="N545" s="28" t="s">
        <v>771</v>
      </c>
      <c r="O545" s="29" t="s">
        <v>772</v>
      </c>
      <c r="P545" s="36">
        <v>43409</v>
      </c>
      <c r="Q545" s="31">
        <v>27445.360000000001</v>
      </c>
      <c r="R545" s="33">
        <f>M545/Q545</f>
        <v>433.35438121416513</v>
      </c>
    </row>
    <row r="546" spans="1:18" s="30" customFormat="1" ht="15" customHeight="1">
      <c r="A546" s="37" t="s">
        <v>189</v>
      </c>
      <c r="B546" s="26" t="s">
        <v>190</v>
      </c>
      <c r="C546" s="39" t="s">
        <v>1080</v>
      </c>
      <c r="D546" s="40" t="s">
        <v>1081</v>
      </c>
      <c r="E546" s="38" t="s">
        <v>3</v>
      </c>
      <c r="F546" s="38" t="s">
        <v>13</v>
      </c>
      <c r="G546" s="32">
        <v>2929384</v>
      </c>
      <c r="H546" s="32">
        <v>0</v>
      </c>
      <c r="I546" s="32">
        <v>10730618</v>
      </c>
      <c r="J546" s="35">
        <f>+G546-H546+I546</f>
        <v>13660002</v>
      </c>
      <c r="K546" s="28">
        <v>0</v>
      </c>
      <c r="L546" s="32">
        <v>0</v>
      </c>
      <c r="M546" s="35">
        <f>+J546+L546</f>
        <v>13660002</v>
      </c>
      <c r="N546" s="28" t="s">
        <v>1082</v>
      </c>
      <c r="O546" s="29" t="s">
        <v>1083</v>
      </c>
      <c r="P546" s="36">
        <v>43182</v>
      </c>
      <c r="Q546" s="31">
        <v>26966.89</v>
      </c>
      <c r="R546" s="33">
        <f>M546/Q546</f>
        <v>506.54717692696488</v>
      </c>
    </row>
    <row r="547" spans="1:18" s="30" customFormat="1" ht="15" customHeight="1">
      <c r="A547" s="37" t="s">
        <v>189</v>
      </c>
      <c r="B547" s="26" t="s">
        <v>190</v>
      </c>
      <c r="C547" s="39" t="s">
        <v>1084</v>
      </c>
      <c r="D547" s="40" t="s">
        <v>1085</v>
      </c>
      <c r="E547" s="38" t="s">
        <v>3</v>
      </c>
      <c r="F547" s="38" t="s">
        <v>10</v>
      </c>
      <c r="G547" s="32">
        <v>0</v>
      </c>
      <c r="H547" s="32">
        <v>865732</v>
      </c>
      <c r="I547" s="32">
        <v>3877545</v>
      </c>
      <c r="J547" s="35">
        <f>+G547-H547+I547</f>
        <v>3011813</v>
      </c>
      <c r="K547" s="28">
        <v>0</v>
      </c>
      <c r="L547" s="32">
        <v>0</v>
      </c>
      <c r="M547" s="35">
        <f>+J547+L547</f>
        <v>3011813</v>
      </c>
      <c r="N547" s="28" t="s">
        <v>1082</v>
      </c>
      <c r="O547" s="29" t="s">
        <v>1083</v>
      </c>
      <c r="P547" s="36">
        <v>43182</v>
      </c>
      <c r="Q547" s="31">
        <v>26966.89</v>
      </c>
      <c r="R547" s="33">
        <f>M547/Q547</f>
        <v>111.68558925408158</v>
      </c>
    </row>
    <row r="548" spans="1:18" s="30" customFormat="1" ht="15" customHeight="1">
      <c r="A548" s="37" t="s">
        <v>52</v>
      </c>
      <c r="B548" s="26" t="s">
        <v>195</v>
      </c>
      <c r="C548" s="65" t="s">
        <v>1084</v>
      </c>
      <c r="D548" s="51" t="s">
        <v>1086</v>
      </c>
      <c r="E548" s="38" t="s">
        <v>3</v>
      </c>
      <c r="F548" s="48" t="s">
        <v>10</v>
      </c>
      <c r="G548" s="52">
        <v>0</v>
      </c>
      <c r="H548" s="52">
        <v>82327905</v>
      </c>
      <c r="I548" s="52">
        <v>0</v>
      </c>
      <c r="J548" s="53">
        <f>+G548-H548+I548</f>
        <v>-82327905</v>
      </c>
      <c r="K548" s="28">
        <v>0</v>
      </c>
      <c r="L548" s="32">
        <v>0</v>
      </c>
      <c r="M548" s="53">
        <f>+J548+L548</f>
        <v>-82327905</v>
      </c>
      <c r="N548" s="55" t="s">
        <v>504</v>
      </c>
      <c r="O548" s="29" t="s">
        <v>505</v>
      </c>
      <c r="P548" s="36">
        <v>44496</v>
      </c>
      <c r="Q548" s="49">
        <v>30971.8</v>
      </c>
      <c r="R548" s="33">
        <f>M548/Q548</f>
        <v>-2658.1569363098047</v>
      </c>
    </row>
    <row r="549" spans="1:18" s="30" customFormat="1" ht="15" customHeight="1">
      <c r="A549" s="37" t="s">
        <v>189</v>
      </c>
      <c r="B549" s="26" t="s">
        <v>190</v>
      </c>
      <c r="C549" s="39" t="s">
        <v>1087</v>
      </c>
      <c r="D549" s="40" t="s">
        <v>1088</v>
      </c>
      <c r="E549" s="38" t="s">
        <v>4</v>
      </c>
      <c r="F549" s="38" t="s">
        <v>10</v>
      </c>
      <c r="G549" s="32">
        <v>0</v>
      </c>
      <c r="H549" s="32">
        <v>0</v>
      </c>
      <c r="I549" s="32">
        <v>1258017</v>
      </c>
      <c r="J549" s="35">
        <f>+G549-H549+I549</f>
        <v>1258017</v>
      </c>
      <c r="K549" s="28">
        <v>0</v>
      </c>
      <c r="L549" s="32">
        <v>0</v>
      </c>
      <c r="M549" s="35">
        <f>+J549+L549</f>
        <v>1258017</v>
      </c>
      <c r="N549" s="28" t="s">
        <v>1082</v>
      </c>
      <c r="O549" s="29" t="s">
        <v>1083</v>
      </c>
      <c r="P549" s="36">
        <v>43182</v>
      </c>
      <c r="Q549" s="31">
        <v>26966.89</v>
      </c>
      <c r="R549" s="33">
        <f>M549/Q549</f>
        <v>46.650429471103266</v>
      </c>
    </row>
    <row r="550" spans="1:18" s="30" customFormat="1" ht="15" customHeight="1">
      <c r="A550" s="37" t="s">
        <v>189</v>
      </c>
      <c r="B550" s="26" t="s">
        <v>190</v>
      </c>
      <c r="C550" s="39" t="s">
        <v>1089</v>
      </c>
      <c r="D550" s="40" t="s">
        <v>1090</v>
      </c>
      <c r="E550" s="38" t="s">
        <v>4</v>
      </c>
      <c r="F550" s="38" t="s">
        <v>10</v>
      </c>
      <c r="G550" s="32">
        <v>0</v>
      </c>
      <c r="H550" s="32">
        <v>0</v>
      </c>
      <c r="I550" s="32">
        <v>33803886</v>
      </c>
      <c r="J550" s="35">
        <f>+G550-H550+I550</f>
        <v>33803886</v>
      </c>
      <c r="K550" s="28">
        <v>0</v>
      </c>
      <c r="L550" s="32">
        <v>0</v>
      </c>
      <c r="M550" s="35">
        <f>+J550+L550</f>
        <v>33803886</v>
      </c>
      <c r="N550" s="28" t="s">
        <v>1082</v>
      </c>
      <c r="O550" s="29" t="s">
        <v>1083</v>
      </c>
      <c r="P550" s="36">
        <v>43182</v>
      </c>
      <c r="Q550" s="31">
        <v>26966.89</v>
      </c>
      <c r="R550" s="33">
        <f>M550/Q550</f>
        <v>1253.5329806292086</v>
      </c>
    </row>
    <row r="551" spans="1:18" s="30" customFormat="1" ht="15" customHeight="1">
      <c r="A551" s="37" t="s">
        <v>189</v>
      </c>
      <c r="B551" s="26" t="s">
        <v>190</v>
      </c>
      <c r="C551" s="39" t="s">
        <v>1091</v>
      </c>
      <c r="D551" s="40" t="s">
        <v>1092</v>
      </c>
      <c r="E551" s="38" t="s">
        <v>4</v>
      </c>
      <c r="F551" s="38" t="s">
        <v>13</v>
      </c>
      <c r="G551" s="32">
        <v>0</v>
      </c>
      <c r="H551" s="32">
        <v>0</v>
      </c>
      <c r="I551" s="32">
        <v>7966054</v>
      </c>
      <c r="J551" s="35">
        <f>+G551-H551+I551</f>
        <v>7966054</v>
      </c>
      <c r="K551" s="28">
        <v>0</v>
      </c>
      <c r="L551" s="32">
        <v>0</v>
      </c>
      <c r="M551" s="35">
        <f>+J551+L551</f>
        <v>7966054</v>
      </c>
      <c r="N551" s="28" t="s">
        <v>1082</v>
      </c>
      <c r="O551" s="29" t="s">
        <v>1083</v>
      </c>
      <c r="P551" s="36">
        <v>43182</v>
      </c>
      <c r="Q551" s="31">
        <v>26966.89</v>
      </c>
      <c r="R551" s="33">
        <f>M551/Q551</f>
        <v>295.40128654064301</v>
      </c>
    </row>
    <row r="552" spans="1:18" s="30" customFormat="1" ht="15" customHeight="1">
      <c r="A552" s="37" t="s">
        <v>189</v>
      </c>
      <c r="B552" s="26" t="s">
        <v>190</v>
      </c>
      <c r="C552" s="39" t="s">
        <v>1093</v>
      </c>
      <c r="D552" s="40" t="s">
        <v>1094</v>
      </c>
      <c r="E552" s="38" t="s">
        <v>4</v>
      </c>
      <c r="F552" s="38" t="s">
        <v>9</v>
      </c>
      <c r="G552" s="32">
        <v>0</v>
      </c>
      <c r="H552" s="32">
        <v>4692948</v>
      </c>
      <c r="I552" s="32">
        <v>8016398.1100000003</v>
      </c>
      <c r="J552" s="35">
        <f>+G552-H552+I552</f>
        <v>3323450.1100000003</v>
      </c>
      <c r="K552" s="28">
        <v>0</v>
      </c>
      <c r="L552" s="32">
        <v>0</v>
      </c>
      <c r="M552" s="35">
        <f>+J552+L552</f>
        <v>3323450.1100000003</v>
      </c>
      <c r="N552" s="28" t="s">
        <v>1082</v>
      </c>
      <c r="O552" s="29" t="s">
        <v>1083</v>
      </c>
      <c r="P552" s="36">
        <v>43182</v>
      </c>
      <c r="Q552" s="31">
        <v>26966.89</v>
      </c>
      <c r="R552" s="33">
        <f>M552/Q552</f>
        <v>123.24187587074373</v>
      </c>
    </row>
    <row r="553" spans="1:18" s="30" customFormat="1" ht="15" customHeight="1">
      <c r="A553" s="37" t="s">
        <v>236</v>
      </c>
      <c r="B553" s="26" t="s">
        <v>237</v>
      </c>
      <c r="C553" s="39" t="s">
        <v>1095</v>
      </c>
      <c r="D553" s="40" t="s">
        <v>1096</v>
      </c>
      <c r="E553" s="38" t="s">
        <v>3</v>
      </c>
      <c r="F553" s="38" t="s">
        <v>9</v>
      </c>
      <c r="G553" s="32">
        <v>465747966</v>
      </c>
      <c r="H553" s="32">
        <v>3772986500</v>
      </c>
      <c r="I553" s="32">
        <v>6135263233</v>
      </c>
      <c r="J553" s="35">
        <f>+G553-H553+I553</f>
        <v>2828024699</v>
      </c>
      <c r="K553" s="28">
        <v>0</v>
      </c>
      <c r="L553" s="32">
        <v>0</v>
      </c>
      <c r="M553" s="35">
        <f>+J553+L553</f>
        <v>2828024699</v>
      </c>
      <c r="N553" s="28" t="s">
        <v>1097</v>
      </c>
      <c r="O553" s="29" t="s">
        <v>1098</v>
      </c>
      <c r="P553" s="36">
        <v>44701</v>
      </c>
      <c r="Q553" s="31">
        <v>32518.720000000001</v>
      </c>
      <c r="R553" s="33">
        <f>M553/Q553</f>
        <v>86966.05213858356</v>
      </c>
    </row>
    <row r="554" spans="1:18" s="30" customFormat="1" ht="15" customHeight="1">
      <c r="A554" s="37" t="s">
        <v>39</v>
      </c>
      <c r="B554" s="26" t="s">
        <v>40</v>
      </c>
      <c r="C554" s="39" t="s">
        <v>1099</v>
      </c>
      <c r="D554" s="40" t="s">
        <v>1100</v>
      </c>
      <c r="E554" s="38" t="s">
        <v>6</v>
      </c>
      <c r="F554" s="38" t="s">
        <v>11</v>
      </c>
      <c r="G554" s="32">
        <v>63821398</v>
      </c>
      <c r="H554" s="32">
        <v>76862243</v>
      </c>
      <c r="I554" s="32">
        <v>88293885</v>
      </c>
      <c r="J554" s="35">
        <f>+G554-H554+I554</f>
        <v>75253040</v>
      </c>
      <c r="K554" s="28">
        <v>0</v>
      </c>
      <c r="L554" s="32">
        <v>0</v>
      </c>
      <c r="M554" s="35">
        <f>+J554+L554</f>
        <v>75253040</v>
      </c>
      <c r="N554" s="28" t="s">
        <v>49</v>
      </c>
      <c r="O554" s="29">
        <v>273</v>
      </c>
      <c r="P554" s="36">
        <v>44943</v>
      </c>
      <c r="Q554" s="31">
        <v>35239.79</v>
      </c>
      <c r="R554" s="33">
        <f>M554/Q554</f>
        <v>2135.4565393267098</v>
      </c>
    </row>
    <row r="555" spans="1:18" s="30" customFormat="1" ht="15" customHeight="1">
      <c r="A555" s="37" t="s">
        <v>39</v>
      </c>
      <c r="B555" s="26" t="s">
        <v>40</v>
      </c>
      <c r="C555" s="39" t="s">
        <v>1101</v>
      </c>
      <c r="D555" s="40" t="s">
        <v>1102</v>
      </c>
      <c r="E555" s="38" t="s">
        <v>6</v>
      </c>
      <c r="F555" s="38" t="s">
        <v>12</v>
      </c>
      <c r="G555" s="32">
        <v>0</v>
      </c>
      <c r="H555" s="32">
        <v>1850058</v>
      </c>
      <c r="I555" s="32">
        <v>6208681</v>
      </c>
      <c r="J555" s="35">
        <f>+G555-H555+I555</f>
        <v>4358623</v>
      </c>
      <c r="K555" s="28">
        <v>0</v>
      </c>
      <c r="L555" s="32">
        <v>0</v>
      </c>
      <c r="M555" s="35">
        <f>+J555+L555</f>
        <v>4358623</v>
      </c>
      <c r="N555" s="28" t="s">
        <v>74</v>
      </c>
      <c r="O555" s="29">
        <v>4036</v>
      </c>
      <c r="P555" s="36">
        <v>44816</v>
      </c>
      <c r="Q555" s="31">
        <v>34013.910000000003</v>
      </c>
      <c r="R555" s="33">
        <f>M555/Q555</f>
        <v>128.14236881322964</v>
      </c>
    </row>
    <row r="556" spans="1:18" s="30" customFormat="1" ht="15" customHeight="1">
      <c r="A556" s="37" t="s">
        <v>52</v>
      </c>
      <c r="B556" s="26" t="s">
        <v>622</v>
      </c>
      <c r="C556" s="65" t="s">
        <v>1103</v>
      </c>
      <c r="D556" s="51" t="s">
        <v>1104</v>
      </c>
      <c r="E556" s="38" t="s">
        <v>4</v>
      </c>
      <c r="F556" s="38" t="s">
        <v>15</v>
      </c>
      <c r="G556" s="52">
        <v>99898079</v>
      </c>
      <c r="H556" s="52">
        <v>514413089</v>
      </c>
      <c r="I556" s="52">
        <v>349443226</v>
      </c>
      <c r="J556" s="53">
        <f>+G556-H556+I556</f>
        <v>-65071784</v>
      </c>
      <c r="K556" s="28">
        <v>0</v>
      </c>
      <c r="L556" s="32">
        <v>0</v>
      </c>
      <c r="M556" s="53">
        <f>+J556+L556</f>
        <v>-65071784</v>
      </c>
      <c r="N556" s="55" t="s">
        <v>1105</v>
      </c>
      <c r="O556" s="29" t="s">
        <v>1106</v>
      </c>
      <c r="P556" s="36">
        <v>43487</v>
      </c>
      <c r="Q556" s="49">
        <v>27554.23</v>
      </c>
      <c r="R556" s="33">
        <f>M556/Q556</f>
        <v>-2361.5896361466098</v>
      </c>
    </row>
    <row r="557" spans="1:18" s="30" customFormat="1" ht="15" customHeight="1">
      <c r="A557" s="46" t="s">
        <v>189</v>
      </c>
      <c r="B557" s="26" t="s">
        <v>225</v>
      </c>
      <c r="C557" s="65" t="s">
        <v>1107</v>
      </c>
      <c r="D557" s="51" t="s">
        <v>1108</v>
      </c>
      <c r="E557" s="38" t="s">
        <v>198</v>
      </c>
      <c r="F557" s="38" t="s">
        <v>12</v>
      </c>
      <c r="G557" s="52">
        <v>0</v>
      </c>
      <c r="H557" s="52">
        <v>98566486</v>
      </c>
      <c r="I557" s="52">
        <v>0</v>
      </c>
      <c r="J557" s="53">
        <f>+G557-H557+I557</f>
        <v>-98566486</v>
      </c>
      <c r="K557" s="70">
        <v>0</v>
      </c>
      <c r="L557" s="52">
        <v>0</v>
      </c>
      <c r="M557" s="53">
        <f>+J557+L557</f>
        <v>-98566486</v>
      </c>
      <c r="N557" s="55" t="s">
        <v>1109</v>
      </c>
      <c r="O557" s="56" t="s">
        <v>1110</v>
      </c>
      <c r="P557" s="56">
        <v>44560</v>
      </c>
      <c r="Q557" s="49">
        <v>30986.76</v>
      </c>
      <c r="R557" s="57">
        <f>M557/Q557</f>
        <v>-3180.9226263087849</v>
      </c>
    </row>
    <row r="558" spans="1:18" s="30" customFormat="1" ht="15" customHeight="1">
      <c r="A558" s="46" t="s">
        <v>189</v>
      </c>
      <c r="B558" s="26" t="s">
        <v>225</v>
      </c>
      <c r="C558" s="65" t="s">
        <v>1111</v>
      </c>
      <c r="D558" s="51" t="s">
        <v>1112</v>
      </c>
      <c r="E558" s="38" t="s">
        <v>198</v>
      </c>
      <c r="F558" s="38" t="s">
        <v>12</v>
      </c>
      <c r="G558" s="52">
        <v>0</v>
      </c>
      <c r="H558" s="52">
        <v>0</v>
      </c>
      <c r="I558" s="52">
        <v>232298690</v>
      </c>
      <c r="J558" s="53">
        <f>+G558-H558+I558</f>
        <v>232298690</v>
      </c>
      <c r="K558" s="70">
        <v>0</v>
      </c>
      <c r="L558" s="52">
        <v>0</v>
      </c>
      <c r="M558" s="53">
        <f>+J558+L558</f>
        <v>232298690</v>
      </c>
      <c r="N558" s="55" t="s">
        <v>1109</v>
      </c>
      <c r="O558" s="56" t="s">
        <v>1110</v>
      </c>
      <c r="P558" s="56">
        <v>44560</v>
      </c>
      <c r="Q558" s="49">
        <v>30986.76</v>
      </c>
      <c r="R558" s="57">
        <f>M558/Q558</f>
        <v>7496.7079488142681</v>
      </c>
    </row>
    <row r="559" spans="1:18" s="30" customFormat="1" ht="15" customHeight="1">
      <c r="A559" s="37" t="s">
        <v>166</v>
      </c>
      <c r="B559" s="26" t="s">
        <v>167</v>
      </c>
      <c r="C559" s="39" t="s">
        <v>1113</v>
      </c>
      <c r="D559" s="40" t="s">
        <v>1114</v>
      </c>
      <c r="E559" s="38" t="s">
        <v>3</v>
      </c>
      <c r="F559" s="38" t="s">
        <v>12</v>
      </c>
      <c r="G559" s="32">
        <v>0</v>
      </c>
      <c r="H559" s="32">
        <v>5004569</v>
      </c>
      <c r="I559" s="32">
        <v>4253883</v>
      </c>
      <c r="J559" s="35">
        <f>+G559-H559+I559</f>
        <v>-750686</v>
      </c>
      <c r="K559" s="28">
        <v>0</v>
      </c>
      <c r="L559" s="32">
        <v>0</v>
      </c>
      <c r="M559" s="35">
        <f>+J559+L559</f>
        <v>-750686</v>
      </c>
      <c r="N559" s="28" t="s">
        <v>171</v>
      </c>
      <c r="O559" s="29" t="s">
        <v>1115</v>
      </c>
      <c r="P559" s="36">
        <v>44341</v>
      </c>
      <c r="Q559" s="31">
        <v>29513.759999999998</v>
      </c>
      <c r="R559" s="33">
        <f>+M559/Q559</f>
        <v>-25.435119076661191</v>
      </c>
    </row>
    <row r="560" spans="1:18" s="30" customFormat="1" ht="15" customHeight="1">
      <c r="A560" s="37" t="s">
        <v>166</v>
      </c>
      <c r="B560" s="26" t="s">
        <v>167</v>
      </c>
      <c r="C560" s="39" t="s">
        <v>1116</v>
      </c>
      <c r="D560" s="40" t="s">
        <v>1117</v>
      </c>
      <c r="E560" s="38" t="s">
        <v>3</v>
      </c>
      <c r="F560" s="38" t="s">
        <v>14</v>
      </c>
      <c r="G560" s="32">
        <v>3617884</v>
      </c>
      <c r="H560" s="32">
        <v>1301561</v>
      </c>
      <c r="I560" s="52">
        <v>0</v>
      </c>
      <c r="J560" s="35">
        <f>+G560-H560+I560</f>
        <v>2316323</v>
      </c>
      <c r="K560" s="28">
        <v>0</v>
      </c>
      <c r="L560" s="32">
        <v>0</v>
      </c>
      <c r="M560" s="35">
        <f>+J560+L560</f>
        <v>2316323</v>
      </c>
      <c r="N560" s="28" t="s">
        <v>171</v>
      </c>
      <c r="O560" s="29" t="s">
        <v>1115</v>
      </c>
      <c r="P560" s="36">
        <v>44341</v>
      </c>
      <c r="Q560" s="31">
        <v>29513.759999999998</v>
      </c>
      <c r="R560" s="33">
        <f>+M560/Q560</f>
        <v>78.482816150839483</v>
      </c>
    </row>
    <row r="561" spans="1:18" s="30" customFormat="1" ht="15" customHeight="1">
      <c r="A561" s="37" t="s">
        <v>166</v>
      </c>
      <c r="B561" s="26" t="s">
        <v>167</v>
      </c>
      <c r="C561" s="39" t="s">
        <v>1118</v>
      </c>
      <c r="D561" s="40" t="s">
        <v>1119</v>
      </c>
      <c r="E561" s="38" t="s">
        <v>6</v>
      </c>
      <c r="F561" s="38" t="s">
        <v>20</v>
      </c>
      <c r="G561" s="32">
        <v>30752042</v>
      </c>
      <c r="H561" s="32">
        <v>0</v>
      </c>
      <c r="I561" s="52">
        <v>0</v>
      </c>
      <c r="J561" s="35">
        <f>+G561-H561+I561</f>
        <v>30752042</v>
      </c>
      <c r="K561" s="28">
        <v>0</v>
      </c>
      <c r="L561" s="32">
        <v>0</v>
      </c>
      <c r="M561" s="35">
        <f>+J561+L561</f>
        <v>30752042</v>
      </c>
      <c r="N561" s="28" t="s">
        <v>171</v>
      </c>
      <c r="O561" s="29" t="s">
        <v>1115</v>
      </c>
      <c r="P561" s="36">
        <v>44341</v>
      </c>
      <c r="Q561" s="31">
        <v>29513.759999999998</v>
      </c>
      <c r="R561" s="33">
        <f>+M561/Q561</f>
        <v>1041.9560909894233</v>
      </c>
    </row>
    <row r="562" spans="1:18" s="30" customFormat="1" ht="15" customHeight="1">
      <c r="A562" s="37" t="s">
        <v>166</v>
      </c>
      <c r="B562" s="26" t="s">
        <v>167</v>
      </c>
      <c r="C562" s="39" t="s">
        <v>1120</v>
      </c>
      <c r="D562" s="40" t="s">
        <v>1121</v>
      </c>
      <c r="E562" s="38" t="s">
        <v>6</v>
      </c>
      <c r="F562" s="38" t="s">
        <v>20</v>
      </c>
      <c r="G562" s="32">
        <v>643243</v>
      </c>
      <c r="H562" s="32">
        <v>677879</v>
      </c>
      <c r="I562" s="52">
        <v>0</v>
      </c>
      <c r="J562" s="35">
        <f>+G562-H562+I562</f>
        <v>-34636</v>
      </c>
      <c r="K562" s="28">
        <v>0</v>
      </c>
      <c r="L562" s="32">
        <v>0</v>
      </c>
      <c r="M562" s="35">
        <f>+J562+L562</f>
        <v>-34636</v>
      </c>
      <c r="N562" s="28" t="s">
        <v>171</v>
      </c>
      <c r="O562" s="29" t="s">
        <v>1115</v>
      </c>
      <c r="P562" s="36">
        <v>44341</v>
      </c>
      <c r="Q562" s="31">
        <v>29513.759999999998</v>
      </c>
      <c r="R562" s="33">
        <f>+M562/Q562</f>
        <v>-1.1735543014512553</v>
      </c>
    </row>
    <row r="563" spans="1:18" s="30" customFormat="1" ht="15" customHeight="1">
      <c r="A563" s="37" t="s">
        <v>166</v>
      </c>
      <c r="B563" s="26" t="s">
        <v>167</v>
      </c>
      <c r="C563" s="39" t="s">
        <v>1122</v>
      </c>
      <c r="D563" s="40" t="s">
        <v>1123</v>
      </c>
      <c r="E563" s="38" t="s">
        <v>198</v>
      </c>
      <c r="F563" s="38" t="s">
        <v>20</v>
      </c>
      <c r="G563" s="32">
        <v>0</v>
      </c>
      <c r="H563" s="32">
        <v>23590039</v>
      </c>
      <c r="I563" s="32">
        <v>45374117</v>
      </c>
      <c r="J563" s="35">
        <f>+G563-H563+I563</f>
        <v>21784078</v>
      </c>
      <c r="K563" s="28">
        <v>0</v>
      </c>
      <c r="L563" s="32">
        <v>0</v>
      </c>
      <c r="M563" s="35">
        <f>+J563+L563</f>
        <v>21784078</v>
      </c>
      <c r="N563" s="28" t="s">
        <v>171</v>
      </c>
      <c r="O563" s="29" t="s">
        <v>1115</v>
      </c>
      <c r="P563" s="36">
        <v>44341</v>
      </c>
      <c r="Q563" s="31">
        <v>29513.759999999998</v>
      </c>
      <c r="R563" s="33">
        <f>+M563/Q563</f>
        <v>738.09904261605436</v>
      </c>
    </row>
    <row r="564" spans="1:18" s="30" customFormat="1" ht="15" customHeight="1">
      <c r="A564" s="37" t="s">
        <v>391</v>
      </c>
      <c r="B564" s="26" t="s">
        <v>392</v>
      </c>
      <c r="C564" s="39">
        <v>160</v>
      </c>
      <c r="D564" s="40" t="s">
        <v>1124</v>
      </c>
      <c r="E564" s="38" t="s">
        <v>4</v>
      </c>
      <c r="F564" s="38" t="s">
        <v>9</v>
      </c>
      <c r="G564" s="32">
        <v>79115</v>
      </c>
      <c r="H564" s="32">
        <v>0</v>
      </c>
      <c r="I564" s="32">
        <v>9725984</v>
      </c>
      <c r="J564" s="35">
        <f>+G564-H564+I564</f>
        <v>9805099</v>
      </c>
      <c r="K564" s="27"/>
      <c r="L564" s="32">
        <v>0</v>
      </c>
      <c r="M564" s="35">
        <f>+J564+L564</f>
        <v>9805099</v>
      </c>
      <c r="N564" s="28" t="s">
        <v>765</v>
      </c>
      <c r="O564" s="29" t="s">
        <v>766</v>
      </c>
      <c r="P564" s="36">
        <v>44140</v>
      </c>
      <c r="Q564" s="31">
        <v>28866.47</v>
      </c>
      <c r="R564" s="33">
        <f>M564/Q564</f>
        <v>339.67087073687912</v>
      </c>
    </row>
    <row r="565" spans="1:18" s="30" customFormat="1" ht="15" customHeight="1">
      <c r="A565" s="37" t="s">
        <v>391</v>
      </c>
      <c r="B565" s="26" t="s">
        <v>392</v>
      </c>
      <c r="C565" s="39">
        <v>145</v>
      </c>
      <c r="D565" s="40" t="s">
        <v>1125</v>
      </c>
      <c r="E565" s="38" t="s">
        <v>4</v>
      </c>
      <c r="F565" s="38" t="s">
        <v>9</v>
      </c>
      <c r="G565" s="32">
        <v>79115</v>
      </c>
      <c r="H565" s="32">
        <v>0</v>
      </c>
      <c r="I565" s="32">
        <v>17846356</v>
      </c>
      <c r="J565" s="35">
        <f>+G565-H565+I565</f>
        <v>17925471</v>
      </c>
      <c r="K565" s="27"/>
      <c r="L565" s="32">
        <v>0</v>
      </c>
      <c r="M565" s="35">
        <f>+J565+L565</f>
        <v>17925471</v>
      </c>
      <c r="N565" s="28" t="s">
        <v>765</v>
      </c>
      <c r="O565" s="29" t="s">
        <v>766</v>
      </c>
      <c r="P565" s="36">
        <v>44140</v>
      </c>
      <c r="Q565" s="31">
        <v>28866.47</v>
      </c>
      <c r="R565" s="33">
        <f>M565/Q565</f>
        <v>620.97897664660763</v>
      </c>
    </row>
    <row r="566" spans="1:18" s="30" customFormat="1" ht="15" customHeight="1">
      <c r="A566" s="37" t="s">
        <v>293</v>
      </c>
      <c r="B566" s="26" t="s">
        <v>294</v>
      </c>
      <c r="C566" s="39">
        <v>532</v>
      </c>
      <c r="D566" s="40" t="s">
        <v>1126</v>
      </c>
      <c r="E566" s="38" t="s">
        <v>3</v>
      </c>
      <c r="F566" s="38" t="s">
        <v>12</v>
      </c>
      <c r="G566" s="32">
        <v>80554</v>
      </c>
      <c r="H566" s="32">
        <v>0</v>
      </c>
      <c r="I566" s="32">
        <v>16051468</v>
      </c>
      <c r="J566" s="35">
        <f>+G566-H566+I566</f>
        <v>16132022</v>
      </c>
      <c r="K566" s="27" t="s">
        <v>401</v>
      </c>
      <c r="L566" s="32">
        <v>0</v>
      </c>
      <c r="M566" s="35">
        <f>+J566+L566</f>
        <v>16132022</v>
      </c>
      <c r="N566" s="55" t="s">
        <v>402</v>
      </c>
      <c r="O566" s="56" t="s">
        <v>403</v>
      </c>
      <c r="P566" s="56">
        <v>44524</v>
      </c>
      <c r="Q566" s="49">
        <v>30683.439999999999</v>
      </c>
      <c r="R566" s="57">
        <f>+M566/Q566</f>
        <v>525.75662963474758</v>
      </c>
    </row>
    <row r="567" spans="1:18" s="30" customFormat="1" ht="15" customHeight="1">
      <c r="A567" s="37" t="s">
        <v>293</v>
      </c>
      <c r="B567" s="26" t="s">
        <v>294</v>
      </c>
      <c r="C567" s="39">
        <v>535</v>
      </c>
      <c r="D567" s="40" t="s">
        <v>1127</v>
      </c>
      <c r="E567" s="38" t="s">
        <v>3</v>
      </c>
      <c r="F567" s="38" t="s">
        <v>12</v>
      </c>
      <c r="G567" s="32">
        <v>80555</v>
      </c>
      <c r="H567" s="32">
        <v>0</v>
      </c>
      <c r="I567" s="32">
        <v>4217180</v>
      </c>
      <c r="J567" s="35">
        <f>+G567-H567+I567</f>
        <v>4297735</v>
      </c>
      <c r="K567" s="27" t="s">
        <v>401</v>
      </c>
      <c r="L567" s="32">
        <v>0</v>
      </c>
      <c r="M567" s="35">
        <f>+J567+L567</f>
        <v>4297735</v>
      </c>
      <c r="N567" s="55" t="s">
        <v>402</v>
      </c>
      <c r="O567" s="56" t="s">
        <v>403</v>
      </c>
      <c r="P567" s="56">
        <v>44524</v>
      </c>
      <c r="Q567" s="49">
        <v>30683.439999999999</v>
      </c>
      <c r="R567" s="57">
        <f>+M567/Q567</f>
        <v>140.06692209217741</v>
      </c>
    </row>
    <row r="568" spans="1:18" s="30" customFormat="1" ht="15" customHeight="1">
      <c r="A568" s="37" t="s">
        <v>293</v>
      </c>
      <c r="B568" s="26" t="s">
        <v>294</v>
      </c>
      <c r="C568" s="39">
        <v>533</v>
      </c>
      <c r="D568" s="40" t="s">
        <v>1128</v>
      </c>
      <c r="E568" s="38" t="s">
        <v>3</v>
      </c>
      <c r="F568" s="38" t="s">
        <v>12</v>
      </c>
      <c r="G568" s="32">
        <v>80555</v>
      </c>
      <c r="H568" s="32">
        <v>0</v>
      </c>
      <c r="I568" s="32">
        <v>5516763</v>
      </c>
      <c r="J568" s="35">
        <f>+G568-H568+I568</f>
        <v>5597318</v>
      </c>
      <c r="K568" s="27" t="s">
        <v>401</v>
      </c>
      <c r="L568" s="32">
        <v>0</v>
      </c>
      <c r="M568" s="35">
        <f>+J568+L568</f>
        <v>5597318</v>
      </c>
      <c r="N568" s="55" t="s">
        <v>402</v>
      </c>
      <c r="O568" s="56" t="s">
        <v>403</v>
      </c>
      <c r="P568" s="56">
        <v>44524</v>
      </c>
      <c r="Q568" s="49">
        <v>30683.439999999999</v>
      </c>
      <c r="R568" s="57">
        <f>+M568/Q568</f>
        <v>182.42146252180331</v>
      </c>
    </row>
    <row r="569" spans="1:18" s="30" customFormat="1" ht="15" customHeight="1">
      <c r="A569" s="37" t="s">
        <v>166</v>
      </c>
      <c r="B569" s="26" t="s">
        <v>167</v>
      </c>
      <c r="C569" s="39" t="s">
        <v>1129</v>
      </c>
      <c r="D569" s="40" t="s">
        <v>1130</v>
      </c>
      <c r="E569" s="38" t="s">
        <v>6</v>
      </c>
      <c r="F569" s="38" t="s">
        <v>20</v>
      </c>
      <c r="G569" s="32">
        <v>4454632</v>
      </c>
      <c r="H569" s="32">
        <v>4454632</v>
      </c>
      <c r="I569" s="52">
        <v>0</v>
      </c>
      <c r="J569" s="35">
        <f>+G569-H569+I569</f>
        <v>0</v>
      </c>
      <c r="K569" s="28">
        <v>0</v>
      </c>
      <c r="L569" s="32">
        <v>0</v>
      </c>
      <c r="M569" s="35">
        <f>+J569+L569</f>
        <v>0</v>
      </c>
      <c r="N569" s="28" t="s">
        <v>171</v>
      </c>
      <c r="O569" s="29" t="s">
        <v>1115</v>
      </c>
      <c r="P569" s="36">
        <v>44341</v>
      </c>
      <c r="Q569" s="31">
        <v>29513.759999999998</v>
      </c>
      <c r="R569" s="33">
        <f>+M569/Q569</f>
        <v>0</v>
      </c>
    </row>
    <row r="570" spans="1:18" s="30" customFormat="1" ht="15" customHeight="1">
      <c r="A570" s="37" t="s">
        <v>166</v>
      </c>
      <c r="B570" s="26" t="s">
        <v>167</v>
      </c>
      <c r="C570" s="39" t="s">
        <v>1131</v>
      </c>
      <c r="D570" s="40" t="s">
        <v>1132</v>
      </c>
      <c r="E570" s="38" t="s">
        <v>3</v>
      </c>
      <c r="F570" s="38" t="s">
        <v>12</v>
      </c>
      <c r="G570" s="32">
        <v>0</v>
      </c>
      <c r="H570" s="32">
        <v>4456945</v>
      </c>
      <c r="I570" s="52">
        <v>0</v>
      </c>
      <c r="J570" s="35">
        <f>+G570-H570+I570</f>
        <v>-4456945</v>
      </c>
      <c r="K570" s="28">
        <v>0</v>
      </c>
      <c r="L570" s="32">
        <v>0</v>
      </c>
      <c r="M570" s="35">
        <f>+J570+L570</f>
        <v>-4456945</v>
      </c>
      <c r="N570" s="28" t="s">
        <v>171</v>
      </c>
      <c r="O570" s="29" t="s">
        <v>1115</v>
      </c>
      <c r="P570" s="36">
        <v>44341</v>
      </c>
      <c r="Q570" s="31">
        <v>29513.759999999998</v>
      </c>
      <c r="R570" s="33">
        <f>+M570/Q570</f>
        <v>-151.01244300963347</v>
      </c>
    </row>
    <row r="571" spans="1:18" s="30" customFormat="1" ht="15" customHeight="1">
      <c r="A571" s="37" t="s">
        <v>166</v>
      </c>
      <c r="B571" s="26" t="s">
        <v>167</v>
      </c>
      <c r="C571" s="39" t="s">
        <v>1133</v>
      </c>
      <c r="D571" s="40" t="s">
        <v>1134</v>
      </c>
      <c r="E571" s="38" t="s">
        <v>3</v>
      </c>
      <c r="F571" s="38" t="s">
        <v>12</v>
      </c>
      <c r="G571" s="32">
        <v>0</v>
      </c>
      <c r="H571" s="32">
        <v>517817819</v>
      </c>
      <c r="I571" s="32">
        <v>505892156</v>
      </c>
      <c r="J571" s="35">
        <f>+G571-H571+I571</f>
        <v>-11925663</v>
      </c>
      <c r="K571" s="28">
        <v>0</v>
      </c>
      <c r="L571" s="32">
        <v>0</v>
      </c>
      <c r="M571" s="35">
        <f>+J571+L571</f>
        <v>-11925663</v>
      </c>
      <c r="N571" s="28" t="s">
        <v>1135</v>
      </c>
      <c r="O571" s="29" t="s">
        <v>1136</v>
      </c>
      <c r="P571" s="36">
        <v>44960</v>
      </c>
      <c r="Q571" s="31">
        <v>35297.730000000003</v>
      </c>
      <c r="R571" s="33">
        <f>+M571/Q571</f>
        <v>-337.85920511035692</v>
      </c>
    </row>
    <row r="572" spans="1:18" s="30" customFormat="1" ht="15" customHeight="1">
      <c r="A572" s="37" t="s">
        <v>166</v>
      </c>
      <c r="B572" s="26" t="s">
        <v>167</v>
      </c>
      <c r="C572" s="39" t="s">
        <v>1137</v>
      </c>
      <c r="D572" s="40" t="s">
        <v>1138</v>
      </c>
      <c r="E572" s="38" t="s">
        <v>3</v>
      </c>
      <c r="F572" s="38" t="s">
        <v>12</v>
      </c>
      <c r="G572" s="32">
        <v>0</v>
      </c>
      <c r="H572" s="32">
        <v>1008693461</v>
      </c>
      <c r="I572" s="32">
        <v>983871853</v>
      </c>
      <c r="J572" s="35">
        <f>+G572-H572+I572</f>
        <v>-24821608</v>
      </c>
      <c r="K572" s="28">
        <v>0</v>
      </c>
      <c r="L572" s="32">
        <v>0</v>
      </c>
      <c r="M572" s="35">
        <f>+J572+L572</f>
        <v>-24821608</v>
      </c>
      <c r="N572" s="28" t="s">
        <v>171</v>
      </c>
      <c r="O572" s="29" t="s">
        <v>1115</v>
      </c>
      <c r="P572" s="36">
        <v>44341</v>
      </c>
      <c r="Q572" s="31">
        <v>29513.759999999998</v>
      </c>
      <c r="R572" s="33">
        <f>+M572/Q572</f>
        <v>-841.01815559928662</v>
      </c>
    </row>
    <row r="573" spans="1:18" s="30" customFormat="1" ht="15" customHeight="1">
      <c r="A573" s="37" t="s">
        <v>166</v>
      </c>
      <c r="B573" s="26" t="s">
        <v>167</v>
      </c>
      <c r="C573" s="39" t="s">
        <v>1139</v>
      </c>
      <c r="D573" s="40" t="s">
        <v>1140</v>
      </c>
      <c r="E573" s="38" t="s">
        <v>3</v>
      </c>
      <c r="F573" s="38" t="s">
        <v>12</v>
      </c>
      <c r="G573" s="32">
        <v>201003</v>
      </c>
      <c r="H573" s="32">
        <v>0</v>
      </c>
      <c r="I573" s="52">
        <v>0</v>
      </c>
      <c r="J573" s="35">
        <f>+G573-H573+I573</f>
        <v>201003</v>
      </c>
      <c r="K573" s="28">
        <v>0</v>
      </c>
      <c r="L573" s="32">
        <v>0</v>
      </c>
      <c r="M573" s="35">
        <f>+J573+L573</f>
        <v>201003</v>
      </c>
      <c r="N573" s="28" t="s">
        <v>171</v>
      </c>
      <c r="O573" s="29" t="s">
        <v>1115</v>
      </c>
      <c r="P573" s="36">
        <v>44341</v>
      </c>
      <c r="Q573" s="31">
        <v>29513.759999999998</v>
      </c>
      <c r="R573" s="33">
        <f>+M573/Q573</f>
        <v>6.8104843300209801</v>
      </c>
    </row>
    <row r="574" spans="1:18" s="30" customFormat="1" ht="15" customHeight="1">
      <c r="A574" s="37" t="s">
        <v>166</v>
      </c>
      <c r="B574" s="26" t="s">
        <v>167</v>
      </c>
      <c r="C574" s="39" t="s">
        <v>1141</v>
      </c>
      <c r="D574" s="40" t="s">
        <v>1142</v>
      </c>
      <c r="E574" s="38" t="s">
        <v>3</v>
      </c>
      <c r="F574" s="38" t="s">
        <v>12</v>
      </c>
      <c r="G574" s="32">
        <v>808043</v>
      </c>
      <c r="H574" s="32">
        <v>0</v>
      </c>
      <c r="I574" s="32">
        <v>179573</v>
      </c>
      <c r="J574" s="35">
        <f>+G574-H574+I574</f>
        <v>987616</v>
      </c>
      <c r="K574" s="28">
        <v>0</v>
      </c>
      <c r="L574" s="32">
        <v>0</v>
      </c>
      <c r="M574" s="35">
        <f>+J574+L574</f>
        <v>987616</v>
      </c>
      <c r="N574" s="28" t="s">
        <v>171</v>
      </c>
      <c r="O574" s="29" t="s">
        <v>1115</v>
      </c>
      <c r="P574" s="36">
        <v>44341</v>
      </c>
      <c r="Q574" s="31">
        <v>29513.759999999998</v>
      </c>
      <c r="R574" s="33">
        <f>+M574/Q574</f>
        <v>33.462900016805719</v>
      </c>
    </row>
    <row r="575" spans="1:18" s="30" customFormat="1" ht="15" customHeight="1">
      <c r="A575" s="37" t="s">
        <v>166</v>
      </c>
      <c r="B575" s="26" t="s">
        <v>167</v>
      </c>
      <c r="C575" s="39" t="s">
        <v>1143</v>
      </c>
      <c r="D575" s="40" t="s">
        <v>1144</v>
      </c>
      <c r="E575" s="38" t="s">
        <v>3</v>
      </c>
      <c r="F575" s="38" t="s">
        <v>15</v>
      </c>
      <c r="G575" s="32">
        <v>0</v>
      </c>
      <c r="H575" s="32">
        <v>1038806506</v>
      </c>
      <c r="I575" s="32">
        <v>1063455730</v>
      </c>
      <c r="J575" s="35">
        <f>+G575-H575+I575</f>
        <v>24649224</v>
      </c>
      <c r="K575" s="28">
        <v>0</v>
      </c>
      <c r="L575" s="32">
        <v>0</v>
      </c>
      <c r="M575" s="35">
        <f>+J575+L575</f>
        <v>24649224</v>
      </c>
      <c r="N575" s="28" t="s">
        <v>1135</v>
      </c>
      <c r="O575" s="29" t="s">
        <v>1136</v>
      </c>
      <c r="P575" s="36">
        <v>44960</v>
      </c>
      <c r="Q575" s="31">
        <v>35297.730000000003</v>
      </c>
      <c r="R575" s="33">
        <f>+M575/Q575</f>
        <v>698.32320661980236</v>
      </c>
    </row>
    <row r="576" spans="1:18" ht="15" customHeight="1">
      <c r="A576" s="37" t="s">
        <v>166</v>
      </c>
      <c r="B576" s="26" t="s">
        <v>167</v>
      </c>
      <c r="C576" s="39" t="s">
        <v>1145</v>
      </c>
      <c r="D576" s="40" t="s">
        <v>1146</v>
      </c>
      <c r="E576" s="38" t="s">
        <v>3</v>
      </c>
      <c r="F576" s="38" t="s">
        <v>15</v>
      </c>
      <c r="G576" s="32">
        <v>771891</v>
      </c>
      <c r="H576" s="32">
        <v>0</v>
      </c>
      <c r="I576" s="32">
        <v>0</v>
      </c>
      <c r="J576" s="35">
        <f>+G576-H576+I576</f>
        <v>771891</v>
      </c>
      <c r="K576" s="28">
        <v>0</v>
      </c>
      <c r="L576" s="32">
        <v>0</v>
      </c>
      <c r="M576" s="35">
        <f>+J576+L576</f>
        <v>771891</v>
      </c>
      <c r="N576" s="28" t="s">
        <v>1135</v>
      </c>
      <c r="O576" s="29" t="s">
        <v>1136</v>
      </c>
      <c r="P576" s="36">
        <v>44960</v>
      </c>
      <c r="Q576" s="31">
        <v>35297.730000000003</v>
      </c>
      <c r="R576" s="33">
        <f>+M576/Q576</f>
        <v>21.868006809503047</v>
      </c>
    </row>
    <row r="577" spans="1:18" ht="15" customHeight="1">
      <c r="A577" s="37" t="s">
        <v>166</v>
      </c>
      <c r="B577" s="26" t="s">
        <v>167</v>
      </c>
      <c r="C577" s="39" t="s">
        <v>1147</v>
      </c>
      <c r="D577" s="40" t="s">
        <v>1148</v>
      </c>
      <c r="E577" s="38" t="s">
        <v>3</v>
      </c>
      <c r="F577" s="38" t="s">
        <v>1149</v>
      </c>
      <c r="G577" s="32">
        <v>0</v>
      </c>
      <c r="H577" s="32">
        <v>0</v>
      </c>
      <c r="I577" s="32">
        <v>3236844</v>
      </c>
      <c r="J577" s="35">
        <f>+G577-H577+I577</f>
        <v>3236844</v>
      </c>
      <c r="K577" s="28">
        <v>0</v>
      </c>
      <c r="L577" s="32">
        <v>0</v>
      </c>
      <c r="M577" s="35">
        <f>+J577+L577</f>
        <v>3236844</v>
      </c>
      <c r="N577" s="28" t="s">
        <v>1135</v>
      </c>
      <c r="O577" s="29" t="s">
        <v>1136</v>
      </c>
      <c r="P577" s="36">
        <v>44960</v>
      </c>
      <c r="Q577" s="31">
        <v>35297.730000000003</v>
      </c>
      <c r="R577" s="33">
        <f>+M577/Q577</f>
        <v>91.70119438275492</v>
      </c>
    </row>
    <row r="578" spans="1:18" ht="15" customHeight="1">
      <c r="A578" s="37" t="s">
        <v>166</v>
      </c>
      <c r="B578" s="26" t="s">
        <v>167</v>
      </c>
      <c r="C578" s="39" t="s">
        <v>1150</v>
      </c>
      <c r="D578" s="40" t="s">
        <v>1151</v>
      </c>
      <c r="E578" s="38" t="s">
        <v>198</v>
      </c>
      <c r="F578" s="38" t="s">
        <v>12</v>
      </c>
      <c r="G578" s="32">
        <v>0</v>
      </c>
      <c r="H578" s="32">
        <v>0</v>
      </c>
      <c r="I578" s="32">
        <v>10833465</v>
      </c>
      <c r="J578" s="35">
        <f>+G578-H578+I578</f>
        <v>10833465</v>
      </c>
      <c r="K578" s="28">
        <v>0</v>
      </c>
      <c r="L578" s="32">
        <v>0</v>
      </c>
      <c r="M578" s="35">
        <f>+J578+L578</f>
        <v>10833465</v>
      </c>
      <c r="N578" s="28" t="s">
        <v>171</v>
      </c>
      <c r="O578" s="29" t="s">
        <v>1115</v>
      </c>
      <c r="P578" s="36">
        <v>44341</v>
      </c>
      <c r="Q578" s="31">
        <v>29513.759999999998</v>
      </c>
      <c r="R578" s="33">
        <f>+M578/Q578</f>
        <v>367.06488769983901</v>
      </c>
    </row>
    <row r="579" spans="1:18" ht="15" customHeight="1">
      <c r="A579" s="37" t="s">
        <v>166</v>
      </c>
      <c r="B579" s="26" t="s">
        <v>167</v>
      </c>
      <c r="C579" s="39" t="s">
        <v>1152</v>
      </c>
      <c r="D579" s="40" t="s">
        <v>1153</v>
      </c>
      <c r="E579" s="38" t="s">
        <v>3</v>
      </c>
      <c r="F579" s="38" t="s">
        <v>13</v>
      </c>
      <c r="G579" s="32">
        <v>18775765</v>
      </c>
      <c r="H579" s="32">
        <v>0</v>
      </c>
      <c r="I579" s="32">
        <v>1231600</v>
      </c>
      <c r="J579" s="35">
        <f>+G579-H579+I579</f>
        <v>20007365</v>
      </c>
      <c r="K579" s="28">
        <v>0</v>
      </c>
      <c r="L579" s="32">
        <v>0</v>
      </c>
      <c r="M579" s="35">
        <f>+J579+L579</f>
        <v>20007365</v>
      </c>
      <c r="N579" s="28" t="s">
        <v>1135</v>
      </c>
      <c r="O579" s="29" t="s">
        <v>1136</v>
      </c>
      <c r="P579" s="36">
        <v>44960</v>
      </c>
      <c r="Q579" s="31">
        <v>35297.730000000003</v>
      </c>
      <c r="R579" s="33">
        <f>+M579/Q579</f>
        <v>566.81732791315471</v>
      </c>
    </row>
    <row r="580" spans="1:18" ht="15" customHeight="1">
      <c r="A580" s="37" t="s">
        <v>166</v>
      </c>
      <c r="B580" s="26" t="s">
        <v>167</v>
      </c>
      <c r="C580" s="39" t="s">
        <v>1154</v>
      </c>
      <c r="D580" s="40" t="s">
        <v>1155</v>
      </c>
      <c r="E580" s="38" t="s">
        <v>3</v>
      </c>
      <c r="F580" s="38" t="s">
        <v>13</v>
      </c>
      <c r="G580" s="32">
        <v>0</v>
      </c>
      <c r="H580" s="32">
        <v>619209</v>
      </c>
      <c r="I580" s="32">
        <v>0</v>
      </c>
      <c r="J580" s="35">
        <f>+G580-H580+I580</f>
        <v>-619209</v>
      </c>
      <c r="K580" s="28">
        <v>0</v>
      </c>
      <c r="L580" s="32">
        <v>0</v>
      </c>
      <c r="M580" s="35">
        <f>+J580+L580</f>
        <v>-619209</v>
      </c>
      <c r="N580" s="28" t="s">
        <v>1135</v>
      </c>
      <c r="O580" s="29" t="s">
        <v>1136</v>
      </c>
      <c r="P580" s="36">
        <v>44960</v>
      </c>
      <c r="Q580" s="31">
        <v>35297.730000000003</v>
      </c>
      <c r="R580" s="33">
        <f>+M580/Q580</f>
        <v>-17.542459529267177</v>
      </c>
    </row>
    <row r="581" spans="1:18" ht="15" customHeight="1">
      <c r="A581" s="37" t="s">
        <v>166</v>
      </c>
      <c r="B581" s="26" t="s">
        <v>167</v>
      </c>
      <c r="C581" s="39" t="s">
        <v>1156</v>
      </c>
      <c r="D581" s="40" t="s">
        <v>1157</v>
      </c>
      <c r="E581" s="38" t="s">
        <v>3</v>
      </c>
      <c r="F581" s="38" t="s">
        <v>13</v>
      </c>
      <c r="G581" s="32">
        <v>0</v>
      </c>
      <c r="H581" s="32">
        <v>65031120</v>
      </c>
      <c r="I581" s="32">
        <v>79427502</v>
      </c>
      <c r="J581" s="35">
        <f>+G581-H581+I581</f>
        <v>14396382</v>
      </c>
      <c r="K581" s="28">
        <v>0</v>
      </c>
      <c r="L581" s="32">
        <v>0</v>
      </c>
      <c r="M581" s="35">
        <f>+J581+L581</f>
        <v>14396382</v>
      </c>
      <c r="N581" s="28" t="s">
        <v>1135</v>
      </c>
      <c r="O581" s="29" t="s">
        <v>1136</v>
      </c>
      <c r="P581" s="36">
        <v>44960</v>
      </c>
      <c r="Q581" s="31">
        <v>35297.730000000003</v>
      </c>
      <c r="R581" s="33">
        <f>+M581/Q581</f>
        <v>407.85574596440051</v>
      </c>
    </row>
    <row r="582" spans="1:18" ht="15" customHeight="1">
      <c r="A582" s="37" t="s">
        <v>52</v>
      </c>
      <c r="B582" s="26" t="s">
        <v>555</v>
      </c>
      <c r="C582" s="39" t="s">
        <v>1158</v>
      </c>
      <c r="D582" s="40" t="s">
        <v>1159</v>
      </c>
      <c r="E582" s="38" t="s">
        <v>3</v>
      </c>
      <c r="F582" s="38" t="s">
        <v>11</v>
      </c>
      <c r="G582" s="32">
        <v>8505815</v>
      </c>
      <c r="H582" s="32">
        <v>2822167</v>
      </c>
      <c r="I582" s="32">
        <v>390240</v>
      </c>
      <c r="J582" s="35">
        <f>+G582-H582+I582</f>
        <v>6073888</v>
      </c>
      <c r="K582" s="28">
        <v>0</v>
      </c>
      <c r="L582" s="32">
        <v>0</v>
      </c>
      <c r="M582" s="35">
        <f>+J582+L582</f>
        <v>6073888</v>
      </c>
      <c r="N582" s="28" t="s">
        <v>1160</v>
      </c>
      <c r="O582" s="29" t="s">
        <v>1161</v>
      </c>
      <c r="P582" s="36">
        <v>42689</v>
      </c>
      <c r="Q582" s="31">
        <v>26287.25</v>
      </c>
      <c r="R582" s="33">
        <f>M582/Q582</f>
        <v>231.05832675536618</v>
      </c>
    </row>
    <row r="583" spans="1:18" ht="15" customHeight="1">
      <c r="A583" s="37" t="s">
        <v>52</v>
      </c>
      <c r="B583" s="26" t="s">
        <v>555</v>
      </c>
      <c r="C583" s="39" t="s">
        <v>1162</v>
      </c>
      <c r="D583" s="40" t="s">
        <v>1163</v>
      </c>
      <c r="E583" s="38" t="s">
        <v>3</v>
      </c>
      <c r="F583" s="38" t="s">
        <v>11</v>
      </c>
      <c r="G583" s="32">
        <v>12974181</v>
      </c>
      <c r="H583" s="32">
        <v>2899539</v>
      </c>
      <c r="I583" s="32">
        <v>413367</v>
      </c>
      <c r="J583" s="35">
        <f>+G583-H583+I583</f>
        <v>10488009</v>
      </c>
      <c r="K583" s="28">
        <v>0</v>
      </c>
      <c r="L583" s="32">
        <v>0</v>
      </c>
      <c r="M583" s="35">
        <f>+J583+L583</f>
        <v>10488009</v>
      </c>
      <c r="N583" s="28" t="s">
        <v>1160</v>
      </c>
      <c r="O583" s="29" t="s">
        <v>1161</v>
      </c>
      <c r="P583" s="36">
        <v>42689</v>
      </c>
      <c r="Q583" s="31">
        <v>26287.25</v>
      </c>
      <c r="R583" s="33">
        <f>M583/Q583</f>
        <v>398.97703259184584</v>
      </c>
    </row>
    <row r="584" spans="1:18" ht="15" customHeight="1">
      <c r="A584" s="37" t="s">
        <v>52</v>
      </c>
      <c r="B584" s="26" t="s">
        <v>555</v>
      </c>
      <c r="C584" s="39" t="s">
        <v>1164</v>
      </c>
      <c r="D584" s="40" t="s">
        <v>1165</v>
      </c>
      <c r="E584" s="38" t="s">
        <v>3</v>
      </c>
      <c r="F584" s="38" t="s">
        <v>11</v>
      </c>
      <c r="G584" s="32">
        <v>4315840</v>
      </c>
      <c r="H584" s="32">
        <v>691748</v>
      </c>
      <c r="I584" s="52">
        <v>0</v>
      </c>
      <c r="J584" s="35">
        <f>+G584-H584+I584</f>
        <v>3624092</v>
      </c>
      <c r="K584" s="28">
        <v>0</v>
      </c>
      <c r="L584" s="32">
        <v>0</v>
      </c>
      <c r="M584" s="35">
        <f>+J584+L584</f>
        <v>3624092</v>
      </c>
      <c r="N584" s="28" t="s">
        <v>1160</v>
      </c>
      <c r="O584" s="29" t="s">
        <v>1161</v>
      </c>
      <c r="P584" s="36">
        <v>42689</v>
      </c>
      <c r="Q584" s="31">
        <v>26287.25</v>
      </c>
      <c r="R584" s="33">
        <f>M584/Q584</f>
        <v>137.86501060400005</v>
      </c>
    </row>
    <row r="585" spans="1:18" ht="15" customHeight="1">
      <c r="A585" s="46" t="s">
        <v>189</v>
      </c>
      <c r="B585" s="26" t="s">
        <v>225</v>
      </c>
      <c r="C585" s="65" t="s">
        <v>1166</v>
      </c>
      <c r="D585" s="51" t="s">
        <v>1167</v>
      </c>
      <c r="E585" s="38" t="s">
        <v>3</v>
      </c>
      <c r="F585" s="38" t="s">
        <v>12</v>
      </c>
      <c r="G585" s="52">
        <v>31369096</v>
      </c>
      <c r="H585" s="52">
        <v>0</v>
      </c>
      <c r="I585" s="52">
        <v>21329951</v>
      </c>
      <c r="J585" s="53">
        <f>+G585-H585+I585</f>
        <v>52699047</v>
      </c>
      <c r="K585" s="70">
        <v>0</v>
      </c>
      <c r="L585" s="52">
        <v>0</v>
      </c>
      <c r="M585" s="53">
        <f>+J585+L585</f>
        <v>52699047</v>
      </c>
      <c r="N585" s="55" t="s">
        <v>1168</v>
      </c>
      <c r="O585" s="56" t="s">
        <v>1169</v>
      </c>
      <c r="P585" s="56">
        <v>44725</v>
      </c>
      <c r="Q585" s="49">
        <v>33243.86</v>
      </c>
      <c r="R585" s="57">
        <f>M585/Q585</f>
        <v>1585.2264749039371</v>
      </c>
    </row>
    <row r="586" spans="1:18" ht="15" customHeight="1">
      <c r="A586" s="37" t="s">
        <v>52</v>
      </c>
      <c r="B586" s="26" t="s">
        <v>1170</v>
      </c>
      <c r="C586" s="39" t="s">
        <v>1171</v>
      </c>
      <c r="D586" s="40" t="s">
        <v>1172</v>
      </c>
      <c r="E586" s="38" t="s">
        <v>4</v>
      </c>
      <c r="F586" s="38" t="s">
        <v>15</v>
      </c>
      <c r="G586" s="32">
        <v>7048903.1200000001</v>
      </c>
      <c r="H586" s="32">
        <v>0</v>
      </c>
      <c r="I586" s="32">
        <v>81851114.310000002</v>
      </c>
      <c r="J586" s="35">
        <f>+G586-H586+I586</f>
        <v>88900017.430000007</v>
      </c>
      <c r="K586" s="28">
        <v>0</v>
      </c>
      <c r="L586" s="32">
        <v>0</v>
      </c>
      <c r="M586" s="35">
        <f>+J586+L586</f>
        <v>88900017.430000007</v>
      </c>
      <c r="N586" s="28" t="s">
        <v>56</v>
      </c>
      <c r="O586" s="29" t="s">
        <v>57</v>
      </c>
      <c r="P586" s="36">
        <v>42884</v>
      </c>
      <c r="Q586" s="31">
        <v>26627.55</v>
      </c>
      <c r="R586" s="33">
        <f>M586/Q586</f>
        <v>3338.648032958346</v>
      </c>
    </row>
    <row r="587" spans="1:18" ht="15" customHeight="1">
      <c r="A587" s="37" t="s">
        <v>52</v>
      </c>
      <c r="B587" s="26" t="s">
        <v>1170</v>
      </c>
      <c r="C587" s="39" t="s">
        <v>1173</v>
      </c>
      <c r="D587" s="40" t="s">
        <v>1174</v>
      </c>
      <c r="E587" s="38" t="s">
        <v>4</v>
      </c>
      <c r="F587" s="38" t="s">
        <v>11</v>
      </c>
      <c r="G587" s="32">
        <v>50003470.369999997</v>
      </c>
      <c r="H587" s="32">
        <v>0</v>
      </c>
      <c r="I587" s="32">
        <v>3813147.94</v>
      </c>
      <c r="J587" s="35">
        <f>+G587-H587+I587</f>
        <v>53816618.309999995</v>
      </c>
      <c r="K587" s="28">
        <v>0</v>
      </c>
      <c r="L587" s="32">
        <v>0</v>
      </c>
      <c r="M587" s="35">
        <f>+J587+L587</f>
        <v>53816618.309999995</v>
      </c>
      <c r="N587" s="28" t="s">
        <v>56</v>
      </c>
      <c r="O587" s="29" t="s">
        <v>57</v>
      </c>
      <c r="P587" s="36">
        <v>42884</v>
      </c>
      <c r="Q587" s="31">
        <v>26627.55</v>
      </c>
      <c r="R587" s="33">
        <f>M587/Q587</f>
        <v>2021.0878698941508</v>
      </c>
    </row>
    <row r="588" spans="1:18" ht="15" customHeight="1">
      <c r="A588" s="37" t="s">
        <v>52</v>
      </c>
      <c r="B588" s="26" t="s">
        <v>622</v>
      </c>
      <c r="C588" s="65" t="s">
        <v>1175</v>
      </c>
      <c r="D588" s="51" t="s">
        <v>1176</v>
      </c>
      <c r="E588" s="38" t="s">
        <v>3</v>
      </c>
      <c r="F588" s="38" t="s">
        <v>21</v>
      </c>
      <c r="G588" s="52">
        <v>14065458</v>
      </c>
      <c r="H588" s="52">
        <v>4584182</v>
      </c>
      <c r="I588" s="52">
        <v>11892489</v>
      </c>
      <c r="J588" s="53">
        <f>+G588-H588+I588</f>
        <v>21373765</v>
      </c>
      <c r="K588" s="28">
        <v>0</v>
      </c>
      <c r="L588" s="32">
        <v>0</v>
      </c>
      <c r="M588" s="53">
        <f>+J588+L588</f>
        <v>21373765</v>
      </c>
      <c r="N588" s="55" t="s">
        <v>1105</v>
      </c>
      <c r="O588" s="29" t="s">
        <v>1106</v>
      </c>
      <c r="P588" s="36">
        <v>43487</v>
      </c>
      <c r="Q588" s="49">
        <v>27554.23</v>
      </c>
      <c r="R588" s="33">
        <f>M588/Q588</f>
        <v>775.69814144688496</v>
      </c>
    </row>
    <row r="589" spans="1:18" ht="15" customHeight="1">
      <c r="A589" s="37" t="s">
        <v>874</v>
      </c>
      <c r="B589" s="26" t="s">
        <v>875</v>
      </c>
      <c r="C589" s="39" t="s">
        <v>1177</v>
      </c>
      <c r="D589" s="40" t="s">
        <v>1178</v>
      </c>
      <c r="E589" s="38" t="s">
        <v>3</v>
      </c>
      <c r="F589" s="38" t="s">
        <v>11</v>
      </c>
      <c r="G589" s="32">
        <v>1386627</v>
      </c>
      <c r="H589" s="32">
        <v>3627428</v>
      </c>
      <c r="I589" s="32"/>
      <c r="J589" s="35">
        <f>+G589-H589+I589</f>
        <v>-2240801</v>
      </c>
      <c r="K589" s="28">
        <v>0</v>
      </c>
      <c r="L589" s="32">
        <v>0</v>
      </c>
      <c r="M589" s="35">
        <f>+J589+L589</f>
        <v>-2240801</v>
      </c>
      <c r="N589" s="28" t="s">
        <v>1179</v>
      </c>
      <c r="O589" s="29" t="s">
        <v>1180</v>
      </c>
      <c r="P589" s="36">
        <v>44454</v>
      </c>
      <c r="Q589" s="31">
        <v>30028</v>
      </c>
      <c r="R589" s="33">
        <v>-74.62</v>
      </c>
    </row>
    <row r="590" spans="1:18" ht="15" customHeight="1">
      <c r="A590" s="37" t="s">
        <v>874</v>
      </c>
      <c r="B590" s="26" t="s">
        <v>875</v>
      </c>
      <c r="C590" s="39" t="s">
        <v>1181</v>
      </c>
      <c r="D590" s="40" t="s">
        <v>1182</v>
      </c>
      <c r="E590" s="38" t="s">
        <v>3</v>
      </c>
      <c r="F590" s="38" t="s">
        <v>11</v>
      </c>
      <c r="G590" s="32">
        <v>428518</v>
      </c>
      <c r="H590" s="32">
        <v>2004882</v>
      </c>
      <c r="I590" s="32"/>
      <c r="J590" s="35">
        <f>+G590-H590+I590</f>
        <v>-1576364</v>
      </c>
      <c r="K590" s="28">
        <v>0</v>
      </c>
      <c r="L590" s="32">
        <v>0</v>
      </c>
      <c r="M590" s="35">
        <f>+J590+L590</f>
        <v>-1576364</v>
      </c>
      <c r="N590" s="28" t="s">
        <v>1179</v>
      </c>
      <c r="O590" s="29" t="s">
        <v>1180</v>
      </c>
      <c r="P590" s="36">
        <v>44454</v>
      </c>
      <c r="Q590" s="31">
        <v>30028</v>
      </c>
      <c r="R590" s="33">
        <v>-52.5</v>
      </c>
    </row>
    <row r="591" spans="1:18" ht="15" customHeight="1">
      <c r="A591" s="37" t="s">
        <v>688</v>
      </c>
      <c r="B591" s="26" t="s">
        <v>736</v>
      </c>
      <c r="C591" s="39" t="s">
        <v>1183</v>
      </c>
      <c r="D591" s="40" t="s">
        <v>1184</v>
      </c>
      <c r="E591" s="38" t="s">
        <v>3</v>
      </c>
      <c r="F591" s="38" t="s">
        <v>12</v>
      </c>
      <c r="G591" s="32">
        <v>0</v>
      </c>
      <c r="H591" s="32">
        <v>0</v>
      </c>
      <c r="I591" s="32">
        <v>5964611.4903699998</v>
      </c>
      <c r="J591" s="35">
        <f>+G591-H591+I591</f>
        <v>5964611.4903699998</v>
      </c>
      <c r="K591" s="28">
        <v>0</v>
      </c>
      <c r="L591" s="32">
        <v>0</v>
      </c>
      <c r="M591" s="35">
        <f>+J591+L591</f>
        <v>5964611.4903699998</v>
      </c>
      <c r="N591" s="28" t="s">
        <v>739</v>
      </c>
      <c r="O591" s="29" t="s">
        <v>740</v>
      </c>
      <c r="P591" s="36">
        <v>43529</v>
      </c>
      <c r="Q591" s="31">
        <v>27561.82</v>
      </c>
      <c r="R591" s="33">
        <f>M591/Q591</f>
        <v>216.40847702981878</v>
      </c>
    </row>
    <row r="592" spans="1:18" ht="15" customHeight="1">
      <c r="A592" s="37" t="s">
        <v>688</v>
      </c>
      <c r="B592" s="26" t="s">
        <v>736</v>
      </c>
      <c r="C592" s="39" t="s">
        <v>1185</v>
      </c>
      <c r="D592" s="40" t="s">
        <v>1186</v>
      </c>
      <c r="E592" s="38" t="s">
        <v>3</v>
      </c>
      <c r="F592" s="38" t="s">
        <v>13</v>
      </c>
      <c r="G592" s="32">
        <v>2225465.1077399999</v>
      </c>
      <c r="H592" s="32">
        <v>0</v>
      </c>
      <c r="I592" s="32">
        <v>288749.15451999998</v>
      </c>
      <c r="J592" s="35">
        <f>+G592-H592+I592</f>
        <v>2514214.2622599998</v>
      </c>
      <c r="K592" s="28">
        <v>0</v>
      </c>
      <c r="L592" s="32">
        <v>0</v>
      </c>
      <c r="M592" s="35">
        <f>+J592+L592</f>
        <v>2514214.2622599998</v>
      </c>
      <c r="N592" s="28" t="s">
        <v>739</v>
      </c>
      <c r="O592" s="29" t="s">
        <v>740</v>
      </c>
      <c r="P592" s="36">
        <v>43529</v>
      </c>
      <c r="Q592" s="31">
        <v>27561.82</v>
      </c>
      <c r="R592" s="33">
        <f>M592/Q592</f>
        <v>91.220908570624132</v>
      </c>
    </row>
    <row r="593" spans="1:18" s="30" customFormat="1" ht="15" customHeight="1">
      <c r="A593" s="37" t="s">
        <v>688</v>
      </c>
      <c r="B593" s="26" t="s">
        <v>736</v>
      </c>
      <c r="C593" s="39" t="s">
        <v>1187</v>
      </c>
      <c r="D593" s="40" t="s">
        <v>1188</v>
      </c>
      <c r="E593" s="38" t="s">
        <v>3</v>
      </c>
      <c r="F593" s="38" t="s">
        <v>14</v>
      </c>
      <c r="G593" s="32">
        <v>140437.343655</v>
      </c>
      <c r="H593" s="32">
        <v>0</v>
      </c>
      <c r="I593" s="32">
        <v>532205.26127999998</v>
      </c>
      <c r="J593" s="35">
        <f>+G593-H593+I593</f>
        <v>672642.60493499995</v>
      </c>
      <c r="K593" s="28">
        <v>0</v>
      </c>
      <c r="L593" s="32">
        <v>0</v>
      </c>
      <c r="M593" s="35">
        <f>+J593+L593</f>
        <v>672642.60493499995</v>
      </c>
      <c r="N593" s="28" t="s">
        <v>739</v>
      </c>
      <c r="O593" s="29" t="s">
        <v>740</v>
      </c>
      <c r="P593" s="36">
        <v>43529</v>
      </c>
      <c r="Q593" s="31">
        <v>27561.82</v>
      </c>
      <c r="R593" s="33">
        <f>M593/Q593</f>
        <v>24.404868943161226</v>
      </c>
    </row>
    <row r="594" spans="1:18" s="30" customFormat="1" ht="15" customHeight="1">
      <c r="A594" s="37" t="s">
        <v>688</v>
      </c>
      <c r="B594" s="26" t="s">
        <v>736</v>
      </c>
      <c r="C594" s="39" t="s">
        <v>1189</v>
      </c>
      <c r="D594" s="40" t="s">
        <v>1190</v>
      </c>
      <c r="E594" s="38" t="s">
        <v>3</v>
      </c>
      <c r="F594" s="38" t="s">
        <v>21</v>
      </c>
      <c r="G594" s="32">
        <v>972493.73077499995</v>
      </c>
      <c r="H594" s="32">
        <v>0</v>
      </c>
      <c r="I594" s="52">
        <v>0</v>
      </c>
      <c r="J594" s="35">
        <f>+G594-H594+I594</f>
        <v>972493.73077499995</v>
      </c>
      <c r="K594" s="28">
        <v>0</v>
      </c>
      <c r="L594" s="32">
        <v>0</v>
      </c>
      <c r="M594" s="35">
        <f>+J594+L594</f>
        <v>972493.73077499995</v>
      </c>
      <c r="N594" s="28" t="s">
        <v>739</v>
      </c>
      <c r="O594" s="29" t="s">
        <v>740</v>
      </c>
      <c r="P594" s="36">
        <v>43529</v>
      </c>
      <c r="Q594" s="31">
        <v>27561.82</v>
      </c>
      <c r="R594" s="33">
        <f>M594/Q594</f>
        <v>35.2840897580421</v>
      </c>
    </row>
    <row r="595" spans="1:18" s="30" customFormat="1" ht="15" customHeight="1">
      <c r="A595" s="37" t="s">
        <v>52</v>
      </c>
      <c r="B595" s="26" t="s">
        <v>1170</v>
      </c>
      <c r="C595" s="39" t="s">
        <v>1191</v>
      </c>
      <c r="D595" s="40" t="s">
        <v>1192</v>
      </c>
      <c r="E595" s="38" t="s">
        <v>6</v>
      </c>
      <c r="F595" s="38" t="s">
        <v>11</v>
      </c>
      <c r="G595" s="32">
        <v>-807077.03999999992</v>
      </c>
      <c r="H595" s="32">
        <v>2195722.5499999998</v>
      </c>
      <c r="I595" s="32">
        <v>1826158.53</v>
      </c>
      <c r="J595" s="35">
        <f>+G595-H595+I595</f>
        <v>-1176641.0599999998</v>
      </c>
      <c r="K595" s="28">
        <v>0</v>
      </c>
      <c r="L595" s="32">
        <v>0</v>
      </c>
      <c r="M595" s="35">
        <f>+J595+L595</f>
        <v>-1176641.0599999998</v>
      </c>
      <c r="N595" s="28" t="s">
        <v>56</v>
      </c>
      <c r="O595" s="29" t="s">
        <v>57</v>
      </c>
      <c r="P595" s="36">
        <v>42884</v>
      </c>
      <c r="Q595" s="31">
        <v>26627.55</v>
      </c>
      <c r="R595" s="33">
        <f>M595/Q595</f>
        <v>-44.188859282960685</v>
      </c>
    </row>
    <row r="596" spans="1:18" s="30" customFormat="1" ht="15" customHeight="1">
      <c r="A596" s="37" t="s">
        <v>52</v>
      </c>
      <c r="B596" s="26" t="s">
        <v>1170</v>
      </c>
      <c r="C596" s="39" t="s">
        <v>1193</v>
      </c>
      <c r="D596" s="40" t="s">
        <v>1194</v>
      </c>
      <c r="E596" s="38" t="s">
        <v>6</v>
      </c>
      <c r="F596" s="38" t="s">
        <v>12</v>
      </c>
      <c r="G596" s="32">
        <v>352262.61</v>
      </c>
      <c r="H596" s="32">
        <v>643740.02</v>
      </c>
      <c r="I596" s="52">
        <v>0</v>
      </c>
      <c r="J596" s="35">
        <f>+G596-H596+I596</f>
        <v>-291477.41000000003</v>
      </c>
      <c r="K596" s="28">
        <v>0</v>
      </c>
      <c r="L596" s="32">
        <v>0</v>
      </c>
      <c r="M596" s="35">
        <f>+J596+L596</f>
        <v>-291477.41000000003</v>
      </c>
      <c r="N596" s="28" t="s">
        <v>56</v>
      </c>
      <c r="O596" s="29" t="s">
        <v>57</v>
      </c>
      <c r="P596" s="36">
        <v>42884</v>
      </c>
      <c r="Q596" s="31">
        <v>26627.55</v>
      </c>
      <c r="R596" s="33">
        <f>M596/Q596</f>
        <v>-10.946459963458901</v>
      </c>
    </row>
    <row r="597" spans="1:18" s="30" customFormat="1" ht="15" customHeight="1">
      <c r="A597" s="37" t="s">
        <v>52</v>
      </c>
      <c r="B597" s="26" t="s">
        <v>1170</v>
      </c>
      <c r="C597" s="39" t="s">
        <v>1195</v>
      </c>
      <c r="D597" s="40" t="s">
        <v>1196</v>
      </c>
      <c r="E597" s="38" t="s">
        <v>6</v>
      </c>
      <c r="F597" s="38" t="s">
        <v>13</v>
      </c>
      <c r="G597" s="32">
        <v>2480226.56</v>
      </c>
      <c r="H597" s="32">
        <v>4752025.8099999996</v>
      </c>
      <c r="I597" s="32">
        <v>3891791.4699999997</v>
      </c>
      <c r="J597" s="35">
        <f>+G597-H597+I597</f>
        <v>1619992.2200000002</v>
      </c>
      <c r="K597" s="28">
        <v>0</v>
      </c>
      <c r="L597" s="32">
        <v>0</v>
      </c>
      <c r="M597" s="35">
        <f>+J597+L597</f>
        <v>1619992.2200000002</v>
      </c>
      <c r="N597" s="28" t="s">
        <v>56</v>
      </c>
      <c r="O597" s="29" t="s">
        <v>57</v>
      </c>
      <c r="P597" s="36">
        <v>42884</v>
      </c>
      <c r="Q597" s="31">
        <v>26627.55</v>
      </c>
      <c r="R597" s="33">
        <f>M597/Q597</f>
        <v>60.838951386815545</v>
      </c>
    </row>
    <row r="598" spans="1:18" s="30" customFormat="1" ht="15" customHeight="1">
      <c r="A598" s="37" t="s">
        <v>52</v>
      </c>
      <c r="B598" s="26" t="s">
        <v>1170</v>
      </c>
      <c r="C598" s="39" t="s">
        <v>1197</v>
      </c>
      <c r="D598" s="40" t="s">
        <v>1198</v>
      </c>
      <c r="E598" s="38" t="s">
        <v>6</v>
      </c>
      <c r="F598" s="38" t="s">
        <v>11</v>
      </c>
      <c r="G598" s="32">
        <v>5941002.4100000001</v>
      </c>
      <c r="H598" s="32">
        <v>3612888.79</v>
      </c>
      <c r="I598" s="32">
        <v>3073825.9299999997</v>
      </c>
      <c r="J598" s="35">
        <f>+G598-H598+I598</f>
        <v>5401939.5499999998</v>
      </c>
      <c r="K598" s="28">
        <v>0</v>
      </c>
      <c r="L598" s="32">
        <v>0</v>
      </c>
      <c r="M598" s="35">
        <f>+J598+L598</f>
        <v>5401939.5499999998</v>
      </c>
      <c r="N598" s="28" t="s">
        <v>56</v>
      </c>
      <c r="O598" s="29" t="s">
        <v>57</v>
      </c>
      <c r="P598" s="36">
        <v>42884</v>
      </c>
      <c r="Q598" s="31">
        <v>26627.55</v>
      </c>
      <c r="R598" s="33">
        <f>M598/Q598</f>
        <v>202.87031852348414</v>
      </c>
    </row>
    <row r="599" spans="1:18" s="30" customFormat="1" ht="15" customHeight="1">
      <c r="A599" s="37" t="s">
        <v>293</v>
      </c>
      <c r="B599" s="26" t="s">
        <v>294</v>
      </c>
      <c r="C599" s="39">
        <v>571</v>
      </c>
      <c r="D599" s="40" t="s">
        <v>1199</v>
      </c>
      <c r="E599" s="38" t="s">
        <v>4</v>
      </c>
      <c r="F599" s="38" t="s">
        <v>296</v>
      </c>
      <c r="G599" s="32">
        <v>136627</v>
      </c>
      <c r="H599" s="32">
        <v>0</v>
      </c>
      <c r="I599" s="32">
        <v>339080</v>
      </c>
      <c r="J599" s="35">
        <f>+G599-H599+I599</f>
        <v>475707</v>
      </c>
      <c r="K599" s="27" t="s">
        <v>401</v>
      </c>
      <c r="L599" s="32">
        <v>0</v>
      </c>
      <c r="M599" s="35">
        <f>+J599+L599</f>
        <v>475707</v>
      </c>
      <c r="N599" s="55" t="s">
        <v>402</v>
      </c>
      <c r="O599" s="56" t="s">
        <v>403</v>
      </c>
      <c r="P599" s="56">
        <v>44524</v>
      </c>
      <c r="Q599" s="49">
        <v>30683.439999999999</v>
      </c>
      <c r="R599" s="57">
        <f>+M599/Q599</f>
        <v>15.503704930086066</v>
      </c>
    </row>
    <row r="600" spans="1:18" s="30" customFormat="1" ht="15" customHeight="1">
      <c r="A600" s="37" t="s">
        <v>52</v>
      </c>
      <c r="B600" s="26" t="s">
        <v>1170</v>
      </c>
      <c r="C600" s="39" t="s">
        <v>1200</v>
      </c>
      <c r="D600" s="40" t="s">
        <v>1201</v>
      </c>
      <c r="E600" s="38" t="s">
        <v>6</v>
      </c>
      <c r="F600" s="38" t="s">
        <v>11</v>
      </c>
      <c r="G600" s="32">
        <v>0</v>
      </c>
      <c r="H600" s="32">
        <v>6371088.6399999997</v>
      </c>
      <c r="I600" s="52">
        <v>0</v>
      </c>
      <c r="J600" s="35">
        <f>+G600-H600+I600</f>
        <v>-6371088.6399999997</v>
      </c>
      <c r="K600" s="28">
        <v>0</v>
      </c>
      <c r="L600" s="32">
        <v>0</v>
      </c>
      <c r="M600" s="35">
        <f>+J600+L600</f>
        <v>-6371088.6399999997</v>
      </c>
      <c r="N600" s="28" t="s">
        <v>56</v>
      </c>
      <c r="O600" s="29" t="s">
        <v>57</v>
      </c>
      <c r="P600" s="36">
        <v>42884</v>
      </c>
      <c r="Q600" s="31">
        <v>26627.55</v>
      </c>
      <c r="R600" s="33">
        <f>M600/Q600</f>
        <v>-239.26679848502772</v>
      </c>
    </row>
    <row r="601" spans="1:18" s="30" customFormat="1" ht="15" customHeight="1">
      <c r="A601" s="37" t="s">
        <v>52</v>
      </c>
      <c r="B601" s="26" t="s">
        <v>1170</v>
      </c>
      <c r="C601" s="39" t="s">
        <v>1202</v>
      </c>
      <c r="D601" s="40" t="s">
        <v>1203</v>
      </c>
      <c r="E601" s="38" t="s">
        <v>6</v>
      </c>
      <c r="F601" s="38" t="s">
        <v>11</v>
      </c>
      <c r="G601" s="32">
        <v>990907.04999999993</v>
      </c>
      <c r="H601" s="32">
        <v>0</v>
      </c>
      <c r="I601" s="32">
        <v>317033.84999999998</v>
      </c>
      <c r="J601" s="35">
        <f>+G601-H601+I601</f>
        <v>1307940.8999999999</v>
      </c>
      <c r="K601" s="28">
        <v>0</v>
      </c>
      <c r="L601" s="32">
        <v>0</v>
      </c>
      <c r="M601" s="35">
        <f>+J601+L601</f>
        <v>1307940.8999999999</v>
      </c>
      <c r="N601" s="28" t="s">
        <v>56</v>
      </c>
      <c r="O601" s="29" t="s">
        <v>57</v>
      </c>
      <c r="P601" s="36">
        <v>42884</v>
      </c>
      <c r="Q601" s="31">
        <v>26627.55</v>
      </c>
      <c r="R601" s="33">
        <f>M601/Q601</f>
        <v>49.119836410033969</v>
      </c>
    </row>
    <row r="602" spans="1:18" s="30" customFormat="1" ht="15" customHeight="1">
      <c r="A602" s="37" t="s">
        <v>52</v>
      </c>
      <c r="B602" s="26" t="s">
        <v>1170</v>
      </c>
      <c r="C602" s="39" t="s">
        <v>1204</v>
      </c>
      <c r="D602" s="40" t="s">
        <v>1205</v>
      </c>
      <c r="E602" s="38" t="s">
        <v>6</v>
      </c>
      <c r="F602" s="38" t="s">
        <v>11</v>
      </c>
      <c r="G602" s="32">
        <v>12236558.18</v>
      </c>
      <c r="H602" s="32">
        <v>0</v>
      </c>
      <c r="I602" s="52">
        <v>0</v>
      </c>
      <c r="J602" s="35">
        <f>+G602-H602+I602</f>
        <v>12236558.18</v>
      </c>
      <c r="K602" s="28">
        <v>0</v>
      </c>
      <c r="L602" s="32">
        <v>0</v>
      </c>
      <c r="M602" s="35">
        <f>+J602+L602</f>
        <v>12236558.18</v>
      </c>
      <c r="N602" s="28" t="s">
        <v>56</v>
      </c>
      <c r="O602" s="29" t="s">
        <v>57</v>
      </c>
      <c r="P602" s="36">
        <v>42884</v>
      </c>
      <c r="Q602" s="31">
        <v>26627.55</v>
      </c>
      <c r="R602" s="33">
        <f>M602/Q602</f>
        <v>459.54502686127717</v>
      </c>
    </row>
    <row r="603" spans="1:18" s="30" customFormat="1" ht="15" customHeight="1">
      <c r="A603" s="37" t="s">
        <v>52</v>
      </c>
      <c r="B603" s="26" t="s">
        <v>1170</v>
      </c>
      <c r="C603" s="39" t="s">
        <v>1206</v>
      </c>
      <c r="D603" s="40" t="s">
        <v>1207</v>
      </c>
      <c r="E603" s="38" t="s">
        <v>6</v>
      </c>
      <c r="F603" s="38" t="s">
        <v>15</v>
      </c>
      <c r="G603" s="32">
        <v>0</v>
      </c>
      <c r="H603" s="32">
        <v>768243802.13</v>
      </c>
      <c r="I603" s="32">
        <v>882505757.63</v>
      </c>
      <c r="J603" s="35">
        <f>+G603-H603+I603</f>
        <v>114261955.5</v>
      </c>
      <c r="K603" s="28">
        <v>0</v>
      </c>
      <c r="L603" s="32">
        <v>0</v>
      </c>
      <c r="M603" s="35">
        <f>+J603+L603</f>
        <v>114261955.5</v>
      </c>
      <c r="N603" s="28" t="s">
        <v>56</v>
      </c>
      <c r="O603" s="29" t="s">
        <v>57</v>
      </c>
      <c r="P603" s="36">
        <v>42884</v>
      </c>
      <c r="Q603" s="31">
        <v>26627.55</v>
      </c>
      <c r="R603" s="33">
        <f>M603/Q603</f>
        <v>4291.1178647678817</v>
      </c>
    </row>
    <row r="604" spans="1:18" s="30" customFormat="1" ht="15" customHeight="1">
      <c r="A604" s="37" t="s">
        <v>52</v>
      </c>
      <c r="B604" s="26" t="s">
        <v>1170</v>
      </c>
      <c r="C604" s="39" t="s">
        <v>1208</v>
      </c>
      <c r="D604" s="40" t="s">
        <v>1209</v>
      </c>
      <c r="E604" s="38" t="s">
        <v>6</v>
      </c>
      <c r="F604" s="38" t="s">
        <v>11</v>
      </c>
      <c r="G604" s="32">
        <v>0</v>
      </c>
      <c r="H604" s="32">
        <v>0</v>
      </c>
      <c r="I604" s="32">
        <v>3050362.6999999997</v>
      </c>
      <c r="J604" s="35">
        <f>+G604-H604+I604</f>
        <v>3050362.6999999997</v>
      </c>
      <c r="K604" s="28">
        <v>0</v>
      </c>
      <c r="L604" s="32">
        <v>0</v>
      </c>
      <c r="M604" s="35">
        <f>+J604+L604</f>
        <v>3050362.6999999997</v>
      </c>
      <c r="N604" s="28" t="s">
        <v>56</v>
      </c>
      <c r="O604" s="29" t="s">
        <v>57</v>
      </c>
      <c r="P604" s="36">
        <v>42884</v>
      </c>
      <c r="Q604" s="31">
        <v>26627.55</v>
      </c>
      <c r="R604" s="33">
        <f>M604/Q604</f>
        <v>114.55664152353482</v>
      </c>
    </row>
    <row r="605" spans="1:18" s="30" customFormat="1" ht="15" customHeight="1">
      <c r="A605" s="37" t="s">
        <v>52</v>
      </c>
      <c r="B605" s="26" t="s">
        <v>1170</v>
      </c>
      <c r="C605" s="39" t="s">
        <v>1210</v>
      </c>
      <c r="D605" s="40" t="s">
        <v>1211</v>
      </c>
      <c r="E605" s="38" t="s">
        <v>6</v>
      </c>
      <c r="F605" s="38" t="s">
        <v>11</v>
      </c>
      <c r="G605" s="32">
        <v>0</v>
      </c>
      <c r="H605" s="32">
        <v>0</v>
      </c>
      <c r="I605" s="52">
        <v>0</v>
      </c>
      <c r="J605" s="35">
        <f>+G605-H605+I605</f>
        <v>0</v>
      </c>
      <c r="K605" s="28">
        <v>0</v>
      </c>
      <c r="L605" s="32">
        <v>0</v>
      </c>
      <c r="M605" s="35">
        <f>+J605+L605</f>
        <v>0</v>
      </c>
      <c r="N605" s="28" t="s">
        <v>56</v>
      </c>
      <c r="O605" s="29" t="s">
        <v>57</v>
      </c>
      <c r="P605" s="36">
        <v>42884</v>
      </c>
      <c r="Q605" s="31">
        <v>26627.55</v>
      </c>
      <c r="R605" s="33">
        <f>M605/Q605</f>
        <v>0</v>
      </c>
    </row>
    <row r="606" spans="1:18" s="30" customFormat="1" ht="15" customHeight="1">
      <c r="A606" s="37" t="s">
        <v>52</v>
      </c>
      <c r="B606" s="26" t="s">
        <v>1170</v>
      </c>
      <c r="C606" s="39" t="s">
        <v>1212</v>
      </c>
      <c r="D606" s="40" t="s">
        <v>1213</v>
      </c>
      <c r="E606" s="38" t="s">
        <v>6</v>
      </c>
      <c r="F606" s="38" t="s">
        <v>11</v>
      </c>
      <c r="G606" s="32">
        <v>1461486.5999999999</v>
      </c>
      <c r="H606" s="32">
        <v>115460.94</v>
      </c>
      <c r="I606" s="32">
        <v>1094324</v>
      </c>
      <c r="J606" s="35">
        <f>+G606-H606+I606</f>
        <v>2440349.66</v>
      </c>
      <c r="K606" s="28">
        <v>0</v>
      </c>
      <c r="L606" s="32">
        <v>0</v>
      </c>
      <c r="M606" s="35">
        <f>+J606+L606</f>
        <v>2440349.66</v>
      </c>
      <c r="N606" s="28" t="s">
        <v>56</v>
      </c>
      <c r="O606" s="29" t="s">
        <v>57</v>
      </c>
      <c r="P606" s="36">
        <v>42884</v>
      </c>
      <c r="Q606" s="31">
        <v>26627.55</v>
      </c>
      <c r="R606" s="33">
        <f>M606/Q606</f>
        <v>91.647547746600807</v>
      </c>
    </row>
    <row r="607" spans="1:18" s="30" customFormat="1" ht="15" customHeight="1">
      <c r="A607" s="37" t="s">
        <v>52</v>
      </c>
      <c r="B607" s="26" t="s">
        <v>1170</v>
      </c>
      <c r="C607" s="39" t="s">
        <v>1214</v>
      </c>
      <c r="D607" s="40" t="s">
        <v>1215</v>
      </c>
      <c r="E607" s="38" t="s">
        <v>6</v>
      </c>
      <c r="F607" s="38" t="s">
        <v>13</v>
      </c>
      <c r="G607" s="32">
        <v>0</v>
      </c>
      <c r="H607" s="32">
        <v>0</v>
      </c>
      <c r="I607" s="32">
        <v>2017753.2899999998</v>
      </c>
      <c r="J607" s="35">
        <f>+G607-H607+I607</f>
        <v>2017753.2899999998</v>
      </c>
      <c r="K607" s="28">
        <v>0</v>
      </c>
      <c r="L607" s="32">
        <v>0</v>
      </c>
      <c r="M607" s="35">
        <f>+J607+L607</f>
        <v>2017753.2899999998</v>
      </c>
      <c r="N607" s="28" t="s">
        <v>56</v>
      </c>
      <c r="O607" s="29" t="s">
        <v>57</v>
      </c>
      <c r="P607" s="36">
        <v>42884</v>
      </c>
      <c r="Q607" s="31">
        <v>26627.55</v>
      </c>
      <c r="R607" s="33">
        <f>M607/Q607</f>
        <v>75.776903620498317</v>
      </c>
    </row>
    <row r="608" spans="1:18" s="30" customFormat="1" ht="15" customHeight="1">
      <c r="A608" s="37" t="s">
        <v>52</v>
      </c>
      <c r="B608" s="26" t="s">
        <v>1170</v>
      </c>
      <c r="C608" s="39" t="s">
        <v>1216</v>
      </c>
      <c r="D608" s="40" t="s">
        <v>1217</v>
      </c>
      <c r="E608" s="38" t="s">
        <v>6</v>
      </c>
      <c r="F608" s="38" t="s">
        <v>11</v>
      </c>
      <c r="G608" s="32">
        <v>0</v>
      </c>
      <c r="H608" s="32">
        <v>151093.10999999999</v>
      </c>
      <c r="I608" s="32">
        <v>151093.10999999999</v>
      </c>
      <c r="J608" s="35">
        <f>+G608-H608+I608</f>
        <v>0</v>
      </c>
      <c r="K608" s="28">
        <v>0</v>
      </c>
      <c r="L608" s="32">
        <v>0</v>
      </c>
      <c r="M608" s="35">
        <f>+J608+L608</f>
        <v>0</v>
      </c>
      <c r="N608" s="28" t="s">
        <v>56</v>
      </c>
      <c r="O608" s="29" t="s">
        <v>57</v>
      </c>
      <c r="P608" s="36">
        <v>42884</v>
      </c>
      <c r="Q608" s="31">
        <v>26627.55</v>
      </c>
      <c r="R608" s="33">
        <f>M608/Q608</f>
        <v>0</v>
      </c>
    </row>
    <row r="609" spans="1:18" s="30" customFormat="1" ht="15" customHeight="1">
      <c r="A609" s="37" t="s">
        <v>52</v>
      </c>
      <c r="B609" s="26" t="s">
        <v>1170</v>
      </c>
      <c r="C609" s="39" t="s">
        <v>1218</v>
      </c>
      <c r="D609" s="40" t="s">
        <v>1219</v>
      </c>
      <c r="E609" s="38" t="s">
        <v>6</v>
      </c>
      <c r="F609" s="38" t="s">
        <v>11</v>
      </c>
      <c r="G609" s="32">
        <v>2721100.4099999997</v>
      </c>
      <c r="H609" s="32">
        <v>0</v>
      </c>
      <c r="I609" s="32">
        <v>2287799.9899999998</v>
      </c>
      <c r="J609" s="35">
        <f>+G609-H609+I609</f>
        <v>5008900.3999999994</v>
      </c>
      <c r="K609" s="28">
        <v>0</v>
      </c>
      <c r="L609" s="32">
        <v>0</v>
      </c>
      <c r="M609" s="35">
        <f>+J609+L609</f>
        <v>5008900.3999999994</v>
      </c>
      <c r="N609" s="28" t="s">
        <v>56</v>
      </c>
      <c r="O609" s="29" t="s">
        <v>57</v>
      </c>
      <c r="P609" s="36">
        <v>42884</v>
      </c>
      <c r="Q609" s="31">
        <v>26627.55</v>
      </c>
      <c r="R609" s="33">
        <f>M609/Q609</f>
        <v>188.10969841386083</v>
      </c>
    </row>
    <row r="610" spans="1:18" s="30" customFormat="1" ht="15" customHeight="1">
      <c r="A610" s="37" t="s">
        <v>52</v>
      </c>
      <c r="B610" s="26" t="s">
        <v>1170</v>
      </c>
      <c r="C610" s="39" t="s">
        <v>1220</v>
      </c>
      <c r="D610" s="40" t="s">
        <v>1221</v>
      </c>
      <c r="E610" s="38" t="s">
        <v>6</v>
      </c>
      <c r="F610" s="38" t="s">
        <v>11</v>
      </c>
      <c r="G610" s="32">
        <v>506911.44</v>
      </c>
      <c r="H610" s="32">
        <v>23100.28</v>
      </c>
      <c r="I610" s="32">
        <v>327504.65999999997</v>
      </c>
      <c r="J610" s="35">
        <f>+G610-H610+I610</f>
        <v>811315.82000000007</v>
      </c>
      <c r="K610" s="28">
        <v>0</v>
      </c>
      <c r="L610" s="32">
        <v>0</v>
      </c>
      <c r="M610" s="35">
        <f>+J610+L610</f>
        <v>811315.82000000007</v>
      </c>
      <c r="N610" s="28" t="s">
        <v>56</v>
      </c>
      <c r="O610" s="29" t="s">
        <v>57</v>
      </c>
      <c r="P610" s="36">
        <v>42884</v>
      </c>
      <c r="Q610" s="31">
        <v>26627.55</v>
      </c>
      <c r="R610" s="33">
        <f>M610/Q610</f>
        <v>30.469037519411291</v>
      </c>
    </row>
    <row r="611" spans="1:18" s="30" customFormat="1" ht="15" customHeight="1">
      <c r="A611" s="37" t="s">
        <v>52</v>
      </c>
      <c r="B611" s="26" t="s">
        <v>1170</v>
      </c>
      <c r="C611" s="39" t="s">
        <v>1222</v>
      </c>
      <c r="D611" s="40" t="s">
        <v>1223</v>
      </c>
      <c r="E611" s="38" t="s">
        <v>6</v>
      </c>
      <c r="F611" s="38" t="s">
        <v>12</v>
      </c>
      <c r="G611" s="32">
        <v>0</v>
      </c>
      <c r="H611" s="32">
        <v>181697.53</v>
      </c>
      <c r="I611" s="52">
        <v>0</v>
      </c>
      <c r="J611" s="35">
        <f>+G611-H611+I611</f>
        <v>-181697.53</v>
      </c>
      <c r="K611" s="28">
        <v>0</v>
      </c>
      <c r="L611" s="32">
        <v>0</v>
      </c>
      <c r="M611" s="35">
        <f>+J611+L611</f>
        <v>-181697.53</v>
      </c>
      <c r="N611" s="28" t="s">
        <v>56</v>
      </c>
      <c r="O611" s="29" t="s">
        <v>57</v>
      </c>
      <c r="P611" s="36">
        <v>42884</v>
      </c>
      <c r="Q611" s="31">
        <v>26627.55</v>
      </c>
      <c r="R611" s="33">
        <f>M611/Q611</f>
        <v>-6.823666841297829</v>
      </c>
    </row>
    <row r="612" spans="1:18" s="30" customFormat="1" ht="15" customHeight="1">
      <c r="A612" s="37" t="s">
        <v>52</v>
      </c>
      <c r="B612" s="26" t="s">
        <v>1170</v>
      </c>
      <c r="C612" s="39" t="s">
        <v>1224</v>
      </c>
      <c r="D612" s="40" t="s">
        <v>1225</v>
      </c>
      <c r="E612" s="38" t="s">
        <v>6</v>
      </c>
      <c r="F612" s="38" t="s">
        <v>12</v>
      </c>
      <c r="G612" s="32">
        <v>0</v>
      </c>
      <c r="H612" s="32">
        <v>0</v>
      </c>
      <c r="I612" s="52">
        <v>0</v>
      </c>
      <c r="J612" s="35">
        <f>+G612-H612+I612</f>
        <v>0</v>
      </c>
      <c r="K612" s="28">
        <v>0</v>
      </c>
      <c r="L612" s="32">
        <v>0</v>
      </c>
      <c r="M612" s="35">
        <f>+J612+L612</f>
        <v>0</v>
      </c>
      <c r="N612" s="28" t="s">
        <v>56</v>
      </c>
      <c r="O612" s="29" t="s">
        <v>57</v>
      </c>
      <c r="P612" s="36">
        <v>42884</v>
      </c>
      <c r="Q612" s="31">
        <v>26627.55</v>
      </c>
      <c r="R612" s="33">
        <f>M612/Q612</f>
        <v>0</v>
      </c>
    </row>
    <row r="613" spans="1:18" s="30" customFormat="1" ht="15" customHeight="1">
      <c r="A613" s="37" t="s">
        <v>52</v>
      </c>
      <c r="B613" s="26" t="s">
        <v>1170</v>
      </c>
      <c r="C613" s="39" t="s">
        <v>1226</v>
      </c>
      <c r="D613" s="40" t="s">
        <v>1227</v>
      </c>
      <c r="E613" s="38" t="s">
        <v>6</v>
      </c>
      <c r="F613" s="38" t="s">
        <v>11</v>
      </c>
      <c r="G613" s="32">
        <v>42011266.149999999</v>
      </c>
      <c r="H613" s="32">
        <v>17090438.469999999</v>
      </c>
      <c r="I613" s="32">
        <v>43854332.199999996</v>
      </c>
      <c r="J613" s="35">
        <f>+G613-H613+I613</f>
        <v>68775159.879999995</v>
      </c>
      <c r="K613" s="28">
        <v>0</v>
      </c>
      <c r="L613" s="32">
        <v>0</v>
      </c>
      <c r="M613" s="35">
        <f>+J613+L613</f>
        <v>68775159.879999995</v>
      </c>
      <c r="N613" s="28" t="s">
        <v>56</v>
      </c>
      <c r="O613" s="29" t="s">
        <v>57</v>
      </c>
      <c r="P613" s="36">
        <v>42884</v>
      </c>
      <c r="Q613" s="31">
        <v>26627.55</v>
      </c>
      <c r="R613" s="33">
        <f>M613/Q613</f>
        <v>2582.8572241907345</v>
      </c>
    </row>
    <row r="614" spans="1:18" s="30" customFormat="1" ht="15" customHeight="1">
      <c r="A614" s="37" t="s">
        <v>52</v>
      </c>
      <c r="B614" s="26" t="s">
        <v>1170</v>
      </c>
      <c r="C614" s="39" t="s">
        <v>1228</v>
      </c>
      <c r="D614" s="40" t="s">
        <v>1229</v>
      </c>
      <c r="E614" s="38" t="s">
        <v>6</v>
      </c>
      <c r="F614" s="38" t="s">
        <v>12</v>
      </c>
      <c r="G614" s="32">
        <v>5253608.43</v>
      </c>
      <c r="H614" s="32">
        <v>1753664.92</v>
      </c>
      <c r="I614" s="32">
        <v>1736894.25</v>
      </c>
      <c r="J614" s="35">
        <f>+G614-H614+I614</f>
        <v>5236837.76</v>
      </c>
      <c r="K614" s="28">
        <v>0</v>
      </c>
      <c r="L614" s="32">
        <v>0</v>
      </c>
      <c r="M614" s="35">
        <f>+J614+L614</f>
        <v>5236837.76</v>
      </c>
      <c r="N614" s="28" t="s">
        <v>56</v>
      </c>
      <c r="O614" s="29" t="s">
        <v>57</v>
      </c>
      <c r="P614" s="36">
        <v>42884</v>
      </c>
      <c r="Q614" s="31">
        <v>26627.55</v>
      </c>
      <c r="R614" s="33">
        <f>M614/Q614</f>
        <v>196.66990616861108</v>
      </c>
    </row>
    <row r="615" spans="1:18" s="30" customFormat="1" ht="15" customHeight="1">
      <c r="A615" s="37" t="s">
        <v>52</v>
      </c>
      <c r="B615" s="26" t="s">
        <v>1170</v>
      </c>
      <c r="C615" s="39" t="s">
        <v>1230</v>
      </c>
      <c r="D615" s="40" t="s">
        <v>1231</v>
      </c>
      <c r="E615" s="38" t="s">
        <v>6</v>
      </c>
      <c r="F615" s="38" t="s">
        <v>13</v>
      </c>
      <c r="G615" s="32">
        <v>1526722.4</v>
      </c>
      <c r="H615" s="32">
        <v>0</v>
      </c>
      <c r="I615" s="32">
        <v>156676.59</v>
      </c>
      <c r="J615" s="35">
        <f>+G615-H615+I615</f>
        <v>1683398.99</v>
      </c>
      <c r="K615" s="28">
        <v>0</v>
      </c>
      <c r="L615" s="32">
        <v>0</v>
      </c>
      <c r="M615" s="35">
        <f>+J615+L615</f>
        <v>1683398.99</v>
      </c>
      <c r="N615" s="28" t="s">
        <v>56</v>
      </c>
      <c r="O615" s="29" t="s">
        <v>57</v>
      </c>
      <c r="P615" s="36">
        <v>42884</v>
      </c>
      <c r="Q615" s="31">
        <v>26627.55</v>
      </c>
      <c r="R615" s="33">
        <f>M615/Q615</f>
        <v>63.22019825331283</v>
      </c>
    </row>
    <row r="616" spans="1:18" s="30" customFormat="1" ht="15" customHeight="1">
      <c r="A616" s="37" t="s">
        <v>52</v>
      </c>
      <c r="B616" s="26" t="s">
        <v>1170</v>
      </c>
      <c r="C616" s="39" t="s">
        <v>1232</v>
      </c>
      <c r="D616" s="40" t="s">
        <v>1233</v>
      </c>
      <c r="E616" s="38" t="s">
        <v>6</v>
      </c>
      <c r="F616" s="38" t="s">
        <v>11</v>
      </c>
      <c r="G616" s="32">
        <v>0</v>
      </c>
      <c r="H616" s="32">
        <v>0</v>
      </c>
      <c r="I616" s="52">
        <v>0</v>
      </c>
      <c r="J616" s="35">
        <f>+G616-H616+I616</f>
        <v>0</v>
      </c>
      <c r="K616" s="28">
        <v>0</v>
      </c>
      <c r="L616" s="32">
        <v>0</v>
      </c>
      <c r="M616" s="35">
        <f>+J616+L616</f>
        <v>0</v>
      </c>
      <c r="N616" s="28" t="s">
        <v>56</v>
      </c>
      <c r="O616" s="29" t="s">
        <v>57</v>
      </c>
      <c r="P616" s="36">
        <v>42884</v>
      </c>
      <c r="Q616" s="31">
        <v>26627.55</v>
      </c>
      <c r="R616" s="33">
        <f>M616/Q616</f>
        <v>0</v>
      </c>
    </row>
    <row r="617" spans="1:18" s="30" customFormat="1" ht="15" customHeight="1">
      <c r="A617" s="37" t="s">
        <v>52</v>
      </c>
      <c r="B617" s="26" t="s">
        <v>1170</v>
      </c>
      <c r="C617" s="39" t="s">
        <v>1234</v>
      </c>
      <c r="D617" s="40" t="s">
        <v>1235</v>
      </c>
      <c r="E617" s="38" t="s">
        <v>6</v>
      </c>
      <c r="F617" s="38" t="s">
        <v>12</v>
      </c>
      <c r="G617" s="32">
        <v>4302756.78</v>
      </c>
      <c r="H617" s="32">
        <v>2229593.52</v>
      </c>
      <c r="I617" s="32">
        <v>2272745.2999999998</v>
      </c>
      <c r="J617" s="35">
        <f>+G617-H617+I617</f>
        <v>4345908.5600000005</v>
      </c>
      <c r="K617" s="28">
        <v>0</v>
      </c>
      <c r="L617" s="32">
        <v>0</v>
      </c>
      <c r="M617" s="35">
        <f>+J617+L617</f>
        <v>4345908.5600000005</v>
      </c>
      <c r="N617" s="28" t="s">
        <v>56</v>
      </c>
      <c r="O617" s="29" t="s">
        <v>57</v>
      </c>
      <c r="P617" s="36">
        <v>42884</v>
      </c>
      <c r="Q617" s="31">
        <v>26627.55</v>
      </c>
      <c r="R617" s="33">
        <f>M617/Q617</f>
        <v>163.21098110791269</v>
      </c>
    </row>
    <row r="618" spans="1:18" s="30" customFormat="1" ht="15" customHeight="1">
      <c r="A618" s="37" t="s">
        <v>52</v>
      </c>
      <c r="B618" s="26" t="s">
        <v>1170</v>
      </c>
      <c r="C618" s="39" t="s">
        <v>1236</v>
      </c>
      <c r="D618" s="40" t="s">
        <v>1237</v>
      </c>
      <c r="E618" s="38" t="s">
        <v>6</v>
      </c>
      <c r="F618" s="38" t="s">
        <v>14</v>
      </c>
      <c r="G618" s="32">
        <v>44921448.039999999</v>
      </c>
      <c r="H618" s="32">
        <v>21737071.93</v>
      </c>
      <c r="I618" s="32">
        <v>46588509.519999996</v>
      </c>
      <c r="J618" s="35">
        <f>+G618-H618+I618</f>
        <v>69772885.629999995</v>
      </c>
      <c r="K618" s="28">
        <v>0</v>
      </c>
      <c r="L618" s="32">
        <v>0</v>
      </c>
      <c r="M618" s="35">
        <f>+J618+L618</f>
        <v>69772885.629999995</v>
      </c>
      <c r="N618" s="28" t="s">
        <v>56</v>
      </c>
      <c r="O618" s="29" t="s">
        <v>57</v>
      </c>
      <c r="P618" s="36">
        <v>42884</v>
      </c>
      <c r="Q618" s="31">
        <v>26627.55</v>
      </c>
      <c r="R618" s="33">
        <f>M618/Q618</f>
        <v>2620.3269031510595</v>
      </c>
    </row>
    <row r="619" spans="1:18" s="30" customFormat="1" ht="15" customHeight="1">
      <c r="A619" s="37" t="s">
        <v>52</v>
      </c>
      <c r="B619" s="26" t="s">
        <v>1170</v>
      </c>
      <c r="C619" s="39" t="s">
        <v>1238</v>
      </c>
      <c r="D619" s="40" t="s">
        <v>1239</v>
      </c>
      <c r="E619" s="38" t="s">
        <v>6</v>
      </c>
      <c r="F619" s="38" t="s">
        <v>11</v>
      </c>
      <c r="G619" s="32">
        <v>3806649.3499999996</v>
      </c>
      <c r="H619" s="32">
        <v>5261713.5199999996</v>
      </c>
      <c r="I619" s="32">
        <v>1013270.72</v>
      </c>
      <c r="J619" s="35">
        <f>+G619-H619+I619</f>
        <v>-441793.44999999995</v>
      </c>
      <c r="K619" s="28">
        <v>0</v>
      </c>
      <c r="L619" s="32">
        <v>0</v>
      </c>
      <c r="M619" s="35">
        <f>+J619+L619</f>
        <v>-441793.44999999995</v>
      </c>
      <c r="N619" s="28" t="s">
        <v>56</v>
      </c>
      <c r="O619" s="29" t="s">
        <v>57</v>
      </c>
      <c r="P619" s="36">
        <v>42884</v>
      </c>
      <c r="Q619" s="31">
        <v>26627.55</v>
      </c>
      <c r="R619" s="33">
        <f>M619/Q619</f>
        <v>-16.591592166759614</v>
      </c>
    </row>
    <row r="620" spans="1:18" s="30" customFormat="1" ht="15" customHeight="1">
      <c r="A620" s="37" t="s">
        <v>52</v>
      </c>
      <c r="B620" s="26" t="s">
        <v>1170</v>
      </c>
      <c r="C620" s="39" t="s">
        <v>1240</v>
      </c>
      <c r="D620" s="40" t="s">
        <v>1241</v>
      </c>
      <c r="E620" s="38" t="s">
        <v>6</v>
      </c>
      <c r="F620" s="38" t="s">
        <v>11</v>
      </c>
      <c r="G620" s="32">
        <v>2889346.1799999997</v>
      </c>
      <c r="H620" s="32">
        <v>2990446.2</v>
      </c>
      <c r="I620" s="32">
        <v>1102192.28</v>
      </c>
      <c r="J620" s="35">
        <f>+G620-H620+I620</f>
        <v>1001092.2599999995</v>
      </c>
      <c r="K620" s="28">
        <v>0</v>
      </c>
      <c r="L620" s="32">
        <v>0</v>
      </c>
      <c r="M620" s="35">
        <f>+J620+L620</f>
        <v>1001092.2599999995</v>
      </c>
      <c r="N620" s="28" t="s">
        <v>56</v>
      </c>
      <c r="O620" s="29" t="s">
        <v>57</v>
      </c>
      <c r="P620" s="36">
        <v>42884</v>
      </c>
      <c r="Q620" s="31">
        <v>26627.55</v>
      </c>
      <c r="R620" s="33">
        <f>M620/Q620</f>
        <v>37.596108541717115</v>
      </c>
    </row>
    <row r="621" spans="1:18" s="30" customFormat="1" ht="15" customHeight="1">
      <c r="A621" s="37" t="s">
        <v>52</v>
      </c>
      <c r="B621" s="26" t="s">
        <v>1170</v>
      </c>
      <c r="C621" s="39" t="s">
        <v>1242</v>
      </c>
      <c r="D621" s="40" t="s">
        <v>1243</v>
      </c>
      <c r="E621" s="38" t="s">
        <v>6</v>
      </c>
      <c r="F621" s="38" t="s">
        <v>11</v>
      </c>
      <c r="G621" s="32">
        <v>1786946.8399999999</v>
      </c>
      <c r="H621" s="32">
        <v>995667.05</v>
      </c>
      <c r="I621" s="32">
        <v>232180.9</v>
      </c>
      <c r="J621" s="35">
        <f>+G621-H621+I621</f>
        <v>1023460.6899999998</v>
      </c>
      <c r="K621" s="28">
        <v>0</v>
      </c>
      <c r="L621" s="32">
        <v>0</v>
      </c>
      <c r="M621" s="35">
        <f>+J621+L621</f>
        <v>1023460.6899999998</v>
      </c>
      <c r="N621" s="28" t="s">
        <v>56</v>
      </c>
      <c r="O621" s="29" t="s">
        <v>57</v>
      </c>
      <c r="P621" s="36">
        <v>42884</v>
      </c>
      <c r="Q621" s="31">
        <v>26627.55</v>
      </c>
      <c r="R621" s="33">
        <f>M621/Q621</f>
        <v>38.436156912671272</v>
      </c>
    </row>
    <row r="622" spans="1:18" s="30" customFormat="1" ht="15" customHeight="1">
      <c r="A622" s="37" t="s">
        <v>293</v>
      </c>
      <c r="B622" s="26" t="s">
        <v>294</v>
      </c>
      <c r="C622" s="39">
        <v>724</v>
      </c>
      <c r="D622" s="40" t="s">
        <v>1244</v>
      </c>
      <c r="E622" s="38" t="s">
        <v>4</v>
      </c>
      <c r="F622" s="38" t="s">
        <v>296</v>
      </c>
      <c r="G622" s="32">
        <v>0</v>
      </c>
      <c r="H622" s="32">
        <v>5510601</v>
      </c>
      <c r="I622" s="32">
        <v>0</v>
      </c>
      <c r="J622" s="35">
        <f>+G622-H622+I622</f>
        <v>-5510601</v>
      </c>
      <c r="K622" s="28">
        <v>0</v>
      </c>
      <c r="L622" s="32">
        <v>0</v>
      </c>
      <c r="M622" s="35">
        <f>+J622+L622</f>
        <v>-5510601</v>
      </c>
      <c r="N622" s="28" t="s">
        <v>1245</v>
      </c>
      <c r="O622" s="29" t="s">
        <v>1246</v>
      </c>
      <c r="P622" s="36">
        <v>44834</v>
      </c>
      <c r="Q622" s="31">
        <v>34258.230000000003</v>
      </c>
      <c r="R622" s="33">
        <f>+M622/Q622</f>
        <v>-160.85480773525074</v>
      </c>
    </row>
    <row r="623" spans="1:18" s="30" customFormat="1" ht="15" customHeight="1">
      <c r="A623" s="37" t="s">
        <v>293</v>
      </c>
      <c r="B623" s="26" t="s">
        <v>294</v>
      </c>
      <c r="C623" s="39">
        <v>722</v>
      </c>
      <c r="D623" s="40" t="s">
        <v>1247</v>
      </c>
      <c r="E623" s="38" t="s">
        <v>3</v>
      </c>
      <c r="F623" s="38" t="s">
        <v>15</v>
      </c>
      <c r="G623" s="32">
        <v>2406441</v>
      </c>
      <c r="H623" s="32">
        <v>0</v>
      </c>
      <c r="I623" s="32">
        <v>823662</v>
      </c>
      <c r="J623" s="35">
        <f>+G623-H623+I623</f>
        <v>3230103</v>
      </c>
      <c r="K623" s="28">
        <v>0</v>
      </c>
      <c r="L623" s="32">
        <v>0</v>
      </c>
      <c r="M623" s="35">
        <f>+J623+L623</f>
        <v>3230103</v>
      </c>
      <c r="N623" s="28" t="s">
        <v>1248</v>
      </c>
      <c r="O623" s="29" t="s">
        <v>1249</v>
      </c>
      <c r="P623" s="36">
        <v>44993</v>
      </c>
      <c r="Q623" s="31">
        <v>35590.620000000003</v>
      </c>
      <c r="R623" s="33">
        <f>+M623/Q623</f>
        <v>90.757143314727301</v>
      </c>
    </row>
    <row r="624" spans="1:18" s="30" customFormat="1" ht="15" customHeight="1">
      <c r="A624" s="37" t="s">
        <v>293</v>
      </c>
      <c r="B624" s="26" t="s">
        <v>294</v>
      </c>
      <c r="C624" s="39">
        <v>716</v>
      </c>
      <c r="D624" s="40" t="s">
        <v>1250</v>
      </c>
      <c r="E624" s="38" t="s">
        <v>3</v>
      </c>
      <c r="F624" s="38" t="s">
        <v>1251</v>
      </c>
      <c r="G624" s="32">
        <v>0</v>
      </c>
      <c r="H624" s="32">
        <v>2689035</v>
      </c>
      <c r="I624" s="32">
        <v>234889727</v>
      </c>
      <c r="J624" s="35">
        <f>+G624-H624+I624</f>
        <v>232200692</v>
      </c>
      <c r="K624" s="28">
        <v>0</v>
      </c>
      <c r="L624" s="32">
        <v>0</v>
      </c>
      <c r="M624" s="35">
        <f>+J624+L624</f>
        <v>232200692</v>
      </c>
      <c r="N624" s="28" t="s">
        <v>1252</v>
      </c>
      <c r="O624" s="29" t="s">
        <v>1253</v>
      </c>
      <c r="P624" s="36">
        <v>44915</v>
      </c>
      <c r="Q624" s="31">
        <v>34987.230000000003</v>
      </c>
      <c r="R624" s="33">
        <f>+M624/Q624</f>
        <v>6636.7269429446105</v>
      </c>
    </row>
    <row r="625" spans="1:18" s="30" customFormat="1" ht="15" customHeight="1">
      <c r="A625" s="37" t="s">
        <v>293</v>
      </c>
      <c r="B625" s="26" t="s">
        <v>294</v>
      </c>
      <c r="C625" s="39">
        <v>713</v>
      </c>
      <c r="D625" s="40" t="s">
        <v>1254</v>
      </c>
      <c r="E625" s="38" t="s">
        <v>4</v>
      </c>
      <c r="F625" s="38" t="s">
        <v>17</v>
      </c>
      <c r="G625" s="32">
        <v>3572239</v>
      </c>
      <c r="H625" s="32">
        <v>0</v>
      </c>
      <c r="I625" s="32">
        <v>0</v>
      </c>
      <c r="J625" s="35">
        <f>+G625-H625+I625</f>
        <v>3572239</v>
      </c>
      <c r="K625" s="28">
        <v>0</v>
      </c>
      <c r="L625" s="32">
        <v>0</v>
      </c>
      <c r="M625" s="35">
        <f>+J625+L625</f>
        <v>3572239</v>
      </c>
      <c r="N625" s="28" t="s">
        <v>1255</v>
      </c>
      <c r="O625" s="29" t="s">
        <v>1256</v>
      </c>
      <c r="P625" s="36">
        <v>44845</v>
      </c>
      <c r="Q625" s="31">
        <v>34400.92</v>
      </c>
      <c r="R625" s="33">
        <f>+M625/Q625</f>
        <v>103.84137982356286</v>
      </c>
    </row>
    <row r="626" spans="1:18" s="30" customFormat="1" ht="15" customHeight="1">
      <c r="A626" s="37" t="s">
        <v>293</v>
      </c>
      <c r="B626" s="26" t="s">
        <v>294</v>
      </c>
      <c r="C626" s="39">
        <v>712</v>
      </c>
      <c r="D626" s="40" t="s">
        <v>1257</v>
      </c>
      <c r="E626" s="38" t="s">
        <v>4</v>
      </c>
      <c r="F626" s="38" t="s">
        <v>17</v>
      </c>
      <c r="G626" s="32">
        <v>2999033</v>
      </c>
      <c r="H626" s="32">
        <v>0</v>
      </c>
      <c r="I626" s="32">
        <v>0</v>
      </c>
      <c r="J626" s="35">
        <f>+G626-H626+I626</f>
        <v>2999033</v>
      </c>
      <c r="K626" s="28">
        <v>0</v>
      </c>
      <c r="L626" s="32">
        <v>0</v>
      </c>
      <c r="M626" s="35">
        <f>+J626+L626</f>
        <v>2999033</v>
      </c>
      <c r="N626" s="28" t="s">
        <v>1255</v>
      </c>
      <c r="O626" s="29" t="s">
        <v>1256</v>
      </c>
      <c r="P626" s="36">
        <v>44845</v>
      </c>
      <c r="Q626" s="31">
        <v>34400.92</v>
      </c>
      <c r="R626" s="33">
        <f>+M626/Q626</f>
        <v>87.178860332805058</v>
      </c>
    </row>
    <row r="627" spans="1:18" s="30" customFormat="1" ht="15" customHeight="1">
      <c r="A627" s="37" t="s">
        <v>293</v>
      </c>
      <c r="B627" s="26" t="s">
        <v>294</v>
      </c>
      <c r="C627" s="39">
        <v>711</v>
      </c>
      <c r="D627" s="40" t="s">
        <v>1258</v>
      </c>
      <c r="E627" s="38" t="s">
        <v>4</v>
      </c>
      <c r="F627" s="38" t="s">
        <v>17</v>
      </c>
      <c r="G627" s="32">
        <v>3673810</v>
      </c>
      <c r="H627" s="32">
        <v>0</v>
      </c>
      <c r="I627" s="32">
        <v>0</v>
      </c>
      <c r="J627" s="35">
        <f>+G627-H627+I627</f>
        <v>3673810</v>
      </c>
      <c r="K627" s="28">
        <v>0</v>
      </c>
      <c r="L627" s="32">
        <v>0</v>
      </c>
      <c r="M627" s="35">
        <f>+J627+L627</f>
        <v>3673810</v>
      </c>
      <c r="N627" s="28" t="s">
        <v>1255</v>
      </c>
      <c r="O627" s="29" t="s">
        <v>1256</v>
      </c>
      <c r="P627" s="36">
        <v>44845</v>
      </c>
      <c r="Q627" s="31">
        <v>34400.92</v>
      </c>
      <c r="R627" s="33">
        <f>+M627/Q627</f>
        <v>106.79394620841536</v>
      </c>
    </row>
    <row r="628" spans="1:18" s="30" customFormat="1" ht="15" customHeight="1">
      <c r="A628" s="37" t="s">
        <v>293</v>
      </c>
      <c r="B628" s="26" t="s">
        <v>294</v>
      </c>
      <c r="C628" s="39">
        <v>583</v>
      </c>
      <c r="D628" s="40" t="s">
        <v>1259</v>
      </c>
      <c r="E628" s="38" t="s">
        <v>198</v>
      </c>
      <c r="F628" s="38" t="s">
        <v>296</v>
      </c>
      <c r="G628" s="32">
        <v>192480</v>
      </c>
      <c r="H628" s="32">
        <v>0</v>
      </c>
      <c r="I628" s="32">
        <v>3232537</v>
      </c>
      <c r="J628" s="35">
        <f>+G628-H628+I628</f>
        <v>3425017</v>
      </c>
      <c r="K628" s="27" t="s">
        <v>401</v>
      </c>
      <c r="L628" s="32">
        <v>0</v>
      </c>
      <c r="M628" s="35">
        <f>+J628+L628</f>
        <v>3425017</v>
      </c>
      <c r="N628" s="55" t="s">
        <v>402</v>
      </c>
      <c r="O628" s="56" t="s">
        <v>403</v>
      </c>
      <c r="P628" s="56">
        <v>44524</v>
      </c>
      <c r="Q628" s="49">
        <v>30683.439999999999</v>
      </c>
      <c r="R628" s="57">
        <f>+M628/Q628</f>
        <v>111.6242833267717</v>
      </c>
    </row>
    <row r="629" spans="1:18" s="30" customFormat="1" ht="15" customHeight="1">
      <c r="A629" s="37" t="s">
        <v>293</v>
      </c>
      <c r="B629" s="26" t="s">
        <v>294</v>
      </c>
      <c r="C629" s="39">
        <v>710</v>
      </c>
      <c r="D629" s="40" t="s">
        <v>1260</v>
      </c>
      <c r="E629" s="38" t="s">
        <v>4</v>
      </c>
      <c r="F629" s="38" t="s">
        <v>13</v>
      </c>
      <c r="G629" s="32">
        <v>5667498</v>
      </c>
      <c r="H629" s="32">
        <v>0</v>
      </c>
      <c r="I629" s="32">
        <v>0</v>
      </c>
      <c r="J629" s="35">
        <f>+G629-H629+I629</f>
        <v>5667498</v>
      </c>
      <c r="K629" s="28">
        <v>0</v>
      </c>
      <c r="L629" s="32">
        <v>0</v>
      </c>
      <c r="M629" s="35">
        <f>+J629+L629</f>
        <v>5667498</v>
      </c>
      <c r="N629" s="28" t="s">
        <v>1245</v>
      </c>
      <c r="O629" s="29" t="s">
        <v>1246</v>
      </c>
      <c r="P629" s="36">
        <v>44834</v>
      </c>
      <c r="Q629" s="31">
        <v>34258.230000000003</v>
      </c>
      <c r="R629" s="33">
        <f>+M629/Q629</f>
        <v>165.43464154452812</v>
      </c>
    </row>
    <row r="630" spans="1:18" s="30" customFormat="1" ht="15" customHeight="1">
      <c r="A630" s="37" t="s">
        <v>293</v>
      </c>
      <c r="B630" s="26" t="s">
        <v>294</v>
      </c>
      <c r="C630" s="39">
        <v>708</v>
      </c>
      <c r="D630" s="40" t="s">
        <v>1261</v>
      </c>
      <c r="E630" s="38" t="s">
        <v>4</v>
      </c>
      <c r="F630" s="38" t="s">
        <v>17</v>
      </c>
      <c r="G630" s="32">
        <v>1981086</v>
      </c>
      <c r="H630" s="32">
        <v>0</v>
      </c>
      <c r="I630" s="32">
        <v>0</v>
      </c>
      <c r="J630" s="35">
        <f>+G630-H630+I630</f>
        <v>1981086</v>
      </c>
      <c r="K630" s="28">
        <v>0</v>
      </c>
      <c r="L630" s="32">
        <v>0</v>
      </c>
      <c r="M630" s="35">
        <f>+J630+L630</f>
        <v>1981086</v>
      </c>
      <c r="N630" s="28" t="s">
        <v>1255</v>
      </c>
      <c r="O630" s="29" t="s">
        <v>1256</v>
      </c>
      <c r="P630" s="36">
        <v>44845</v>
      </c>
      <c r="Q630" s="31">
        <v>34400.92</v>
      </c>
      <c r="R630" s="33">
        <f>+M630/Q630</f>
        <v>57.588169153615659</v>
      </c>
    </row>
    <row r="631" spans="1:18" s="30" customFormat="1" ht="15" customHeight="1">
      <c r="A631" s="37" t="s">
        <v>293</v>
      </c>
      <c r="B631" s="26" t="s">
        <v>294</v>
      </c>
      <c r="C631" s="39">
        <v>707</v>
      </c>
      <c r="D631" s="40" t="s">
        <v>1262</v>
      </c>
      <c r="E631" s="38" t="s">
        <v>4</v>
      </c>
      <c r="F631" s="38" t="s">
        <v>17</v>
      </c>
      <c r="G631" s="32">
        <v>7152785</v>
      </c>
      <c r="H631" s="32">
        <v>0</v>
      </c>
      <c r="I631" s="32">
        <v>0</v>
      </c>
      <c r="J631" s="35">
        <f>+G631-H631+I631</f>
        <v>7152785</v>
      </c>
      <c r="K631" s="28">
        <v>0</v>
      </c>
      <c r="L631" s="32">
        <v>0</v>
      </c>
      <c r="M631" s="35">
        <f>+J631+L631</f>
        <v>7152785</v>
      </c>
      <c r="N631" s="28" t="s">
        <v>1255</v>
      </c>
      <c r="O631" s="29" t="s">
        <v>1256</v>
      </c>
      <c r="P631" s="36">
        <v>44845</v>
      </c>
      <c r="Q631" s="31">
        <v>34400.92</v>
      </c>
      <c r="R631" s="33">
        <f>+M631/Q631</f>
        <v>207.9242357471835</v>
      </c>
    </row>
    <row r="632" spans="1:18" s="30" customFormat="1" ht="15" customHeight="1">
      <c r="A632" s="37" t="s">
        <v>293</v>
      </c>
      <c r="B632" s="26" t="s">
        <v>294</v>
      </c>
      <c r="C632" s="39">
        <v>706</v>
      </c>
      <c r="D632" s="40" t="s">
        <v>1263</v>
      </c>
      <c r="E632" s="38" t="s">
        <v>4</v>
      </c>
      <c r="F632" s="38" t="s">
        <v>17</v>
      </c>
      <c r="G632" s="32">
        <v>2947146</v>
      </c>
      <c r="H632" s="32">
        <v>0</v>
      </c>
      <c r="I632" s="32">
        <v>0</v>
      </c>
      <c r="J632" s="35">
        <f>+G632-H632+I632</f>
        <v>2947146</v>
      </c>
      <c r="K632" s="28">
        <v>0</v>
      </c>
      <c r="L632" s="32">
        <v>0</v>
      </c>
      <c r="M632" s="35">
        <f>+J632+L632</f>
        <v>2947146</v>
      </c>
      <c r="N632" s="28" t="s">
        <v>1255</v>
      </c>
      <c r="O632" s="29" t="s">
        <v>1256</v>
      </c>
      <c r="P632" s="36">
        <v>44845</v>
      </c>
      <c r="Q632" s="31">
        <v>34400.92</v>
      </c>
      <c r="R632" s="33">
        <f>+M632/Q632</f>
        <v>85.670557647876862</v>
      </c>
    </row>
    <row r="633" spans="1:18" s="30" customFormat="1" ht="15" customHeight="1">
      <c r="A633" s="37" t="s">
        <v>293</v>
      </c>
      <c r="B633" s="26" t="s">
        <v>294</v>
      </c>
      <c r="C633" s="39">
        <v>705</v>
      </c>
      <c r="D633" s="40" t="s">
        <v>1264</v>
      </c>
      <c r="E633" s="38" t="s">
        <v>4</v>
      </c>
      <c r="F633" s="38" t="s">
        <v>17</v>
      </c>
      <c r="G633" s="32">
        <v>4346989</v>
      </c>
      <c r="H633" s="32">
        <v>0</v>
      </c>
      <c r="I633" s="32">
        <v>0</v>
      </c>
      <c r="J633" s="35">
        <f>+G633-H633+I633</f>
        <v>4346989</v>
      </c>
      <c r="K633" s="28">
        <v>0</v>
      </c>
      <c r="L633" s="32">
        <v>0</v>
      </c>
      <c r="M633" s="35">
        <f>+J633+L633</f>
        <v>4346989</v>
      </c>
      <c r="N633" s="28" t="s">
        <v>1255</v>
      </c>
      <c r="O633" s="29" t="s">
        <v>1256</v>
      </c>
      <c r="P633" s="36">
        <v>44845</v>
      </c>
      <c r="Q633" s="31">
        <v>34400.92</v>
      </c>
      <c r="R633" s="33">
        <f>+M633/Q633</f>
        <v>126.36257983798109</v>
      </c>
    </row>
    <row r="634" spans="1:18" s="30" customFormat="1" ht="15" customHeight="1">
      <c r="A634" s="37" t="s">
        <v>293</v>
      </c>
      <c r="B634" s="26" t="s">
        <v>294</v>
      </c>
      <c r="C634" s="39">
        <v>696</v>
      </c>
      <c r="D634" s="40" t="s">
        <v>1265</v>
      </c>
      <c r="E634" s="38" t="s">
        <v>3</v>
      </c>
      <c r="F634" s="38" t="s">
        <v>12</v>
      </c>
      <c r="G634" s="32">
        <v>0</v>
      </c>
      <c r="H634" s="32">
        <v>0</v>
      </c>
      <c r="I634" s="32">
        <v>1517614</v>
      </c>
      <c r="J634" s="35">
        <f>+G634-H634+I634</f>
        <v>1517614</v>
      </c>
      <c r="K634" s="28">
        <v>0</v>
      </c>
      <c r="L634" s="32">
        <v>0</v>
      </c>
      <c r="M634" s="35">
        <f>+J634+L634</f>
        <v>1517614</v>
      </c>
      <c r="N634" s="28" t="s">
        <v>1266</v>
      </c>
      <c r="O634" s="29" t="s">
        <v>1267</v>
      </c>
      <c r="P634" s="36">
        <v>44908</v>
      </c>
      <c r="Q634" s="31">
        <v>34908.71</v>
      </c>
      <c r="R634" s="33">
        <f>+M634/Q634</f>
        <v>43.473792070804109</v>
      </c>
    </row>
    <row r="635" spans="1:18" s="30" customFormat="1" ht="15" customHeight="1">
      <c r="A635" s="37" t="s">
        <v>293</v>
      </c>
      <c r="B635" s="26" t="s">
        <v>294</v>
      </c>
      <c r="C635" s="39">
        <v>695</v>
      </c>
      <c r="D635" s="40" t="s">
        <v>1268</v>
      </c>
      <c r="E635" s="38" t="s">
        <v>4</v>
      </c>
      <c r="F635" s="38" t="s">
        <v>13</v>
      </c>
      <c r="G635" s="32">
        <v>105370225</v>
      </c>
      <c r="H635" s="32">
        <v>30909954</v>
      </c>
      <c r="I635" s="32">
        <v>0</v>
      </c>
      <c r="J635" s="35">
        <f>+G635-H635+I635</f>
        <v>74460271</v>
      </c>
      <c r="K635" s="28">
        <v>0</v>
      </c>
      <c r="L635" s="32">
        <v>0</v>
      </c>
      <c r="M635" s="35">
        <f>+J635+L635</f>
        <v>74460271</v>
      </c>
      <c r="N635" s="28" t="s">
        <v>1245</v>
      </c>
      <c r="O635" s="29" t="s">
        <v>1246</v>
      </c>
      <c r="P635" s="36">
        <v>44834</v>
      </c>
      <c r="Q635" s="31">
        <v>34258.230000000003</v>
      </c>
      <c r="R635" s="33">
        <f>+M635/Q635</f>
        <v>2173.5002362935852</v>
      </c>
    </row>
    <row r="636" spans="1:18" s="30" customFormat="1" ht="15" customHeight="1">
      <c r="A636" s="37" t="s">
        <v>293</v>
      </c>
      <c r="B636" s="26" t="s">
        <v>294</v>
      </c>
      <c r="C636" s="39">
        <v>691</v>
      </c>
      <c r="D636" s="40" t="s">
        <v>1269</v>
      </c>
      <c r="E636" s="38" t="s">
        <v>3</v>
      </c>
      <c r="F636" s="38" t="s">
        <v>12</v>
      </c>
      <c r="G636" s="32">
        <v>1663142</v>
      </c>
      <c r="H636" s="32">
        <v>0</v>
      </c>
      <c r="I636" s="32">
        <v>526440</v>
      </c>
      <c r="J636" s="35">
        <f>+G636-H636+I636</f>
        <v>2189582</v>
      </c>
      <c r="K636" s="28">
        <v>0</v>
      </c>
      <c r="L636" s="32">
        <v>0</v>
      </c>
      <c r="M636" s="35">
        <f>+J636+L636</f>
        <v>2189582</v>
      </c>
      <c r="N636" s="28" t="s">
        <v>1255</v>
      </c>
      <c r="O636" s="29" t="s">
        <v>1256</v>
      </c>
      <c r="P636" s="36">
        <v>44845</v>
      </c>
      <c r="Q636" s="31">
        <v>34400.92</v>
      </c>
      <c r="R636" s="33">
        <f>+M636/Q636</f>
        <v>63.648937295863021</v>
      </c>
    </row>
    <row r="637" spans="1:18" s="30" customFormat="1" ht="15" customHeight="1">
      <c r="A637" s="37" t="s">
        <v>293</v>
      </c>
      <c r="B637" s="26" t="s">
        <v>294</v>
      </c>
      <c r="C637" s="39">
        <v>689</v>
      </c>
      <c r="D637" s="40" t="s">
        <v>1270</v>
      </c>
      <c r="E637" s="38" t="s">
        <v>3</v>
      </c>
      <c r="F637" s="38" t="s">
        <v>12</v>
      </c>
      <c r="G637" s="32">
        <v>499216</v>
      </c>
      <c r="H637" s="32">
        <v>0</v>
      </c>
      <c r="I637" s="32">
        <v>1650756</v>
      </c>
      <c r="J637" s="35">
        <f>+G637-H637+I637</f>
        <v>2149972</v>
      </c>
      <c r="K637" s="28">
        <v>0</v>
      </c>
      <c r="L637" s="32">
        <v>0</v>
      </c>
      <c r="M637" s="35">
        <f>+J637+L637</f>
        <v>2149972</v>
      </c>
      <c r="N637" s="28" t="s">
        <v>1266</v>
      </c>
      <c r="O637" s="29" t="s">
        <v>1267</v>
      </c>
      <c r="P637" s="36">
        <v>44908</v>
      </c>
      <c r="Q637" s="31">
        <v>34908.71</v>
      </c>
      <c r="R637" s="33">
        <f>+M637/Q637</f>
        <v>61.588411602720356</v>
      </c>
    </row>
    <row r="638" spans="1:18" s="30" customFormat="1" ht="15" customHeight="1">
      <c r="A638" s="37" t="s">
        <v>293</v>
      </c>
      <c r="B638" s="26" t="s">
        <v>294</v>
      </c>
      <c r="C638" s="39">
        <v>688</v>
      </c>
      <c r="D638" s="40" t="s">
        <v>1271</v>
      </c>
      <c r="E638" s="38" t="s">
        <v>3</v>
      </c>
      <c r="F638" s="38" t="s">
        <v>15</v>
      </c>
      <c r="G638" s="32">
        <v>987126</v>
      </c>
      <c r="H638" s="32">
        <v>0</v>
      </c>
      <c r="I638" s="32">
        <v>0</v>
      </c>
      <c r="J638" s="35">
        <f>+G638-H638+I638</f>
        <v>987126</v>
      </c>
      <c r="K638" s="28">
        <v>0</v>
      </c>
      <c r="L638" s="32">
        <v>0</v>
      </c>
      <c r="M638" s="35">
        <f>+J638+L638</f>
        <v>987126</v>
      </c>
      <c r="N638" s="28" t="s">
        <v>1266</v>
      </c>
      <c r="O638" s="29" t="s">
        <v>1267</v>
      </c>
      <c r="P638" s="36">
        <v>44908</v>
      </c>
      <c r="Q638" s="31">
        <v>34908.71</v>
      </c>
      <c r="R638" s="33">
        <f>+M638/Q638</f>
        <v>28.277355422185465</v>
      </c>
    </row>
    <row r="639" spans="1:18" s="30" customFormat="1" ht="15" customHeight="1">
      <c r="A639" s="37" t="s">
        <v>293</v>
      </c>
      <c r="B639" s="26" t="s">
        <v>294</v>
      </c>
      <c r="C639" s="39">
        <v>686</v>
      </c>
      <c r="D639" s="40" t="s">
        <v>1272</v>
      </c>
      <c r="E639" s="38" t="s">
        <v>3</v>
      </c>
      <c r="F639" s="38" t="s">
        <v>12</v>
      </c>
      <c r="G639" s="32">
        <v>0</v>
      </c>
      <c r="H639" s="32">
        <v>0</v>
      </c>
      <c r="I639" s="32">
        <v>1400681</v>
      </c>
      <c r="J639" s="35">
        <f>+G639-H639+I639</f>
        <v>1400681</v>
      </c>
      <c r="K639" s="28">
        <v>0</v>
      </c>
      <c r="L639" s="32">
        <v>0</v>
      </c>
      <c r="M639" s="35">
        <f>+J639+L639</f>
        <v>1400681</v>
      </c>
      <c r="N639" s="28" t="s">
        <v>1266</v>
      </c>
      <c r="O639" s="29" t="s">
        <v>1267</v>
      </c>
      <c r="P639" s="36">
        <v>44908</v>
      </c>
      <c r="Q639" s="31">
        <v>34908.71</v>
      </c>
      <c r="R639" s="33">
        <f>+M639/Q639</f>
        <v>40.124112291746101</v>
      </c>
    </row>
    <row r="640" spans="1:18" s="30" customFormat="1" ht="15" customHeight="1">
      <c r="A640" s="37" t="s">
        <v>293</v>
      </c>
      <c r="B640" s="26" t="s">
        <v>294</v>
      </c>
      <c r="C640" s="39">
        <v>685</v>
      </c>
      <c r="D640" s="40" t="s">
        <v>1273</v>
      </c>
      <c r="E640" s="38" t="s">
        <v>3</v>
      </c>
      <c r="F640" s="38" t="s">
        <v>20</v>
      </c>
      <c r="G640" s="32">
        <v>5168629</v>
      </c>
      <c r="H640" s="32">
        <v>60700</v>
      </c>
      <c r="I640" s="32">
        <v>0</v>
      </c>
      <c r="J640" s="35">
        <f>+G640-H640+I640</f>
        <v>5107929</v>
      </c>
      <c r="K640" s="28">
        <v>0</v>
      </c>
      <c r="L640" s="32">
        <v>0</v>
      </c>
      <c r="M640" s="35">
        <f>+J640+L640</f>
        <v>5107929</v>
      </c>
      <c r="N640" s="28" t="s">
        <v>1248</v>
      </c>
      <c r="O640" s="29" t="s">
        <v>1249</v>
      </c>
      <c r="P640" s="36">
        <v>44993</v>
      </c>
      <c r="Q640" s="31">
        <v>35590.620000000003</v>
      </c>
      <c r="R640" s="33">
        <f>+M640/Q640</f>
        <v>143.51896651421075</v>
      </c>
    </row>
    <row r="641" spans="1:18" s="30" customFormat="1" ht="15" customHeight="1">
      <c r="A641" s="37" t="s">
        <v>293</v>
      </c>
      <c r="B641" s="26" t="s">
        <v>294</v>
      </c>
      <c r="C641" s="39">
        <v>683</v>
      </c>
      <c r="D641" s="40" t="s">
        <v>1274</v>
      </c>
      <c r="E641" s="38" t="s">
        <v>3</v>
      </c>
      <c r="F641" s="38" t="s">
        <v>12</v>
      </c>
      <c r="G641" s="32">
        <v>8159543</v>
      </c>
      <c r="H641" s="32">
        <v>0</v>
      </c>
      <c r="I641" s="32">
        <v>0</v>
      </c>
      <c r="J641" s="35">
        <f>+G641-H641+I641</f>
        <v>8159543</v>
      </c>
      <c r="K641" s="28">
        <v>0</v>
      </c>
      <c r="L641" s="32">
        <v>0</v>
      </c>
      <c r="M641" s="35">
        <f>+J641+L641</f>
        <v>8159543</v>
      </c>
      <c r="N641" s="28" t="s">
        <v>1266</v>
      </c>
      <c r="O641" s="29" t="s">
        <v>1267</v>
      </c>
      <c r="P641" s="36">
        <v>44908</v>
      </c>
      <c r="Q641" s="31">
        <v>34908.71</v>
      </c>
      <c r="R641" s="33">
        <f>+M641/Q641</f>
        <v>233.73945929253759</v>
      </c>
    </row>
    <row r="642" spans="1:18" s="30" customFormat="1" ht="15" customHeight="1">
      <c r="A642" s="37" t="s">
        <v>293</v>
      </c>
      <c r="B642" s="26" t="s">
        <v>294</v>
      </c>
      <c r="C642" s="39">
        <v>682</v>
      </c>
      <c r="D642" s="40" t="s">
        <v>1275</v>
      </c>
      <c r="E642" s="38" t="s">
        <v>4</v>
      </c>
      <c r="F642" s="38" t="s">
        <v>12</v>
      </c>
      <c r="G642" s="32">
        <v>924327</v>
      </c>
      <c r="H642" s="32">
        <v>200764</v>
      </c>
      <c r="I642" s="32">
        <v>644249</v>
      </c>
      <c r="J642" s="35">
        <f>+G642-H642+I642</f>
        <v>1367812</v>
      </c>
      <c r="K642" s="28">
        <v>0</v>
      </c>
      <c r="L642" s="32">
        <v>0</v>
      </c>
      <c r="M642" s="35">
        <f>+J642+L642</f>
        <v>1367812</v>
      </c>
      <c r="N642" s="28" t="s">
        <v>1266</v>
      </c>
      <c r="O642" s="29" t="s">
        <v>1267</v>
      </c>
      <c r="P642" s="36">
        <v>44908</v>
      </c>
      <c r="Q642" s="31">
        <v>34908.71</v>
      </c>
      <c r="R642" s="33">
        <f>+M642/Q642</f>
        <v>39.182542122009096</v>
      </c>
    </row>
    <row r="643" spans="1:18" s="30" customFormat="1" ht="15" customHeight="1">
      <c r="A643" s="37" t="s">
        <v>293</v>
      </c>
      <c r="B643" s="26" t="s">
        <v>294</v>
      </c>
      <c r="C643" s="39">
        <v>681</v>
      </c>
      <c r="D643" s="40" t="s">
        <v>1276</v>
      </c>
      <c r="E643" s="38" t="s">
        <v>3</v>
      </c>
      <c r="F643" s="38" t="s">
        <v>12</v>
      </c>
      <c r="G643" s="32">
        <v>315861</v>
      </c>
      <c r="H643" s="32">
        <v>185825</v>
      </c>
      <c r="I643" s="32">
        <v>358072</v>
      </c>
      <c r="J643" s="35">
        <f>+G643-H643+I643</f>
        <v>488108</v>
      </c>
      <c r="K643" s="28">
        <v>0</v>
      </c>
      <c r="L643" s="32">
        <v>0</v>
      </c>
      <c r="M643" s="35">
        <f>+J643+L643</f>
        <v>488108</v>
      </c>
      <c r="N643" s="28" t="s">
        <v>1245</v>
      </c>
      <c r="O643" s="29" t="s">
        <v>1246</v>
      </c>
      <c r="P643" s="36">
        <v>44834</v>
      </c>
      <c r="Q643" s="31">
        <v>34258.230000000003</v>
      </c>
      <c r="R643" s="33">
        <f>+M643/Q643</f>
        <v>14.24790481002667</v>
      </c>
    </row>
    <row r="644" spans="1:18" s="30" customFormat="1" ht="15" customHeight="1">
      <c r="A644" s="37" t="s">
        <v>293</v>
      </c>
      <c r="B644" s="26" t="s">
        <v>294</v>
      </c>
      <c r="C644" s="39">
        <v>491</v>
      </c>
      <c r="D644" s="40" t="s">
        <v>1277</v>
      </c>
      <c r="E644" s="38" t="s">
        <v>4</v>
      </c>
      <c r="F644" s="38" t="s">
        <v>10</v>
      </c>
      <c r="G644" s="32">
        <v>214154</v>
      </c>
      <c r="H644" s="32">
        <v>0</v>
      </c>
      <c r="I644" s="32">
        <v>1424120</v>
      </c>
      <c r="J644" s="35">
        <f>+G644-H644+I644</f>
        <v>1638274</v>
      </c>
      <c r="K644" s="27" t="s">
        <v>297</v>
      </c>
      <c r="L644" s="32">
        <v>0</v>
      </c>
      <c r="M644" s="35">
        <f>+J644+L644</f>
        <v>1638274</v>
      </c>
      <c r="N644" s="28" t="s">
        <v>459</v>
      </c>
      <c r="O644" s="29" t="s">
        <v>460</v>
      </c>
      <c r="P644" s="36" t="s">
        <v>461</v>
      </c>
      <c r="Q644" s="31">
        <v>30683.439999999999</v>
      </c>
      <c r="R644" s="33">
        <f>+M644/Q644</f>
        <v>53.392774734514774</v>
      </c>
    </row>
    <row r="645" spans="1:18" s="30" customFormat="1" ht="15" customHeight="1">
      <c r="A645" s="37" t="s">
        <v>293</v>
      </c>
      <c r="B645" s="26" t="s">
        <v>294</v>
      </c>
      <c r="C645" s="39">
        <v>680</v>
      </c>
      <c r="D645" s="40" t="s">
        <v>1278</v>
      </c>
      <c r="E645" s="38" t="s">
        <v>4</v>
      </c>
      <c r="F645" s="38" t="s">
        <v>12</v>
      </c>
      <c r="G645" s="32">
        <v>4223746</v>
      </c>
      <c r="H645" s="32">
        <v>0</v>
      </c>
      <c r="I645" s="32">
        <v>0</v>
      </c>
      <c r="J645" s="35">
        <f>+G645-H645+I645</f>
        <v>4223746</v>
      </c>
      <c r="K645" s="28">
        <v>0</v>
      </c>
      <c r="L645" s="32">
        <v>0</v>
      </c>
      <c r="M645" s="35">
        <f>+J645+L645</f>
        <v>4223746</v>
      </c>
      <c r="N645" s="28" t="s">
        <v>1266</v>
      </c>
      <c r="O645" s="29" t="s">
        <v>1267</v>
      </c>
      <c r="P645" s="36">
        <v>44908</v>
      </c>
      <c r="Q645" s="31">
        <v>34908.71</v>
      </c>
      <c r="R645" s="33">
        <f>+M645/Q645</f>
        <v>120.99404417980499</v>
      </c>
    </row>
    <row r="646" spans="1:18" s="30" customFormat="1" ht="15" customHeight="1">
      <c r="A646" s="37" t="s">
        <v>293</v>
      </c>
      <c r="B646" s="26" t="s">
        <v>294</v>
      </c>
      <c r="C646" s="39">
        <v>678</v>
      </c>
      <c r="D646" s="40" t="s">
        <v>1279</v>
      </c>
      <c r="E646" s="38" t="s">
        <v>3</v>
      </c>
      <c r="F646" s="38" t="s">
        <v>12</v>
      </c>
      <c r="G646" s="32">
        <v>0</v>
      </c>
      <c r="H646" s="32">
        <v>0</v>
      </c>
      <c r="I646" s="32">
        <v>18709257</v>
      </c>
      <c r="J646" s="35">
        <f>+G646-H646+I646</f>
        <v>18709257</v>
      </c>
      <c r="K646" s="28">
        <v>0</v>
      </c>
      <c r="L646" s="32">
        <v>0</v>
      </c>
      <c r="M646" s="35">
        <f>+J646+L646</f>
        <v>18709257</v>
      </c>
      <c r="N646" s="28" t="s">
        <v>1266</v>
      </c>
      <c r="O646" s="29" t="s">
        <v>1267</v>
      </c>
      <c r="P646" s="36">
        <v>44908</v>
      </c>
      <c r="Q646" s="31">
        <v>34908.71</v>
      </c>
      <c r="R646" s="33">
        <f>+M646/Q646</f>
        <v>535.9481057879251</v>
      </c>
    </row>
    <row r="647" spans="1:18" s="30" customFormat="1" ht="15" customHeight="1">
      <c r="A647" s="37" t="s">
        <v>293</v>
      </c>
      <c r="B647" s="26" t="s">
        <v>294</v>
      </c>
      <c r="C647" s="39">
        <v>677</v>
      </c>
      <c r="D647" s="40" t="s">
        <v>1280</v>
      </c>
      <c r="E647" s="38" t="s">
        <v>4</v>
      </c>
      <c r="F647" s="38" t="s">
        <v>18</v>
      </c>
      <c r="G647" s="32">
        <v>665318</v>
      </c>
      <c r="H647" s="32">
        <v>0</v>
      </c>
      <c r="I647" s="32">
        <v>0</v>
      </c>
      <c r="J647" s="35">
        <f>+G647-H647+I647</f>
        <v>665318</v>
      </c>
      <c r="K647" s="28">
        <v>0</v>
      </c>
      <c r="L647" s="32">
        <v>0</v>
      </c>
      <c r="M647" s="35">
        <f>+J647+L647</f>
        <v>665318</v>
      </c>
      <c r="N647" s="28" t="s">
        <v>1266</v>
      </c>
      <c r="O647" s="29" t="s">
        <v>1267</v>
      </c>
      <c r="P647" s="36">
        <v>44908</v>
      </c>
      <c r="Q647" s="31">
        <v>34908.71</v>
      </c>
      <c r="R647" s="33">
        <f>+M647/Q647</f>
        <v>19.058796500930569</v>
      </c>
    </row>
    <row r="648" spans="1:18" s="30" customFormat="1" ht="15" customHeight="1">
      <c r="A648" s="37" t="s">
        <v>293</v>
      </c>
      <c r="B648" s="26" t="s">
        <v>294</v>
      </c>
      <c r="C648" s="39">
        <v>676</v>
      </c>
      <c r="D648" s="40" t="s">
        <v>1281</v>
      </c>
      <c r="E648" s="38" t="s">
        <v>4</v>
      </c>
      <c r="F648" s="38" t="s">
        <v>20</v>
      </c>
      <c r="G648" s="32">
        <v>3090501</v>
      </c>
      <c r="H648" s="32">
        <v>0</v>
      </c>
      <c r="I648" s="32">
        <v>0</v>
      </c>
      <c r="J648" s="35">
        <f>+G648-H648+I648</f>
        <v>3090501</v>
      </c>
      <c r="K648" s="28">
        <v>0</v>
      </c>
      <c r="L648" s="32">
        <v>0</v>
      </c>
      <c r="M648" s="35">
        <f>+J648+L648</f>
        <v>3090501</v>
      </c>
      <c r="N648" s="28" t="s">
        <v>1266</v>
      </c>
      <c r="O648" s="29" t="s">
        <v>1267</v>
      </c>
      <c r="P648" s="36">
        <v>44908</v>
      </c>
      <c r="Q648" s="31">
        <v>34908.71</v>
      </c>
      <c r="R648" s="33">
        <f>+M648/Q648</f>
        <v>88.530942564191008</v>
      </c>
    </row>
    <row r="649" spans="1:18" s="30" customFormat="1" ht="15" customHeight="1">
      <c r="A649" s="37" t="s">
        <v>293</v>
      </c>
      <c r="B649" s="26" t="s">
        <v>294</v>
      </c>
      <c r="C649" s="39">
        <v>675</v>
      </c>
      <c r="D649" s="40" t="s">
        <v>1282</v>
      </c>
      <c r="E649" s="38" t="s">
        <v>4</v>
      </c>
      <c r="F649" s="38" t="s">
        <v>15</v>
      </c>
      <c r="G649" s="32">
        <v>0</v>
      </c>
      <c r="H649" s="32">
        <v>0</v>
      </c>
      <c r="I649" s="32">
        <v>1806551</v>
      </c>
      <c r="J649" s="35">
        <f>+G649-H649+I649</f>
        <v>1806551</v>
      </c>
      <c r="K649" s="28">
        <v>0</v>
      </c>
      <c r="L649" s="32">
        <v>0</v>
      </c>
      <c r="M649" s="35">
        <f>+J649+L649</f>
        <v>1806551</v>
      </c>
      <c r="N649" s="28" t="s">
        <v>1266</v>
      </c>
      <c r="O649" s="29" t="s">
        <v>1267</v>
      </c>
      <c r="P649" s="36">
        <v>44908</v>
      </c>
      <c r="Q649" s="31">
        <v>34908.71</v>
      </c>
      <c r="R649" s="33">
        <f>+M649/Q649</f>
        <v>51.750723530030186</v>
      </c>
    </row>
    <row r="650" spans="1:18" s="30" customFormat="1" ht="15" customHeight="1">
      <c r="A650" s="37" t="s">
        <v>293</v>
      </c>
      <c r="B650" s="26" t="s">
        <v>294</v>
      </c>
      <c r="C650" s="39">
        <v>674</v>
      </c>
      <c r="D650" s="40" t="s">
        <v>1283</v>
      </c>
      <c r="E650" s="38" t="s">
        <v>4</v>
      </c>
      <c r="F650" s="38" t="s">
        <v>12</v>
      </c>
      <c r="G650" s="32">
        <v>0</v>
      </c>
      <c r="H650" s="32">
        <v>0</v>
      </c>
      <c r="I650" s="32">
        <v>-4562362</v>
      </c>
      <c r="J650" s="35">
        <f>+G650-H650+I650</f>
        <v>-4562362</v>
      </c>
      <c r="K650" s="28">
        <v>0</v>
      </c>
      <c r="L650" s="32">
        <v>0</v>
      </c>
      <c r="M650" s="35">
        <f>+J650+L650</f>
        <v>-4562362</v>
      </c>
      <c r="N650" s="28" t="s">
        <v>1266</v>
      </c>
      <c r="O650" s="29" t="s">
        <v>1267</v>
      </c>
      <c r="P650" s="36">
        <v>44908</v>
      </c>
      <c r="Q650" s="31">
        <v>34908.71</v>
      </c>
      <c r="R650" s="33">
        <f>+M650/Q650</f>
        <v>-130.69408752142374</v>
      </c>
    </row>
    <row r="651" spans="1:18" s="30" customFormat="1" ht="15" customHeight="1">
      <c r="A651" s="37" t="s">
        <v>293</v>
      </c>
      <c r="B651" s="26" t="s">
        <v>294</v>
      </c>
      <c r="C651" s="39">
        <v>672</v>
      </c>
      <c r="D651" s="40" t="s">
        <v>1284</v>
      </c>
      <c r="E651" s="38" t="s">
        <v>3</v>
      </c>
      <c r="F651" s="38" t="s">
        <v>12</v>
      </c>
      <c r="G651" s="32">
        <v>4888082</v>
      </c>
      <c r="H651" s="32">
        <v>0</v>
      </c>
      <c r="I651" s="32">
        <v>0</v>
      </c>
      <c r="J651" s="35">
        <f>+G651-H651+I651</f>
        <v>4888082</v>
      </c>
      <c r="K651" s="28">
        <v>0</v>
      </c>
      <c r="L651" s="32">
        <v>0</v>
      </c>
      <c r="M651" s="35">
        <f>+J651+L651</f>
        <v>4888082</v>
      </c>
      <c r="N651" s="28" t="s">
        <v>1266</v>
      </c>
      <c r="O651" s="29" t="s">
        <v>1267</v>
      </c>
      <c r="P651" s="36">
        <v>44908</v>
      </c>
      <c r="Q651" s="31">
        <v>34908.71</v>
      </c>
      <c r="R651" s="33">
        <f>+M651/Q651</f>
        <v>140.02471016545726</v>
      </c>
    </row>
    <row r="652" spans="1:18" s="30" customFormat="1" ht="15" customHeight="1">
      <c r="A652" s="37" t="s">
        <v>293</v>
      </c>
      <c r="B652" s="26" t="s">
        <v>294</v>
      </c>
      <c r="C652" s="39">
        <v>671</v>
      </c>
      <c r="D652" s="40" t="s">
        <v>1285</v>
      </c>
      <c r="E652" s="38" t="s">
        <v>3</v>
      </c>
      <c r="F652" s="38" t="s">
        <v>20</v>
      </c>
      <c r="G652" s="32">
        <v>0</v>
      </c>
      <c r="H652" s="32">
        <v>219828</v>
      </c>
      <c r="I652" s="32">
        <v>0</v>
      </c>
      <c r="J652" s="35">
        <f>+G652-H652+I652</f>
        <v>-219828</v>
      </c>
      <c r="K652" s="28">
        <v>0</v>
      </c>
      <c r="L652" s="32">
        <v>0</v>
      </c>
      <c r="M652" s="35">
        <f>+J652+L652</f>
        <v>-219828</v>
      </c>
      <c r="N652" s="28" t="s">
        <v>1255</v>
      </c>
      <c r="O652" s="29" t="s">
        <v>1256</v>
      </c>
      <c r="P652" s="36">
        <v>44845</v>
      </c>
      <c r="Q652" s="31">
        <v>34400.92</v>
      </c>
      <c r="R652" s="33">
        <f>+M652/Q652</f>
        <v>-6.3901779371016829</v>
      </c>
    </row>
    <row r="653" spans="1:18" s="30" customFormat="1" ht="15" customHeight="1">
      <c r="A653" s="37" t="s">
        <v>293</v>
      </c>
      <c r="B653" s="26" t="s">
        <v>294</v>
      </c>
      <c r="C653" s="39">
        <v>670</v>
      </c>
      <c r="D653" s="40" t="s">
        <v>1286</v>
      </c>
      <c r="E653" s="38" t="s">
        <v>3</v>
      </c>
      <c r="F653" s="38" t="s">
        <v>13</v>
      </c>
      <c r="G653" s="32">
        <v>111070</v>
      </c>
      <c r="H653" s="32">
        <v>0</v>
      </c>
      <c r="I653" s="32">
        <v>922515</v>
      </c>
      <c r="J653" s="35">
        <f>+G653-H653+I653</f>
        <v>1033585</v>
      </c>
      <c r="K653" s="28">
        <v>0</v>
      </c>
      <c r="L653" s="32">
        <v>0</v>
      </c>
      <c r="M653" s="35">
        <f>+J653+L653</f>
        <v>1033585</v>
      </c>
      <c r="N653" s="28" t="s">
        <v>1266</v>
      </c>
      <c r="O653" s="29" t="s">
        <v>1267</v>
      </c>
      <c r="P653" s="36">
        <v>44908</v>
      </c>
      <c r="Q653" s="31">
        <v>34908.71</v>
      </c>
      <c r="R653" s="33">
        <f>+M653/Q653</f>
        <v>29.608226714765458</v>
      </c>
    </row>
    <row r="654" spans="1:18" s="30" customFormat="1" ht="15" customHeight="1">
      <c r="A654" s="37" t="s">
        <v>293</v>
      </c>
      <c r="B654" s="26" t="s">
        <v>294</v>
      </c>
      <c r="C654" s="39">
        <v>664</v>
      </c>
      <c r="D654" s="40" t="s">
        <v>1287</v>
      </c>
      <c r="E654" s="38" t="s">
        <v>4</v>
      </c>
      <c r="F654" s="38" t="s">
        <v>1288</v>
      </c>
      <c r="G654" s="32">
        <v>0</v>
      </c>
      <c r="H654" s="32">
        <v>8216850</v>
      </c>
      <c r="I654" s="32">
        <v>0</v>
      </c>
      <c r="J654" s="35">
        <f>+G654-H654+I654</f>
        <v>-8216850</v>
      </c>
      <c r="K654" s="28">
        <v>0</v>
      </c>
      <c r="L654" s="32">
        <v>0</v>
      </c>
      <c r="M654" s="35">
        <f>+J654+L654</f>
        <v>-8216850</v>
      </c>
      <c r="N654" s="28" t="s">
        <v>1245</v>
      </c>
      <c r="O654" s="29" t="s">
        <v>1246</v>
      </c>
      <c r="P654" s="36">
        <v>44834</v>
      </c>
      <c r="Q654" s="31">
        <v>34258.230000000003</v>
      </c>
      <c r="R654" s="33">
        <f>+M654/Q654</f>
        <v>-239.85039507295033</v>
      </c>
    </row>
    <row r="655" spans="1:18" s="30" customFormat="1" ht="15" customHeight="1">
      <c r="A655" s="37" t="s">
        <v>184</v>
      </c>
      <c r="B655" s="26" t="s">
        <v>185</v>
      </c>
      <c r="C655" s="39">
        <v>17</v>
      </c>
      <c r="D655" s="40" t="s">
        <v>1289</v>
      </c>
      <c r="E655" s="38" t="s">
        <v>3</v>
      </c>
      <c r="F655" s="38" t="s">
        <v>12</v>
      </c>
      <c r="G655" s="32">
        <v>240169</v>
      </c>
      <c r="H655" s="32">
        <v>0</v>
      </c>
      <c r="I655" s="52">
        <v>0</v>
      </c>
      <c r="J655" s="35">
        <f>+G655-H655+I655</f>
        <v>240169</v>
      </c>
      <c r="K655" s="27"/>
      <c r="L655" s="32">
        <v>0</v>
      </c>
      <c r="M655" s="35">
        <f>+J655+L655</f>
        <v>240169</v>
      </c>
      <c r="N655" s="28" t="s">
        <v>1290</v>
      </c>
      <c r="O655" s="29" t="s">
        <v>1291</v>
      </c>
      <c r="P655" s="36">
        <v>44323</v>
      </c>
      <c r="Q655" s="31">
        <v>29521.62</v>
      </c>
      <c r="R655" s="33">
        <f>M655/Q655</f>
        <v>8.1353597803914557</v>
      </c>
    </row>
    <row r="656" spans="1:18" s="30" customFormat="1" ht="15" customHeight="1">
      <c r="A656" s="37" t="s">
        <v>293</v>
      </c>
      <c r="B656" s="26" t="s">
        <v>294</v>
      </c>
      <c r="C656" s="39">
        <v>661</v>
      </c>
      <c r="D656" s="40" t="s">
        <v>1292</v>
      </c>
      <c r="E656" s="38" t="s">
        <v>4</v>
      </c>
      <c r="F656" s="38" t="s">
        <v>296</v>
      </c>
      <c r="G656" s="32">
        <v>2586679</v>
      </c>
      <c r="H656" s="32">
        <v>0</v>
      </c>
      <c r="I656" s="32">
        <v>0</v>
      </c>
      <c r="J656" s="35">
        <f>+G656-H656+I656</f>
        <v>2586679</v>
      </c>
      <c r="K656" s="28">
        <v>0</v>
      </c>
      <c r="L656" s="32">
        <v>0</v>
      </c>
      <c r="M656" s="35">
        <f>+J656+L656</f>
        <v>2586679</v>
      </c>
      <c r="N656" s="28" t="s">
        <v>1266</v>
      </c>
      <c r="O656" s="29" t="s">
        <v>1267</v>
      </c>
      <c r="P656" s="36">
        <v>44908</v>
      </c>
      <c r="Q656" s="31">
        <v>34908.71</v>
      </c>
      <c r="R656" s="33">
        <f>+M656/Q656</f>
        <v>74.098384042263376</v>
      </c>
    </row>
    <row r="657" spans="1:18" s="30" customFormat="1" ht="15" customHeight="1">
      <c r="A657" s="37" t="s">
        <v>293</v>
      </c>
      <c r="B657" s="26" t="s">
        <v>294</v>
      </c>
      <c r="C657" s="39">
        <v>658</v>
      </c>
      <c r="D657" s="40" t="s">
        <v>1293</v>
      </c>
      <c r="E657" s="38" t="s">
        <v>3</v>
      </c>
      <c r="F657" s="38" t="s">
        <v>296</v>
      </c>
      <c r="G657" s="32">
        <v>0</v>
      </c>
      <c r="H657" s="32">
        <v>0</v>
      </c>
      <c r="I657" s="32">
        <v>473208</v>
      </c>
      <c r="J657" s="35">
        <f>+G657-H657+I657</f>
        <v>473208</v>
      </c>
      <c r="K657" s="28">
        <v>0</v>
      </c>
      <c r="L657" s="32">
        <v>0</v>
      </c>
      <c r="M657" s="35">
        <f>+J657+L657</f>
        <v>473208</v>
      </c>
      <c r="N657" s="28" t="s">
        <v>1266</v>
      </c>
      <c r="O657" s="29" t="s">
        <v>1267</v>
      </c>
      <c r="P657" s="36">
        <v>44908</v>
      </c>
      <c r="Q657" s="31">
        <v>34908.71</v>
      </c>
      <c r="R657" s="33">
        <f>+M657/Q657</f>
        <v>13.555585411205399</v>
      </c>
    </row>
    <row r="658" spans="1:18" s="30" customFormat="1" ht="15" customHeight="1">
      <c r="A658" s="37" t="s">
        <v>293</v>
      </c>
      <c r="B658" s="26" t="s">
        <v>294</v>
      </c>
      <c r="C658" s="39">
        <v>657</v>
      </c>
      <c r="D658" s="40" t="s">
        <v>1294</v>
      </c>
      <c r="E658" s="38" t="s">
        <v>198</v>
      </c>
      <c r="F658" s="38" t="s">
        <v>12</v>
      </c>
      <c r="G658" s="32">
        <v>0</v>
      </c>
      <c r="H658" s="32">
        <v>18716324</v>
      </c>
      <c r="I658" s="32">
        <v>20414071</v>
      </c>
      <c r="J658" s="35">
        <f>+G658-H658+I658</f>
        <v>1697747</v>
      </c>
      <c r="K658" s="28">
        <v>0</v>
      </c>
      <c r="L658" s="32">
        <v>0</v>
      </c>
      <c r="M658" s="35">
        <f>+J658+L658</f>
        <v>1697747</v>
      </c>
      <c r="N658" s="28" t="s">
        <v>1255</v>
      </c>
      <c r="O658" s="29" t="s">
        <v>1256</v>
      </c>
      <c r="P658" s="36">
        <v>44845</v>
      </c>
      <c r="Q658" s="31">
        <v>34400.92</v>
      </c>
      <c r="R658" s="33">
        <f>+M658/Q658</f>
        <v>49.351790591646967</v>
      </c>
    </row>
    <row r="659" spans="1:18" s="30" customFormat="1" ht="15" customHeight="1">
      <c r="A659" s="37" t="s">
        <v>293</v>
      </c>
      <c r="B659" s="26" t="s">
        <v>294</v>
      </c>
      <c r="C659" s="39">
        <v>654</v>
      </c>
      <c r="D659" s="40" t="s">
        <v>1295</v>
      </c>
      <c r="E659" s="38" t="s">
        <v>4</v>
      </c>
      <c r="F659" s="38" t="s">
        <v>678</v>
      </c>
      <c r="G659" s="32">
        <v>996489</v>
      </c>
      <c r="H659" s="32">
        <v>316195</v>
      </c>
      <c r="I659" s="32">
        <v>0</v>
      </c>
      <c r="J659" s="35">
        <f>+G659-H659+I659</f>
        <v>680294</v>
      </c>
      <c r="K659" s="28">
        <v>0</v>
      </c>
      <c r="L659" s="32">
        <v>0</v>
      </c>
      <c r="M659" s="35">
        <f>+J659+L659</f>
        <v>680294</v>
      </c>
      <c r="N659" s="28" t="s">
        <v>1245</v>
      </c>
      <c r="O659" s="29" t="s">
        <v>1246</v>
      </c>
      <c r="P659" s="36">
        <v>44834</v>
      </c>
      <c r="Q659" s="31">
        <v>34258.230000000003</v>
      </c>
      <c r="R659" s="33">
        <f>+M659/Q659</f>
        <v>19.857826863793019</v>
      </c>
    </row>
    <row r="660" spans="1:18" s="30" customFormat="1" ht="15" customHeight="1">
      <c r="A660" s="37" t="s">
        <v>293</v>
      </c>
      <c r="B660" s="26" t="s">
        <v>294</v>
      </c>
      <c r="C660" s="39">
        <v>652</v>
      </c>
      <c r="D660" s="40" t="s">
        <v>1296</v>
      </c>
      <c r="E660" s="38" t="s">
        <v>3</v>
      </c>
      <c r="F660" s="38" t="s">
        <v>678</v>
      </c>
      <c r="G660" s="32">
        <v>37707896</v>
      </c>
      <c r="H660" s="32">
        <v>56607043</v>
      </c>
      <c r="I660" s="32">
        <v>8000110</v>
      </c>
      <c r="J660" s="35">
        <f>+G660-H660+I660</f>
        <v>-10899037</v>
      </c>
      <c r="K660" s="28">
        <v>0</v>
      </c>
      <c r="L660" s="32">
        <v>0</v>
      </c>
      <c r="M660" s="35">
        <f>+J660+L660</f>
        <v>-10899037</v>
      </c>
      <c r="N660" s="28" t="s">
        <v>1266</v>
      </c>
      <c r="O660" s="29" t="s">
        <v>1267</v>
      </c>
      <c r="P660" s="36">
        <v>44908</v>
      </c>
      <c r="Q660" s="31">
        <v>34908.71</v>
      </c>
      <c r="R660" s="33">
        <f>+M660/Q660</f>
        <v>-312.21540412120646</v>
      </c>
    </row>
    <row r="661" spans="1:18" s="30" customFormat="1" ht="15" customHeight="1">
      <c r="A661" s="37" t="s">
        <v>293</v>
      </c>
      <c r="B661" s="26" t="s">
        <v>294</v>
      </c>
      <c r="C661" s="39">
        <v>514</v>
      </c>
      <c r="D661" s="40" t="s">
        <v>1297</v>
      </c>
      <c r="E661" s="38" t="s">
        <v>4</v>
      </c>
      <c r="F661" s="38" t="s">
        <v>12</v>
      </c>
      <c r="G661" s="32">
        <v>250422</v>
      </c>
      <c r="H661" s="32">
        <v>0</v>
      </c>
      <c r="I661" s="32">
        <v>7022435</v>
      </c>
      <c r="J661" s="35">
        <f>+G661-H661+I661</f>
        <v>7272857</v>
      </c>
      <c r="K661" s="27" t="s">
        <v>401</v>
      </c>
      <c r="L661" s="32">
        <v>0</v>
      </c>
      <c r="M661" s="35">
        <f>+J661+L661</f>
        <v>7272857</v>
      </c>
      <c r="N661" s="55" t="s">
        <v>402</v>
      </c>
      <c r="O661" s="56" t="s">
        <v>403</v>
      </c>
      <c r="P661" s="56">
        <v>44524</v>
      </c>
      <c r="Q661" s="49">
        <v>30683.439999999999</v>
      </c>
      <c r="R661" s="57">
        <f>+M661/Q661</f>
        <v>237.02873602177593</v>
      </c>
    </row>
    <row r="662" spans="1:18" s="30" customFormat="1" ht="15" customHeight="1">
      <c r="A662" s="37" t="s">
        <v>293</v>
      </c>
      <c r="B662" s="26" t="s">
        <v>294</v>
      </c>
      <c r="C662" s="39">
        <v>649</v>
      </c>
      <c r="D662" s="40" t="s">
        <v>1298</v>
      </c>
      <c r="E662" s="38" t="s">
        <v>3</v>
      </c>
      <c r="F662" s="38" t="s">
        <v>12</v>
      </c>
      <c r="G662" s="32">
        <v>310479</v>
      </c>
      <c r="H662" s="32">
        <v>0</v>
      </c>
      <c r="I662" s="32">
        <v>0</v>
      </c>
      <c r="J662" s="35">
        <f>+G662-H662+I662</f>
        <v>310479</v>
      </c>
      <c r="K662" s="28">
        <v>0</v>
      </c>
      <c r="L662" s="32">
        <v>0</v>
      </c>
      <c r="M662" s="35">
        <f>+J662+L662</f>
        <v>310479</v>
      </c>
      <c r="N662" s="28" t="s">
        <v>1248</v>
      </c>
      <c r="O662" s="29" t="s">
        <v>1249</v>
      </c>
      <c r="P662" s="36">
        <v>44993</v>
      </c>
      <c r="Q662" s="31">
        <v>35590.620000000003</v>
      </c>
      <c r="R662" s="33">
        <f>+M662/Q662</f>
        <v>8.7236187512327685</v>
      </c>
    </row>
    <row r="663" spans="1:18" s="30" customFormat="1" ht="15" customHeight="1">
      <c r="A663" s="37" t="s">
        <v>391</v>
      </c>
      <c r="B663" s="26" t="s">
        <v>392</v>
      </c>
      <c r="C663" s="39">
        <v>167</v>
      </c>
      <c r="D663" s="40" t="s">
        <v>1299</v>
      </c>
      <c r="E663" s="38" t="s">
        <v>4</v>
      </c>
      <c r="F663" s="38" t="s">
        <v>10</v>
      </c>
      <c r="G663" s="32">
        <v>254067</v>
      </c>
      <c r="H663" s="32">
        <v>0</v>
      </c>
      <c r="I663" s="52">
        <v>0</v>
      </c>
      <c r="J663" s="35">
        <f>+G663-H663+I663</f>
        <v>254067</v>
      </c>
      <c r="K663" s="27">
        <v>0.26</v>
      </c>
      <c r="L663" s="32">
        <v>0</v>
      </c>
      <c r="M663" s="35">
        <f>+J663+L663</f>
        <v>254067</v>
      </c>
      <c r="N663" s="28" t="s">
        <v>467</v>
      </c>
      <c r="O663" s="29" t="s">
        <v>395</v>
      </c>
      <c r="P663" s="36">
        <v>44293</v>
      </c>
      <c r="Q663" s="31">
        <v>29408.04</v>
      </c>
      <c r="R663" s="33">
        <f>M663/Q663</f>
        <v>8.639372090081487</v>
      </c>
    </row>
    <row r="664" spans="1:18" s="30" customFormat="1" ht="15" customHeight="1">
      <c r="A664" s="37" t="s">
        <v>293</v>
      </c>
      <c r="B664" s="26" t="s">
        <v>294</v>
      </c>
      <c r="C664" s="39">
        <v>647</v>
      </c>
      <c r="D664" s="40" t="s">
        <v>1300</v>
      </c>
      <c r="E664" s="38" t="s">
        <v>3</v>
      </c>
      <c r="F664" s="38" t="s">
        <v>17</v>
      </c>
      <c r="G664" s="32">
        <v>0</v>
      </c>
      <c r="H664" s="32">
        <v>0</v>
      </c>
      <c r="I664" s="32">
        <v>1272922</v>
      </c>
      <c r="J664" s="35">
        <f>+G664-H664+I664</f>
        <v>1272922</v>
      </c>
      <c r="K664" s="28">
        <v>0</v>
      </c>
      <c r="L664" s="32">
        <v>0</v>
      </c>
      <c r="M664" s="35">
        <f>+J664+L664</f>
        <v>1272922</v>
      </c>
      <c r="N664" s="28" t="s">
        <v>1245</v>
      </c>
      <c r="O664" s="29" t="s">
        <v>1246</v>
      </c>
      <c r="P664" s="36">
        <v>44834</v>
      </c>
      <c r="Q664" s="31">
        <v>34258.230000000003</v>
      </c>
      <c r="R664" s="33">
        <f>+M664/Q664</f>
        <v>37.156677388177961</v>
      </c>
    </row>
    <row r="665" spans="1:18" s="30" customFormat="1" ht="15" customHeight="1">
      <c r="A665" s="37" t="s">
        <v>293</v>
      </c>
      <c r="B665" s="26" t="s">
        <v>294</v>
      </c>
      <c r="C665" s="39">
        <v>646</v>
      </c>
      <c r="D665" s="40" t="s">
        <v>1301</v>
      </c>
      <c r="E665" s="38" t="s">
        <v>4</v>
      </c>
      <c r="F665" s="38" t="s">
        <v>12</v>
      </c>
      <c r="G665" s="32">
        <v>0</v>
      </c>
      <c r="H665" s="32">
        <v>0</v>
      </c>
      <c r="I665" s="32">
        <v>2669448</v>
      </c>
      <c r="J665" s="35">
        <f>+G665-H665+I665</f>
        <v>2669448</v>
      </c>
      <c r="K665" s="28">
        <v>0</v>
      </c>
      <c r="L665" s="32">
        <v>0</v>
      </c>
      <c r="M665" s="35">
        <f>+J665+L665</f>
        <v>2669448</v>
      </c>
      <c r="N665" s="28" t="s">
        <v>1248</v>
      </c>
      <c r="O665" s="29" t="s">
        <v>1249</v>
      </c>
      <c r="P665" s="36">
        <v>44993</v>
      </c>
      <c r="Q665" s="31">
        <v>35590.620000000003</v>
      </c>
      <c r="R665" s="33">
        <f>+M665/Q665</f>
        <v>75.004256739556652</v>
      </c>
    </row>
    <row r="666" spans="1:18" s="30" customFormat="1" ht="15" customHeight="1">
      <c r="A666" s="37" t="s">
        <v>293</v>
      </c>
      <c r="B666" s="26" t="s">
        <v>294</v>
      </c>
      <c r="C666" s="39">
        <v>585</v>
      </c>
      <c r="D666" s="40" t="s">
        <v>1302</v>
      </c>
      <c r="E666" s="38" t="s">
        <v>3</v>
      </c>
      <c r="F666" s="38" t="s">
        <v>296</v>
      </c>
      <c r="G666" s="32">
        <v>264372</v>
      </c>
      <c r="H666" s="32">
        <v>0</v>
      </c>
      <c r="I666" s="32">
        <v>1395971</v>
      </c>
      <c r="J666" s="35">
        <f>+G666-H666+I666</f>
        <v>1660343</v>
      </c>
      <c r="K666" s="27" t="s">
        <v>401</v>
      </c>
      <c r="L666" s="32">
        <v>0</v>
      </c>
      <c r="M666" s="35">
        <f>+J666+L666</f>
        <v>1660343</v>
      </c>
      <c r="N666" s="55" t="s">
        <v>402</v>
      </c>
      <c r="O666" s="56" t="s">
        <v>403</v>
      </c>
      <c r="P666" s="56">
        <v>44524</v>
      </c>
      <c r="Q666" s="49">
        <v>30683.439999999999</v>
      </c>
      <c r="R666" s="57">
        <f>+M666/Q666</f>
        <v>54.112022641529116</v>
      </c>
    </row>
    <row r="667" spans="1:18" s="30" customFormat="1" ht="15" customHeight="1">
      <c r="A667" s="37" t="s">
        <v>293</v>
      </c>
      <c r="B667" s="26" t="s">
        <v>294</v>
      </c>
      <c r="C667" s="39">
        <v>643</v>
      </c>
      <c r="D667" s="40" t="s">
        <v>1303</v>
      </c>
      <c r="E667" s="38" t="s">
        <v>4</v>
      </c>
      <c r="F667" s="38" t="s">
        <v>678</v>
      </c>
      <c r="G667" s="32">
        <v>2080713</v>
      </c>
      <c r="H667" s="32">
        <v>0</v>
      </c>
      <c r="I667" s="32">
        <v>0</v>
      </c>
      <c r="J667" s="35">
        <f>+G667-H667+I667</f>
        <v>2080713</v>
      </c>
      <c r="K667" s="28">
        <v>0</v>
      </c>
      <c r="L667" s="32">
        <v>0</v>
      </c>
      <c r="M667" s="35">
        <f>+J667+L667</f>
        <v>2080713</v>
      </c>
      <c r="N667" s="28" t="s">
        <v>1245</v>
      </c>
      <c r="O667" s="29" t="s">
        <v>1246</v>
      </c>
      <c r="P667" s="36">
        <v>44834</v>
      </c>
      <c r="Q667" s="31">
        <v>34258.230000000003</v>
      </c>
      <c r="R667" s="33">
        <f>+M667/Q667</f>
        <v>60.736150116337001</v>
      </c>
    </row>
    <row r="668" spans="1:18" s="30" customFormat="1" ht="15" customHeight="1">
      <c r="A668" s="37" t="s">
        <v>391</v>
      </c>
      <c r="B668" s="26" t="s">
        <v>392</v>
      </c>
      <c r="C668" s="39">
        <v>144</v>
      </c>
      <c r="D668" s="40" t="s">
        <v>1304</v>
      </c>
      <c r="E668" s="38" t="s">
        <v>3</v>
      </c>
      <c r="F668" s="38" t="s">
        <v>20</v>
      </c>
      <c r="G668" s="32">
        <v>278600</v>
      </c>
      <c r="H668" s="32">
        <v>0</v>
      </c>
      <c r="I668" s="52">
        <v>0</v>
      </c>
      <c r="J668" s="35">
        <f>+G668-H668+I668</f>
        <v>278600</v>
      </c>
      <c r="K668" s="27"/>
      <c r="L668" s="32">
        <v>0</v>
      </c>
      <c r="M668" s="35">
        <f>+J668+L668</f>
        <v>278600</v>
      </c>
      <c r="N668" s="28" t="s">
        <v>481</v>
      </c>
      <c r="O668" s="29" t="s">
        <v>482</v>
      </c>
      <c r="P668" s="36">
        <v>44130</v>
      </c>
      <c r="Q668" s="31">
        <v>28810.82</v>
      </c>
      <c r="R668" s="33">
        <f>M668/Q668</f>
        <v>9.6699781540407397</v>
      </c>
    </row>
    <row r="669" spans="1:18" s="30" customFormat="1" ht="15" customHeight="1">
      <c r="A669" s="37" t="s">
        <v>293</v>
      </c>
      <c r="B669" s="26" t="s">
        <v>294</v>
      </c>
      <c r="C669" s="39">
        <v>641</v>
      </c>
      <c r="D669" s="40" t="s">
        <v>1305</v>
      </c>
      <c r="E669" s="38" t="s">
        <v>4</v>
      </c>
      <c r="F669" s="38" t="s">
        <v>12</v>
      </c>
      <c r="G669" s="32">
        <v>0</v>
      </c>
      <c r="H669" s="32">
        <v>5383096</v>
      </c>
      <c r="I669" s="32">
        <v>0</v>
      </c>
      <c r="J669" s="35">
        <f>+G669-H669+I669</f>
        <v>-5383096</v>
      </c>
      <c r="K669" s="28">
        <v>0</v>
      </c>
      <c r="L669" s="32">
        <v>0</v>
      </c>
      <c r="M669" s="35">
        <f>+J669+L669</f>
        <v>-5383096</v>
      </c>
      <c r="N669" s="28" t="s">
        <v>1245</v>
      </c>
      <c r="O669" s="29" t="s">
        <v>1246</v>
      </c>
      <c r="P669" s="36">
        <v>44834</v>
      </c>
      <c r="Q669" s="31">
        <v>34258.230000000003</v>
      </c>
      <c r="R669" s="33">
        <f>+M669/Q669</f>
        <v>-157.13292835035551</v>
      </c>
    </row>
    <row r="670" spans="1:18" s="30" customFormat="1" ht="15" customHeight="1">
      <c r="A670" s="37" t="s">
        <v>184</v>
      </c>
      <c r="B670" s="26" t="s">
        <v>185</v>
      </c>
      <c r="C670" s="39">
        <v>16</v>
      </c>
      <c r="D670" s="40" t="s">
        <v>1306</v>
      </c>
      <c r="E670" s="38" t="s">
        <v>3</v>
      </c>
      <c r="F670" s="38" t="s">
        <v>12</v>
      </c>
      <c r="G670" s="32">
        <v>284053</v>
      </c>
      <c r="H670" s="32">
        <v>0</v>
      </c>
      <c r="I670" s="32">
        <v>476518</v>
      </c>
      <c r="J670" s="35">
        <f>+G670-H670+I670</f>
        <v>760571</v>
      </c>
      <c r="K670" s="27"/>
      <c r="L670" s="32">
        <v>0</v>
      </c>
      <c r="M670" s="35">
        <f>+J670+L670</f>
        <v>760571</v>
      </c>
      <c r="N670" s="28" t="s">
        <v>1290</v>
      </c>
      <c r="O670" s="29" t="s">
        <v>1291</v>
      </c>
      <c r="P670" s="36">
        <v>44323</v>
      </c>
      <c r="Q670" s="31">
        <v>29521.62</v>
      </c>
      <c r="R670" s="33">
        <f>M670/Q670</f>
        <v>25.763186437600648</v>
      </c>
    </row>
    <row r="671" spans="1:18" s="30" customFormat="1" ht="15" customHeight="1">
      <c r="A671" s="37" t="s">
        <v>293</v>
      </c>
      <c r="B671" s="26" t="s">
        <v>294</v>
      </c>
      <c r="C671" s="39">
        <v>640</v>
      </c>
      <c r="D671" s="40" t="s">
        <v>1307</v>
      </c>
      <c r="E671" s="38" t="s">
        <v>4</v>
      </c>
      <c r="F671" s="38" t="s">
        <v>14</v>
      </c>
      <c r="G671" s="32">
        <v>0</v>
      </c>
      <c r="H671" s="32">
        <v>0</v>
      </c>
      <c r="I671" s="32">
        <v>522307</v>
      </c>
      <c r="J671" s="35">
        <f>+G671-H671+I671</f>
        <v>522307</v>
      </c>
      <c r="K671" s="28">
        <v>0</v>
      </c>
      <c r="L671" s="32">
        <v>0</v>
      </c>
      <c r="M671" s="35">
        <f>+J671+L671</f>
        <v>522307</v>
      </c>
      <c r="N671" s="28" t="s">
        <v>1308</v>
      </c>
      <c r="O671" s="29" t="s">
        <v>1309</v>
      </c>
      <c r="P671" s="36">
        <v>44819</v>
      </c>
      <c r="Q671" s="31">
        <v>34054.51</v>
      </c>
      <c r="R671" s="33">
        <f>+M671/Q671</f>
        <v>15.337381157444343</v>
      </c>
    </row>
    <row r="672" spans="1:18" s="30" customFormat="1" ht="15" customHeight="1">
      <c r="A672" s="37" t="s">
        <v>293</v>
      </c>
      <c r="B672" s="26" t="s">
        <v>294</v>
      </c>
      <c r="C672" s="39">
        <v>639</v>
      </c>
      <c r="D672" s="40" t="s">
        <v>1310</v>
      </c>
      <c r="E672" s="38" t="s">
        <v>3</v>
      </c>
      <c r="F672" s="38" t="s">
        <v>18</v>
      </c>
      <c r="G672" s="32">
        <v>652150</v>
      </c>
      <c r="H672" s="32">
        <v>0</v>
      </c>
      <c r="I672" s="32">
        <v>394157</v>
      </c>
      <c r="J672" s="35">
        <f>+G672-H672+I672</f>
        <v>1046307</v>
      </c>
      <c r="K672" s="28">
        <v>0</v>
      </c>
      <c r="L672" s="32">
        <v>0</v>
      </c>
      <c r="M672" s="35">
        <f>+J672+L672</f>
        <v>1046307</v>
      </c>
      <c r="N672" s="28" t="s">
        <v>1266</v>
      </c>
      <c r="O672" s="29" t="s">
        <v>1267</v>
      </c>
      <c r="P672" s="36">
        <v>44908</v>
      </c>
      <c r="Q672" s="31">
        <v>34908.71</v>
      </c>
      <c r="R672" s="33">
        <f>+M672/Q672</f>
        <v>29.972662982963278</v>
      </c>
    </row>
    <row r="673" spans="1:18" s="30" customFormat="1" ht="15" customHeight="1">
      <c r="A673" s="37" t="s">
        <v>293</v>
      </c>
      <c r="B673" s="26" t="s">
        <v>294</v>
      </c>
      <c r="C673" s="39">
        <v>635</v>
      </c>
      <c r="D673" s="40" t="s">
        <v>1311</v>
      </c>
      <c r="E673" s="38" t="s">
        <v>4</v>
      </c>
      <c r="F673" s="38" t="s">
        <v>13</v>
      </c>
      <c r="G673" s="32">
        <v>0</v>
      </c>
      <c r="H673" s="32">
        <v>7032345</v>
      </c>
      <c r="I673" s="32">
        <v>0</v>
      </c>
      <c r="J673" s="35">
        <f>+G673-H673+I673</f>
        <v>-7032345</v>
      </c>
      <c r="K673" s="28">
        <v>0</v>
      </c>
      <c r="L673" s="32">
        <v>0</v>
      </c>
      <c r="M673" s="35">
        <f>+J673+L673</f>
        <v>-7032345</v>
      </c>
      <c r="N673" s="28" t="s">
        <v>1266</v>
      </c>
      <c r="O673" s="29" t="s">
        <v>1267</v>
      </c>
      <c r="P673" s="36">
        <v>44908</v>
      </c>
      <c r="Q673" s="31">
        <v>34908.71</v>
      </c>
      <c r="R673" s="33">
        <f>+M673/Q673</f>
        <v>-201.44958092120851</v>
      </c>
    </row>
    <row r="674" spans="1:18" s="30" customFormat="1" ht="15" customHeight="1">
      <c r="A674" s="37" t="s">
        <v>293</v>
      </c>
      <c r="B674" s="26" t="s">
        <v>294</v>
      </c>
      <c r="C674" s="39">
        <v>626</v>
      </c>
      <c r="D674" s="40" t="s">
        <v>1312</v>
      </c>
      <c r="E674" s="38" t="s">
        <v>198</v>
      </c>
      <c r="F674" s="38" t="s">
        <v>296</v>
      </c>
      <c r="G674" s="32">
        <v>0</v>
      </c>
      <c r="H674" s="32">
        <v>0</v>
      </c>
      <c r="I674" s="32">
        <v>1106320</v>
      </c>
      <c r="J674" s="35">
        <f>+G674-H674+I674</f>
        <v>1106320</v>
      </c>
      <c r="K674" s="28">
        <v>0</v>
      </c>
      <c r="L674" s="32">
        <v>0</v>
      </c>
      <c r="M674" s="35">
        <f>+J674+L674</f>
        <v>1106320</v>
      </c>
      <c r="N674" s="28" t="s">
        <v>1245</v>
      </c>
      <c r="O674" s="29" t="s">
        <v>1246</v>
      </c>
      <c r="P674" s="36">
        <v>44834</v>
      </c>
      <c r="Q674" s="31">
        <v>34258.230000000003</v>
      </c>
      <c r="R674" s="33">
        <f>+M674/Q674</f>
        <v>32.293553986881399</v>
      </c>
    </row>
    <row r="675" spans="1:18" s="30" customFormat="1" ht="15" customHeight="1">
      <c r="A675" s="37" t="s">
        <v>293</v>
      </c>
      <c r="B675" s="26" t="s">
        <v>294</v>
      </c>
      <c r="C675" s="39">
        <v>624</v>
      </c>
      <c r="D675" s="40" t="s">
        <v>1313</v>
      </c>
      <c r="E675" s="38" t="s">
        <v>4</v>
      </c>
      <c r="F675" s="38" t="s">
        <v>18</v>
      </c>
      <c r="G675" s="32">
        <v>0</v>
      </c>
      <c r="H675" s="32">
        <v>0</v>
      </c>
      <c r="I675" s="32">
        <v>253809</v>
      </c>
      <c r="J675" s="35">
        <f>+G675-H675+I675</f>
        <v>253809</v>
      </c>
      <c r="K675" s="28">
        <v>0</v>
      </c>
      <c r="L675" s="32">
        <v>0</v>
      </c>
      <c r="M675" s="35">
        <f>+J675+L675</f>
        <v>253809</v>
      </c>
      <c r="N675" s="28" t="s">
        <v>1308</v>
      </c>
      <c r="O675" s="29" t="s">
        <v>1309</v>
      </c>
      <c r="P675" s="36">
        <v>44819</v>
      </c>
      <c r="Q675" s="31">
        <v>34054.51</v>
      </c>
      <c r="R675" s="33">
        <f>+M675/Q675</f>
        <v>7.4530216408927918</v>
      </c>
    </row>
    <row r="676" spans="1:18" s="30" customFormat="1" ht="15" customHeight="1">
      <c r="A676" s="37" t="s">
        <v>293</v>
      </c>
      <c r="B676" s="26" t="s">
        <v>294</v>
      </c>
      <c r="C676" s="39">
        <v>623</v>
      </c>
      <c r="D676" s="40" t="s">
        <v>1314</v>
      </c>
      <c r="E676" s="38" t="s">
        <v>4</v>
      </c>
      <c r="F676" s="38" t="s">
        <v>12</v>
      </c>
      <c r="G676" s="32">
        <v>0</v>
      </c>
      <c r="H676" s="32">
        <v>0</v>
      </c>
      <c r="I676" s="32">
        <v>3945011</v>
      </c>
      <c r="J676" s="35">
        <f>+G676-H676+I676</f>
        <v>3945011</v>
      </c>
      <c r="K676" s="28">
        <v>0</v>
      </c>
      <c r="L676" s="32">
        <v>0</v>
      </c>
      <c r="M676" s="35">
        <f>+J676+L676</f>
        <v>3945011</v>
      </c>
      <c r="N676" s="28" t="s">
        <v>1308</v>
      </c>
      <c r="O676" s="29" t="s">
        <v>1309</v>
      </c>
      <c r="P676" s="36">
        <v>44819</v>
      </c>
      <c r="Q676" s="31">
        <v>34054.51</v>
      </c>
      <c r="R676" s="33">
        <f>+M676/Q676</f>
        <v>115.84401008853159</v>
      </c>
    </row>
    <row r="677" spans="1:18" s="30" customFormat="1" ht="15" customHeight="1">
      <c r="A677" s="37" t="s">
        <v>293</v>
      </c>
      <c r="B677" s="26" t="s">
        <v>294</v>
      </c>
      <c r="C677" s="39">
        <v>621</v>
      </c>
      <c r="D677" s="40" t="s">
        <v>1315</v>
      </c>
      <c r="E677" s="38" t="s">
        <v>4</v>
      </c>
      <c r="F677" s="38" t="s">
        <v>13</v>
      </c>
      <c r="G677" s="32">
        <v>3581478</v>
      </c>
      <c r="H677" s="32">
        <v>21693668</v>
      </c>
      <c r="I677" s="32">
        <v>4443722</v>
      </c>
      <c r="J677" s="35">
        <f>+G677-H677+I677</f>
        <v>-13668468</v>
      </c>
      <c r="K677" s="28">
        <v>0</v>
      </c>
      <c r="L677" s="32">
        <v>0</v>
      </c>
      <c r="M677" s="35">
        <f>+J677+L677</f>
        <v>-13668468</v>
      </c>
      <c r="N677" s="28" t="s">
        <v>1308</v>
      </c>
      <c r="O677" s="29" t="s">
        <v>1309</v>
      </c>
      <c r="P677" s="36">
        <v>44819</v>
      </c>
      <c r="Q677" s="31">
        <v>34054.51</v>
      </c>
      <c r="R677" s="33">
        <f>+M677/Q677</f>
        <v>-401.37027371704949</v>
      </c>
    </row>
    <row r="678" spans="1:18" s="30" customFormat="1" ht="15" customHeight="1">
      <c r="A678" s="37" t="s">
        <v>293</v>
      </c>
      <c r="B678" s="26" t="s">
        <v>294</v>
      </c>
      <c r="C678" s="39">
        <v>620</v>
      </c>
      <c r="D678" s="40" t="s">
        <v>1316</v>
      </c>
      <c r="E678" s="38" t="s">
        <v>6</v>
      </c>
      <c r="F678" s="38" t="s">
        <v>296</v>
      </c>
      <c r="G678" s="32">
        <v>0</v>
      </c>
      <c r="H678" s="32">
        <v>0</v>
      </c>
      <c r="I678" s="32">
        <v>4645525</v>
      </c>
      <c r="J678" s="35">
        <f>+G678-H678+I678</f>
        <v>4645525</v>
      </c>
      <c r="K678" s="28">
        <v>0</v>
      </c>
      <c r="L678" s="32">
        <v>0</v>
      </c>
      <c r="M678" s="35">
        <f>+J678+L678</f>
        <v>4645525</v>
      </c>
      <c r="N678" s="28" t="s">
        <v>1308</v>
      </c>
      <c r="O678" s="29" t="s">
        <v>1309</v>
      </c>
      <c r="P678" s="36">
        <v>44819</v>
      </c>
      <c r="Q678" s="31">
        <v>34054.51</v>
      </c>
      <c r="R678" s="33">
        <f>+M678/Q678</f>
        <v>136.4143838804317</v>
      </c>
    </row>
    <row r="679" spans="1:18" s="30" customFormat="1" ht="15" customHeight="1">
      <c r="A679" s="37" t="s">
        <v>293</v>
      </c>
      <c r="B679" s="26" t="s">
        <v>294</v>
      </c>
      <c r="C679" s="39">
        <v>618</v>
      </c>
      <c r="D679" s="40" t="s">
        <v>1317</v>
      </c>
      <c r="E679" s="38" t="s">
        <v>4</v>
      </c>
      <c r="F679" s="38" t="s">
        <v>296</v>
      </c>
      <c r="G679" s="32">
        <v>200293</v>
      </c>
      <c r="H679" s="32">
        <v>0</v>
      </c>
      <c r="I679" s="32">
        <v>544372</v>
      </c>
      <c r="J679" s="35">
        <f>+G679-H679+I679</f>
        <v>744665</v>
      </c>
      <c r="K679" s="28">
        <v>0</v>
      </c>
      <c r="L679" s="32">
        <v>0</v>
      </c>
      <c r="M679" s="35">
        <f>+J679+L679</f>
        <v>744665</v>
      </c>
      <c r="N679" s="28" t="s">
        <v>1308</v>
      </c>
      <c r="O679" s="29" t="s">
        <v>1309</v>
      </c>
      <c r="P679" s="36">
        <v>44819</v>
      </c>
      <c r="Q679" s="31">
        <v>34054.51</v>
      </c>
      <c r="R679" s="33">
        <f>+M679/Q679</f>
        <v>21.866854052517564</v>
      </c>
    </row>
    <row r="680" spans="1:18" s="30" customFormat="1" ht="15" customHeight="1">
      <c r="A680" s="37" t="s">
        <v>293</v>
      </c>
      <c r="B680" s="26" t="s">
        <v>294</v>
      </c>
      <c r="C680" s="39">
        <v>617</v>
      </c>
      <c r="D680" s="40" t="s">
        <v>1318</v>
      </c>
      <c r="E680" s="38" t="s">
        <v>4</v>
      </c>
      <c r="F680" s="38" t="s">
        <v>296</v>
      </c>
      <c r="G680" s="32">
        <v>249629</v>
      </c>
      <c r="H680" s="32">
        <v>0</v>
      </c>
      <c r="I680" s="32">
        <v>0</v>
      </c>
      <c r="J680" s="35">
        <f>+G680-H680+I680</f>
        <v>249629</v>
      </c>
      <c r="K680" s="28">
        <v>0</v>
      </c>
      <c r="L680" s="32">
        <v>0</v>
      </c>
      <c r="M680" s="35">
        <f>+J680+L680</f>
        <v>249629</v>
      </c>
      <c r="N680" s="28" t="s">
        <v>1308</v>
      </c>
      <c r="O680" s="29" t="s">
        <v>1309</v>
      </c>
      <c r="P680" s="36">
        <v>44819</v>
      </c>
      <c r="Q680" s="31">
        <v>34054.51</v>
      </c>
      <c r="R680" s="33">
        <f>+M680/Q680</f>
        <v>7.3302772525577371</v>
      </c>
    </row>
    <row r="681" spans="1:18" s="30" customFormat="1" ht="15" customHeight="1">
      <c r="A681" s="37" t="s">
        <v>293</v>
      </c>
      <c r="B681" s="26" t="s">
        <v>294</v>
      </c>
      <c r="C681" s="39">
        <v>616</v>
      </c>
      <c r="D681" s="40" t="s">
        <v>1319</v>
      </c>
      <c r="E681" s="38" t="s">
        <v>4</v>
      </c>
      <c r="F681" s="38" t="s">
        <v>13</v>
      </c>
      <c r="G681" s="32">
        <v>104894</v>
      </c>
      <c r="H681" s="32">
        <v>353130</v>
      </c>
      <c r="I681" s="32">
        <v>361929</v>
      </c>
      <c r="J681" s="35">
        <f>+G681-H681+I681</f>
        <v>113693</v>
      </c>
      <c r="K681" s="28">
        <v>0</v>
      </c>
      <c r="L681" s="32">
        <v>0</v>
      </c>
      <c r="M681" s="35">
        <f>+J681+L681</f>
        <v>113693</v>
      </c>
      <c r="N681" s="28" t="s">
        <v>1308</v>
      </c>
      <c r="O681" s="29" t="s">
        <v>1309</v>
      </c>
      <c r="P681" s="36">
        <v>44819</v>
      </c>
      <c r="Q681" s="31">
        <v>34054.51</v>
      </c>
      <c r="R681" s="33">
        <f>+M681/Q681</f>
        <v>3.3385592686548708</v>
      </c>
    </row>
    <row r="682" spans="1:18" s="30" customFormat="1" ht="15" customHeight="1">
      <c r="A682" s="37" t="s">
        <v>293</v>
      </c>
      <c r="B682" s="26" t="s">
        <v>294</v>
      </c>
      <c r="C682" s="39">
        <v>615</v>
      </c>
      <c r="D682" s="40" t="s">
        <v>1320</v>
      </c>
      <c r="E682" s="38" t="s">
        <v>4</v>
      </c>
      <c r="F682" s="38" t="s">
        <v>13</v>
      </c>
      <c r="G682" s="32">
        <v>104708</v>
      </c>
      <c r="H682" s="32">
        <v>0</v>
      </c>
      <c r="I682" s="32">
        <v>1706540</v>
      </c>
      <c r="J682" s="35">
        <f>+G682-H682+I682</f>
        <v>1811248</v>
      </c>
      <c r="K682" s="28">
        <v>0</v>
      </c>
      <c r="L682" s="32">
        <v>0</v>
      </c>
      <c r="M682" s="35">
        <f>+J682+L682</f>
        <v>1811248</v>
      </c>
      <c r="N682" s="28" t="s">
        <v>1308</v>
      </c>
      <c r="O682" s="29" t="s">
        <v>1309</v>
      </c>
      <c r="P682" s="36">
        <v>44819</v>
      </c>
      <c r="Q682" s="31">
        <v>34054.51</v>
      </c>
      <c r="R682" s="33">
        <f>+M682/Q682</f>
        <v>53.186729158634201</v>
      </c>
    </row>
    <row r="683" spans="1:18" s="30" customFormat="1" ht="15" customHeight="1">
      <c r="A683" s="37" t="s">
        <v>293</v>
      </c>
      <c r="B683" s="26" t="s">
        <v>294</v>
      </c>
      <c r="C683" s="39">
        <v>613</v>
      </c>
      <c r="D683" s="40" t="s">
        <v>1321</v>
      </c>
      <c r="E683" s="38" t="s">
        <v>4</v>
      </c>
      <c r="F683" s="38" t="s">
        <v>1251</v>
      </c>
      <c r="G683" s="32">
        <v>0</v>
      </c>
      <c r="H683" s="32">
        <v>32303931</v>
      </c>
      <c r="I683" s="32">
        <v>97461718</v>
      </c>
      <c r="J683" s="35">
        <f>+G683-H683+I683</f>
        <v>65157787</v>
      </c>
      <c r="K683" s="28">
        <v>0</v>
      </c>
      <c r="L683" s="32">
        <v>0</v>
      </c>
      <c r="M683" s="35">
        <f>+J683+L683</f>
        <v>65157787</v>
      </c>
      <c r="N683" s="28" t="s">
        <v>1245</v>
      </c>
      <c r="O683" s="29" t="s">
        <v>1246</v>
      </c>
      <c r="P683" s="36">
        <v>44834</v>
      </c>
      <c r="Q683" s="31">
        <v>34258.230000000003</v>
      </c>
      <c r="R683" s="33">
        <f>+M683/Q683</f>
        <v>1901.9601129422038</v>
      </c>
    </row>
    <row r="684" spans="1:18" s="30" customFormat="1" ht="15" customHeight="1">
      <c r="A684" s="37" t="s">
        <v>293</v>
      </c>
      <c r="B684" s="26" t="s">
        <v>294</v>
      </c>
      <c r="C684" s="39">
        <v>610</v>
      </c>
      <c r="D684" s="40" t="s">
        <v>1322</v>
      </c>
      <c r="E684" s="38" t="s">
        <v>4</v>
      </c>
      <c r="F684" s="38" t="s">
        <v>15</v>
      </c>
      <c r="G684" s="32">
        <v>27832057</v>
      </c>
      <c r="H684" s="32">
        <v>3545868</v>
      </c>
      <c r="I684" s="32">
        <v>5303048</v>
      </c>
      <c r="J684" s="35">
        <f>+G684-H684+I684</f>
        <v>29589237</v>
      </c>
      <c r="K684" s="28">
        <v>0</v>
      </c>
      <c r="L684" s="32">
        <v>0</v>
      </c>
      <c r="M684" s="35">
        <f>+J684+L684</f>
        <v>29589237</v>
      </c>
      <c r="N684" s="28" t="s">
        <v>1308</v>
      </c>
      <c r="O684" s="29" t="s">
        <v>1309</v>
      </c>
      <c r="P684" s="36">
        <v>44819</v>
      </c>
      <c r="Q684" s="31">
        <v>34054.51</v>
      </c>
      <c r="R684" s="33">
        <f>+M684/Q684</f>
        <v>868.87865953731239</v>
      </c>
    </row>
    <row r="685" spans="1:18" s="30" customFormat="1" ht="15" customHeight="1">
      <c r="A685" s="37" t="s">
        <v>293</v>
      </c>
      <c r="B685" s="26" t="s">
        <v>294</v>
      </c>
      <c r="C685" s="39">
        <v>444</v>
      </c>
      <c r="D685" s="40" t="s">
        <v>1323</v>
      </c>
      <c r="E685" s="38" t="s">
        <v>3</v>
      </c>
      <c r="F685" s="38" t="s">
        <v>296</v>
      </c>
      <c r="G685" s="32">
        <v>315135</v>
      </c>
      <c r="H685" s="32">
        <v>0</v>
      </c>
      <c r="I685" s="52">
        <v>0</v>
      </c>
      <c r="J685" s="35">
        <f>+G685-H685+I685</f>
        <v>315135</v>
      </c>
      <c r="K685" s="27" t="s">
        <v>297</v>
      </c>
      <c r="L685" s="32">
        <v>0</v>
      </c>
      <c r="M685" s="35">
        <f>+J685+L685</f>
        <v>315135</v>
      </c>
      <c r="N685" s="55" t="s">
        <v>298</v>
      </c>
      <c r="O685" s="56" t="s">
        <v>299</v>
      </c>
      <c r="P685" s="56">
        <v>44502</v>
      </c>
      <c r="Q685" s="49">
        <v>30403.919999999998</v>
      </c>
      <c r="R685" s="57">
        <f>+M685/Q685</f>
        <v>10.364946362179614</v>
      </c>
    </row>
    <row r="686" spans="1:18" s="30" customFormat="1" ht="15" customHeight="1">
      <c r="A686" s="37" t="s">
        <v>293</v>
      </c>
      <c r="B686" s="26" t="s">
        <v>294</v>
      </c>
      <c r="C686" s="39">
        <v>604</v>
      </c>
      <c r="D686" s="40" t="s">
        <v>1324</v>
      </c>
      <c r="E686" s="38" t="s">
        <v>3</v>
      </c>
      <c r="F686" s="38" t="s">
        <v>12</v>
      </c>
      <c r="G686" s="32">
        <v>5752753</v>
      </c>
      <c r="H686" s="32">
        <v>0</v>
      </c>
      <c r="I686" s="32">
        <v>4740012</v>
      </c>
      <c r="J686" s="35">
        <f>+G686-H686+I686</f>
        <v>10492765</v>
      </c>
      <c r="K686" s="28">
        <v>0</v>
      </c>
      <c r="L686" s="32">
        <v>0</v>
      </c>
      <c r="M686" s="35">
        <f>+J686+L686</f>
        <v>10492765</v>
      </c>
      <c r="N686" s="55" t="s">
        <v>1325</v>
      </c>
      <c r="O686" s="56" t="s">
        <v>1326</v>
      </c>
      <c r="P686" s="56">
        <v>44746</v>
      </c>
      <c r="Q686" s="49">
        <v>33139.5</v>
      </c>
      <c r="R686" s="57">
        <f>+M686/Q686</f>
        <v>316.62411925345884</v>
      </c>
    </row>
    <row r="687" spans="1:18" s="30" customFormat="1" ht="15" customHeight="1">
      <c r="A687" s="37" t="s">
        <v>293</v>
      </c>
      <c r="B687" s="26" t="s">
        <v>294</v>
      </c>
      <c r="C687" s="39">
        <v>601</v>
      </c>
      <c r="D687" s="40" t="s">
        <v>1327</v>
      </c>
      <c r="E687" s="38" t="s">
        <v>3</v>
      </c>
      <c r="F687" s="38" t="s">
        <v>296</v>
      </c>
      <c r="G687" s="32">
        <v>1054352</v>
      </c>
      <c r="H687" s="32">
        <v>0</v>
      </c>
      <c r="I687" s="52">
        <v>0</v>
      </c>
      <c r="J687" s="35">
        <f>+G687-H687+I687</f>
        <v>1054352</v>
      </c>
      <c r="K687" s="28">
        <v>0</v>
      </c>
      <c r="L687" s="32">
        <v>0</v>
      </c>
      <c r="M687" s="35">
        <f>+J687+L687</f>
        <v>1054352</v>
      </c>
      <c r="N687" s="55" t="s">
        <v>1325</v>
      </c>
      <c r="O687" s="56" t="s">
        <v>1326</v>
      </c>
      <c r="P687" s="56">
        <v>44746</v>
      </c>
      <c r="Q687" s="49">
        <v>33139.5</v>
      </c>
      <c r="R687" s="57">
        <f>+M687/Q687</f>
        <v>31.815567525158798</v>
      </c>
    </row>
    <row r="688" spans="1:18" s="30" customFormat="1" ht="15" customHeight="1">
      <c r="A688" s="37" t="s">
        <v>293</v>
      </c>
      <c r="B688" s="26" t="s">
        <v>294</v>
      </c>
      <c r="C688" s="39">
        <v>598</v>
      </c>
      <c r="D688" s="40" t="s">
        <v>1328</v>
      </c>
      <c r="E688" s="38" t="s">
        <v>3</v>
      </c>
      <c r="F688" s="38" t="s">
        <v>12</v>
      </c>
      <c r="G688" s="32">
        <v>33429443</v>
      </c>
      <c r="H688" s="32">
        <v>22496993</v>
      </c>
      <c r="I688" s="32">
        <v>200253364</v>
      </c>
      <c r="J688" s="35">
        <f>+G688-H688+I688</f>
        <v>211185814</v>
      </c>
      <c r="K688" s="28">
        <v>0</v>
      </c>
      <c r="L688" s="32">
        <v>0</v>
      </c>
      <c r="M688" s="35">
        <f>+J688+L688</f>
        <v>211185814</v>
      </c>
      <c r="N688" s="28" t="s">
        <v>1255</v>
      </c>
      <c r="O688" s="29" t="s">
        <v>1256</v>
      </c>
      <c r="P688" s="36">
        <v>44845</v>
      </c>
      <c r="Q688" s="31">
        <v>34400.92</v>
      </c>
      <c r="R688" s="33">
        <f>+M688/Q688</f>
        <v>6138.9583185565971</v>
      </c>
    </row>
    <row r="689" spans="1:18" s="30" customFormat="1" ht="15" customHeight="1">
      <c r="A689" s="37" t="s">
        <v>293</v>
      </c>
      <c r="B689" s="26" t="s">
        <v>294</v>
      </c>
      <c r="C689" s="39">
        <v>595</v>
      </c>
      <c r="D689" s="40" t="s">
        <v>1329</v>
      </c>
      <c r="E689" s="38" t="s">
        <v>3</v>
      </c>
      <c r="F689" s="38" t="s">
        <v>678</v>
      </c>
      <c r="G689" s="32">
        <v>601902</v>
      </c>
      <c r="H689" s="32">
        <v>0</v>
      </c>
      <c r="I689" s="32">
        <v>5163628</v>
      </c>
      <c r="J689" s="35">
        <f>+G689-H689+I689</f>
        <v>5765530</v>
      </c>
      <c r="K689" s="28">
        <v>0</v>
      </c>
      <c r="L689" s="32">
        <v>0</v>
      </c>
      <c r="M689" s="35">
        <f>+J689+L689</f>
        <v>5765530</v>
      </c>
      <c r="N689" s="28" t="s">
        <v>1248</v>
      </c>
      <c r="O689" s="29" t="s">
        <v>1249</v>
      </c>
      <c r="P689" s="36">
        <v>44993</v>
      </c>
      <c r="Q689" s="31">
        <v>35590.620000000003</v>
      </c>
      <c r="R689" s="33">
        <f>+M689/Q689</f>
        <v>161.99577304357157</v>
      </c>
    </row>
    <row r="690" spans="1:18" s="30" customFormat="1" ht="15" customHeight="1">
      <c r="A690" s="37" t="s">
        <v>293</v>
      </c>
      <c r="B690" s="26" t="s">
        <v>294</v>
      </c>
      <c r="C690" s="39">
        <v>594</v>
      </c>
      <c r="D690" s="40" t="s">
        <v>1330</v>
      </c>
      <c r="E690" s="38" t="s">
        <v>4</v>
      </c>
      <c r="F690" s="38" t="s">
        <v>678</v>
      </c>
      <c r="G690" s="32">
        <v>3780926</v>
      </c>
      <c r="H690" s="32">
        <v>0</v>
      </c>
      <c r="I690" s="32">
        <v>354446</v>
      </c>
      <c r="J690" s="35">
        <f>+G690-H690+I690</f>
        <v>4135372</v>
      </c>
      <c r="K690" s="28">
        <v>0</v>
      </c>
      <c r="L690" s="32">
        <v>0</v>
      </c>
      <c r="M690" s="35">
        <f>+J690+L690</f>
        <v>4135372</v>
      </c>
      <c r="N690" s="55" t="s">
        <v>1325</v>
      </c>
      <c r="O690" s="56" t="s">
        <v>1326</v>
      </c>
      <c r="P690" s="56">
        <v>44746</v>
      </c>
      <c r="Q690" s="49">
        <v>33139.5</v>
      </c>
      <c r="R690" s="57">
        <f>+M690/Q690</f>
        <v>124.7867952141704</v>
      </c>
    </row>
    <row r="691" spans="1:18" s="30" customFormat="1" ht="15" customHeight="1">
      <c r="A691" s="37" t="s">
        <v>293</v>
      </c>
      <c r="B691" s="26" t="s">
        <v>294</v>
      </c>
      <c r="C691" s="39">
        <v>592</v>
      </c>
      <c r="D691" s="40" t="s">
        <v>1331</v>
      </c>
      <c r="E691" s="38" t="s">
        <v>4</v>
      </c>
      <c r="F691" s="38" t="s">
        <v>296</v>
      </c>
      <c r="G691" s="32">
        <v>4626338</v>
      </c>
      <c r="H691" s="32">
        <v>2222638</v>
      </c>
      <c r="I691" s="32">
        <v>3679340</v>
      </c>
      <c r="J691" s="35">
        <f>+G691-H691+I691</f>
        <v>6083040</v>
      </c>
      <c r="K691" s="28">
        <v>0</v>
      </c>
      <c r="L691" s="32">
        <v>0</v>
      </c>
      <c r="M691" s="35">
        <f>+J691+L691</f>
        <v>6083040</v>
      </c>
      <c r="N691" s="28" t="s">
        <v>1266</v>
      </c>
      <c r="O691" s="29" t="s">
        <v>1267</v>
      </c>
      <c r="P691" s="36">
        <v>44908</v>
      </c>
      <c r="Q691" s="31">
        <v>34908.71</v>
      </c>
      <c r="R691" s="33">
        <f>+M691/Q691</f>
        <v>174.25565138327943</v>
      </c>
    </row>
    <row r="692" spans="1:18" s="30" customFormat="1" ht="15" customHeight="1">
      <c r="A692" s="37" t="s">
        <v>293</v>
      </c>
      <c r="B692" s="26" t="s">
        <v>294</v>
      </c>
      <c r="C692" s="39">
        <v>588</v>
      </c>
      <c r="D692" s="40" t="s">
        <v>1332</v>
      </c>
      <c r="E692" s="38" t="s">
        <v>4</v>
      </c>
      <c r="F692" s="38" t="s">
        <v>12</v>
      </c>
      <c r="G692" s="32">
        <v>7697129</v>
      </c>
      <c r="H692" s="32">
        <v>0</v>
      </c>
      <c r="I692" s="32">
        <v>8091921</v>
      </c>
      <c r="J692" s="35">
        <f>+G692-H692+I692</f>
        <v>15789050</v>
      </c>
      <c r="K692" s="28">
        <v>0</v>
      </c>
      <c r="L692" s="32">
        <v>0</v>
      </c>
      <c r="M692" s="35">
        <f>+J692+L692</f>
        <v>15789050</v>
      </c>
      <c r="N692" s="28" t="s">
        <v>1266</v>
      </c>
      <c r="O692" s="29" t="s">
        <v>1267</v>
      </c>
      <c r="P692" s="36">
        <v>44908</v>
      </c>
      <c r="Q692" s="31">
        <v>34908.71</v>
      </c>
      <c r="R692" s="33">
        <f>+M692/Q692</f>
        <v>452.29542999440542</v>
      </c>
    </row>
    <row r="693" spans="1:18" s="30" customFormat="1" ht="15" customHeight="1">
      <c r="A693" s="37" t="s">
        <v>293</v>
      </c>
      <c r="B693" s="26" t="s">
        <v>294</v>
      </c>
      <c r="C693" s="39">
        <v>576</v>
      </c>
      <c r="D693" s="40" t="s">
        <v>1333</v>
      </c>
      <c r="E693" s="38" t="s">
        <v>3</v>
      </c>
      <c r="F693" s="38" t="s">
        <v>296</v>
      </c>
      <c r="G693" s="32">
        <v>6386853</v>
      </c>
      <c r="H693" s="32">
        <v>314730</v>
      </c>
      <c r="I693" s="32">
        <v>0</v>
      </c>
      <c r="J693" s="35">
        <f>+G693-H693+I693</f>
        <v>6072123</v>
      </c>
      <c r="K693" s="28">
        <v>0</v>
      </c>
      <c r="L693" s="32">
        <v>0</v>
      </c>
      <c r="M693" s="35">
        <f>+J693+L693</f>
        <v>6072123</v>
      </c>
      <c r="N693" s="28" t="s">
        <v>1255</v>
      </c>
      <c r="O693" s="29" t="s">
        <v>1256</v>
      </c>
      <c r="P693" s="36">
        <v>44845</v>
      </c>
      <c r="Q693" s="31">
        <v>34400.92</v>
      </c>
      <c r="R693" s="33">
        <f>+M693/Q693</f>
        <v>176.51048285917935</v>
      </c>
    </row>
    <row r="694" spans="1:18" s="30" customFormat="1" ht="15" customHeight="1">
      <c r="A694" s="37" t="s">
        <v>391</v>
      </c>
      <c r="B694" s="26" t="s">
        <v>392</v>
      </c>
      <c r="C694" s="39">
        <v>142</v>
      </c>
      <c r="D694" s="40" t="s">
        <v>1334</v>
      </c>
      <c r="E694" s="38" t="s">
        <v>3</v>
      </c>
      <c r="F694" s="38" t="s">
        <v>20</v>
      </c>
      <c r="G694" s="32">
        <v>331270</v>
      </c>
      <c r="H694" s="32">
        <v>0</v>
      </c>
      <c r="I694" s="52">
        <v>0</v>
      </c>
      <c r="J694" s="35">
        <f>+G694-H694+I694</f>
        <v>331270</v>
      </c>
      <c r="K694" s="27">
        <v>16</v>
      </c>
      <c r="L694" s="32">
        <v>0</v>
      </c>
      <c r="M694" s="35">
        <f>+J694+L694</f>
        <v>331270</v>
      </c>
      <c r="N694" s="28" t="s">
        <v>481</v>
      </c>
      <c r="O694" s="29" t="s">
        <v>482</v>
      </c>
      <c r="P694" s="36">
        <v>44130</v>
      </c>
      <c r="Q694" s="31">
        <v>28810.82</v>
      </c>
      <c r="R694" s="33">
        <f>M694/Q694</f>
        <v>11.498110779214198</v>
      </c>
    </row>
    <row r="695" spans="1:18" s="30" customFormat="1" ht="15" customHeight="1">
      <c r="A695" s="37" t="s">
        <v>293</v>
      </c>
      <c r="B695" s="26" t="s">
        <v>294</v>
      </c>
      <c r="C695" s="39">
        <v>570</v>
      </c>
      <c r="D695" s="40" t="s">
        <v>1335</v>
      </c>
      <c r="E695" s="38" t="s">
        <v>3</v>
      </c>
      <c r="F695" s="38" t="s">
        <v>11</v>
      </c>
      <c r="G695" s="32">
        <v>715837</v>
      </c>
      <c r="H695" s="32">
        <v>89313</v>
      </c>
      <c r="I695" s="52">
        <v>0</v>
      </c>
      <c r="J695" s="35">
        <f>+G695-H695+I695</f>
        <v>626524</v>
      </c>
      <c r="K695" s="28">
        <v>0</v>
      </c>
      <c r="L695" s="32">
        <v>0</v>
      </c>
      <c r="M695" s="35">
        <f>+J695+L695</f>
        <v>626524</v>
      </c>
      <c r="N695" s="55" t="s">
        <v>1336</v>
      </c>
      <c r="O695" s="56" t="s">
        <v>1337</v>
      </c>
      <c r="P695" s="56">
        <v>44484</v>
      </c>
      <c r="Q695" s="49">
        <v>30194.06</v>
      </c>
      <c r="R695" s="57">
        <f>M695/Q695</f>
        <v>20.749909088078912</v>
      </c>
    </row>
    <row r="696" spans="1:18" s="30" customFormat="1" ht="15" customHeight="1">
      <c r="A696" s="37" t="s">
        <v>293</v>
      </c>
      <c r="B696" s="26" t="s">
        <v>294</v>
      </c>
      <c r="C696" s="39">
        <v>568</v>
      </c>
      <c r="D696" s="40" t="s">
        <v>1338</v>
      </c>
      <c r="E696" s="38" t="s">
        <v>3</v>
      </c>
      <c r="F696" s="38" t="s">
        <v>11</v>
      </c>
      <c r="G696" s="32">
        <v>0</v>
      </c>
      <c r="H696" s="32">
        <v>0</v>
      </c>
      <c r="I696" s="32">
        <v>5938682</v>
      </c>
      <c r="J696" s="35">
        <f>+G696-H696+I696</f>
        <v>5938682</v>
      </c>
      <c r="K696" s="28">
        <v>0</v>
      </c>
      <c r="L696" s="32">
        <v>0</v>
      </c>
      <c r="M696" s="35">
        <f>+J696+L696</f>
        <v>5938682</v>
      </c>
      <c r="N696" s="55" t="s">
        <v>1336</v>
      </c>
      <c r="O696" s="56" t="s">
        <v>1337</v>
      </c>
      <c r="P696" s="56">
        <v>44484</v>
      </c>
      <c r="Q696" s="49">
        <v>30194.06</v>
      </c>
      <c r="R696" s="57">
        <f>M696/Q696</f>
        <v>196.68378482390244</v>
      </c>
    </row>
    <row r="697" spans="1:18" s="30" customFormat="1" ht="15" customHeight="1">
      <c r="A697" s="37" t="s">
        <v>293</v>
      </c>
      <c r="B697" s="26" t="s">
        <v>294</v>
      </c>
      <c r="C697" s="39">
        <v>566</v>
      </c>
      <c r="D697" s="40" t="s">
        <v>1339</v>
      </c>
      <c r="E697" s="38" t="s">
        <v>3</v>
      </c>
      <c r="F697" s="38" t="s">
        <v>18</v>
      </c>
      <c r="G697" s="32">
        <v>198028</v>
      </c>
      <c r="H697" s="32">
        <v>0</v>
      </c>
      <c r="I697" s="52">
        <v>0</v>
      </c>
      <c r="J697" s="35">
        <f>+G697-H697+I697</f>
        <v>198028</v>
      </c>
      <c r="K697" s="28">
        <v>0</v>
      </c>
      <c r="L697" s="32">
        <v>0</v>
      </c>
      <c r="M697" s="35">
        <f>+J697+L697</f>
        <v>198028</v>
      </c>
      <c r="N697" s="55" t="s">
        <v>1336</v>
      </c>
      <c r="O697" s="56" t="s">
        <v>1337</v>
      </c>
      <c r="P697" s="56">
        <v>44484</v>
      </c>
      <c r="Q697" s="49">
        <v>30194.06</v>
      </c>
      <c r="R697" s="57">
        <f>M697/Q697</f>
        <v>6.5585085278362696</v>
      </c>
    </row>
    <row r="698" spans="1:18" s="30" customFormat="1" ht="15" customHeight="1">
      <c r="A698" s="37" t="s">
        <v>293</v>
      </c>
      <c r="B698" s="26" t="s">
        <v>294</v>
      </c>
      <c r="C698" s="39">
        <v>565</v>
      </c>
      <c r="D698" s="40" t="s">
        <v>1340</v>
      </c>
      <c r="E698" s="38" t="s">
        <v>3</v>
      </c>
      <c r="F698" s="38" t="s">
        <v>15</v>
      </c>
      <c r="G698" s="32">
        <v>1771006</v>
      </c>
      <c r="H698" s="32">
        <v>0</v>
      </c>
      <c r="I698" s="32">
        <v>265827</v>
      </c>
      <c r="J698" s="35">
        <f>+G698-H698+I698</f>
        <v>2036833</v>
      </c>
      <c r="K698" s="28">
        <v>0</v>
      </c>
      <c r="L698" s="32">
        <v>0</v>
      </c>
      <c r="M698" s="35">
        <f>+J698+L698</f>
        <v>2036833</v>
      </c>
      <c r="N698" s="55" t="s">
        <v>1336</v>
      </c>
      <c r="O698" s="56" t="s">
        <v>1337</v>
      </c>
      <c r="P698" s="56">
        <v>44484</v>
      </c>
      <c r="Q698" s="49">
        <v>30194.06</v>
      </c>
      <c r="R698" s="57">
        <f>M698/Q698</f>
        <v>67.458069567325495</v>
      </c>
    </row>
    <row r="699" spans="1:18" s="30" customFormat="1" ht="15" customHeight="1">
      <c r="A699" s="37" t="s">
        <v>293</v>
      </c>
      <c r="B699" s="26" t="s">
        <v>294</v>
      </c>
      <c r="C699" s="39">
        <v>559</v>
      </c>
      <c r="D699" s="40" t="s">
        <v>1341</v>
      </c>
      <c r="E699" s="38" t="s">
        <v>3</v>
      </c>
      <c r="F699" s="38" t="s">
        <v>296</v>
      </c>
      <c r="G699" s="32">
        <v>0</v>
      </c>
      <c r="H699" s="32">
        <v>0</v>
      </c>
      <c r="I699" s="32">
        <v>20000</v>
      </c>
      <c r="J699" s="35">
        <f>+G699-H699+I699</f>
        <v>20000</v>
      </c>
      <c r="K699" s="28">
        <v>0</v>
      </c>
      <c r="L699" s="32">
        <v>0</v>
      </c>
      <c r="M699" s="35">
        <f>+J699+L699</f>
        <v>20000</v>
      </c>
      <c r="N699" s="28" t="s">
        <v>1248</v>
      </c>
      <c r="O699" s="29" t="s">
        <v>1249</v>
      </c>
      <c r="P699" s="36">
        <v>44993</v>
      </c>
      <c r="Q699" s="31">
        <v>35590.620000000003</v>
      </c>
      <c r="R699" s="33">
        <f>+M699/Q699</f>
        <v>0.56194581606052374</v>
      </c>
    </row>
    <row r="700" spans="1:18" s="30" customFormat="1" ht="15" customHeight="1">
      <c r="A700" s="37" t="s">
        <v>293</v>
      </c>
      <c r="B700" s="26" t="s">
        <v>294</v>
      </c>
      <c r="C700" s="39">
        <v>559</v>
      </c>
      <c r="D700" s="40" t="s">
        <v>1342</v>
      </c>
      <c r="E700" s="38" t="s">
        <v>3</v>
      </c>
      <c r="F700" s="38" t="s">
        <v>11</v>
      </c>
      <c r="G700" s="32">
        <v>0</v>
      </c>
      <c r="H700" s="32">
        <v>0</v>
      </c>
      <c r="I700" s="32">
        <v>3446597</v>
      </c>
      <c r="J700" s="35">
        <f>+G700-H700+I700</f>
        <v>3446597</v>
      </c>
      <c r="K700" s="28">
        <v>0</v>
      </c>
      <c r="L700" s="32">
        <v>0</v>
      </c>
      <c r="M700" s="35">
        <f>+J700+L700</f>
        <v>3446597</v>
      </c>
      <c r="N700" s="55" t="s">
        <v>1336</v>
      </c>
      <c r="O700" s="56" t="s">
        <v>1337</v>
      </c>
      <c r="P700" s="56">
        <v>44484</v>
      </c>
      <c r="Q700" s="49">
        <v>30194.06</v>
      </c>
      <c r="R700" s="57">
        <f>M700/Q700</f>
        <v>114.14818013874252</v>
      </c>
    </row>
    <row r="701" spans="1:18" s="30" customFormat="1" ht="15" customHeight="1">
      <c r="A701" s="37" t="s">
        <v>293</v>
      </c>
      <c r="B701" s="26" t="s">
        <v>294</v>
      </c>
      <c r="C701" s="39">
        <v>554</v>
      </c>
      <c r="D701" s="40" t="s">
        <v>1343</v>
      </c>
      <c r="E701" s="38" t="s">
        <v>3</v>
      </c>
      <c r="F701" s="38" t="s">
        <v>13</v>
      </c>
      <c r="G701" s="32">
        <v>545720</v>
      </c>
      <c r="H701" s="32">
        <v>0</v>
      </c>
      <c r="I701" s="32">
        <v>4880510</v>
      </c>
      <c r="J701" s="35">
        <f>+G701-H701+I701</f>
        <v>5426230</v>
      </c>
      <c r="K701" s="28">
        <v>0</v>
      </c>
      <c r="L701" s="32">
        <v>0</v>
      </c>
      <c r="M701" s="35">
        <f>+J701+L701</f>
        <v>5426230</v>
      </c>
      <c r="N701" s="55" t="s">
        <v>1336</v>
      </c>
      <c r="O701" s="56" t="s">
        <v>1337</v>
      </c>
      <c r="P701" s="56">
        <v>44484</v>
      </c>
      <c r="Q701" s="49">
        <v>30194.06</v>
      </c>
      <c r="R701" s="57">
        <f>M701/Q701</f>
        <v>179.71183736138829</v>
      </c>
    </row>
    <row r="702" spans="1:18" s="30" customFormat="1" ht="15" customHeight="1">
      <c r="A702" s="37" t="s">
        <v>293</v>
      </c>
      <c r="B702" s="26" t="s">
        <v>294</v>
      </c>
      <c r="C702" s="39">
        <v>553</v>
      </c>
      <c r="D702" s="40" t="s">
        <v>1344</v>
      </c>
      <c r="E702" s="38" t="s">
        <v>6</v>
      </c>
      <c r="F702" s="38" t="s">
        <v>20</v>
      </c>
      <c r="G702" s="32">
        <v>302448</v>
      </c>
      <c r="H702" s="32">
        <v>0</v>
      </c>
      <c r="I702" s="32">
        <v>199685</v>
      </c>
      <c r="J702" s="35">
        <f>+G702-H702+I702</f>
        <v>502133</v>
      </c>
      <c r="K702" s="28">
        <v>0</v>
      </c>
      <c r="L702" s="32">
        <v>0</v>
      </c>
      <c r="M702" s="35">
        <f>+J702+L702</f>
        <v>502133</v>
      </c>
      <c r="N702" s="55" t="s">
        <v>1336</v>
      </c>
      <c r="O702" s="56" t="s">
        <v>1337</v>
      </c>
      <c r="P702" s="56">
        <v>44484</v>
      </c>
      <c r="Q702" s="49">
        <v>30194.06</v>
      </c>
      <c r="R702" s="57">
        <f>M702/Q702</f>
        <v>16.630191501242297</v>
      </c>
    </row>
    <row r="703" spans="1:18" s="30" customFormat="1" ht="15" customHeight="1">
      <c r="A703" s="37" t="s">
        <v>293</v>
      </c>
      <c r="B703" s="26" t="s">
        <v>294</v>
      </c>
      <c r="C703" s="39">
        <v>550</v>
      </c>
      <c r="D703" s="40" t="s">
        <v>1345</v>
      </c>
      <c r="E703" s="38" t="s">
        <v>198</v>
      </c>
      <c r="F703" s="38" t="s">
        <v>13</v>
      </c>
      <c r="G703" s="32">
        <v>0</v>
      </c>
      <c r="H703" s="32">
        <v>0</v>
      </c>
      <c r="I703" s="32">
        <v>13244396</v>
      </c>
      <c r="J703" s="35">
        <f>+G703-H703+I703</f>
        <v>13244396</v>
      </c>
      <c r="K703" s="28">
        <v>0</v>
      </c>
      <c r="L703" s="32">
        <v>0</v>
      </c>
      <c r="M703" s="35">
        <f>+J703+L703</f>
        <v>13244396</v>
      </c>
      <c r="N703" s="55" t="s">
        <v>1336</v>
      </c>
      <c r="O703" s="56" t="s">
        <v>1337</v>
      </c>
      <c r="P703" s="56">
        <v>44484</v>
      </c>
      <c r="Q703" s="49">
        <v>30194.06</v>
      </c>
      <c r="R703" s="57">
        <f>M703/Q703</f>
        <v>438.64243496899718</v>
      </c>
    </row>
    <row r="704" spans="1:18" s="30" customFormat="1" ht="15" customHeight="1">
      <c r="A704" s="37" t="s">
        <v>293</v>
      </c>
      <c r="B704" s="26" t="s">
        <v>294</v>
      </c>
      <c r="C704" s="39">
        <v>544</v>
      </c>
      <c r="D704" s="40" t="s">
        <v>1346</v>
      </c>
      <c r="E704" s="38" t="s">
        <v>3</v>
      </c>
      <c r="F704" s="38" t="s">
        <v>20</v>
      </c>
      <c r="G704" s="32">
        <v>829714</v>
      </c>
      <c r="H704" s="32">
        <v>0</v>
      </c>
      <c r="I704" s="32">
        <v>2161865</v>
      </c>
      <c r="J704" s="35">
        <f>+G704-H704+I704</f>
        <v>2991579</v>
      </c>
      <c r="K704" s="28">
        <v>0</v>
      </c>
      <c r="L704" s="32">
        <v>0</v>
      </c>
      <c r="M704" s="35">
        <f>+J704+L704</f>
        <v>2991579</v>
      </c>
      <c r="N704" s="55" t="s">
        <v>1336</v>
      </c>
      <c r="O704" s="56" t="s">
        <v>1337</v>
      </c>
      <c r="P704" s="56">
        <v>44484</v>
      </c>
      <c r="Q704" s="49">
        <v>30194.06</v>
      </c>
      <c r="R704" s="57">
        <f>M704/Q704</f>
        <v>99.078394889590868</v>
      </c>
    </row>
    <row r="705" spans="1:18" s="30" customFormat="1" ht="15" customHeight="1">
      <c r="A705" s="37" t="s">
        <v>627</v>
      </c>
      <c r="B705" s="26" t="s">
        <v>1347</v>
      </c>
      <c r="C705" s="39">
        <v>2</v>
      </c>
      <c r="D705" s="40" t="s">
        <v>1348</v>
      </c>
      <c r="E705" s="38" t="s">
        <v>3</v>
      </c>
      <c r="F705" s="38" t="s">
        <v>11</v>
      </c>
      <c r="G705" s="32">
        <v>364140</v>
      </c>
      <c r="H705" s="32">
        <v>0</v>
      </c>
      <c r="I705" s="32">
        <v>0</v>
      </c>
      <c r="J705" s="35">
        <f>+G705-H705+I705</f>
        <v>364140</v>
      </c>
      <c r="K705" s="27">
        <v>7</v>
      </c>
      <c r="L705" s="32">
        <v>0</v>
      </c>
      <c r="M705" s="35">
        <f>+J705+L705</f>
        <v>364140</v>
      </c>
      <c r="N705" s="28" t="s">
        <v>1349</v>
      </c>
      <c r="O705" s="29" t="s">
        <v>1350</v>
      </c>
      <c r="P705" s="36">
        <v>44833</v>
      </c>
      <c r="Q705" s="31">
        <v>33806.17</v>
      </c>
      <c r="R705" s="33">
        <f>M705/Q705</f>
        <v>10.771406521353942</v>
      </c>
    </row>
    <row r="706" spans="1:18" s="30" customFormat="1" ht="15" customHeight="1">
      <c r="A706" s="37" t="s">
        <v>293</v>
      </c>
      <c r="B706" s="26" t="s">
        <v>294</v>
      </c>
      <c r="C706" s="39">
        <v>543</v>
      </c>
      <c r="D706" s="40" t="s">
        <v>1351</v>
      </c>
      <c r="E706" s="38" t="s">
        <v>4</v>
      </c>
      <c r="F706" s="38" t="s">
        <v>11</v>
      </c>
      <c r="G706" s="32">
        <v>31868</v>
      </c>
      <c r="H706" s="32">
        <v>0</v>
      </c>
      <c r="I706" s="32">
        <v>4552496</v>
      </c>
      <c r="J706" s="35">
        <f>+G706-H706+I706</f>
        <v>4584364</v>
      </c>
      <c r="K706" s="28">
        <v>0</v>
      </c>
      <c r="L706" s="32">
        <v>0</v>
      </c>
      <c r="M706" s="35">
        <f>+J706+L706</f>
        <v>4584364</v>
      </c>
      <c r="N706" s="55" t="s">
        <v>1336</v>
      </c>
      <c r="O706" s="56" t="s">
        <v>1337</v>
      </c>
      <c r="P706" s="56">
        <v>44484</v>
      </c>
      <c r="Q706" s="49">
        <v>30194.06</v>
      </c>
      <c r="R706" s="57">
        <f>M706/Q706</f>
        <v>151.8299957011412</v>
      </c>
    </row>
    <row r="707" spans="1:18" s="30" customFormat="1" ht="15" customHeight="1">
      <c r="A707" s="37" t="s">
        <v>293</v>
      </c>
      <c r="B707" s="26" t="s">
        <v>294</v>
      </c>
      <c r="C707" s="39">
        <v>539</v>
      </c>
      <c r="D707" s="40" t="s">
        <v>1352</v>
      </c>
      <c r="E707" s="38" t="s">
        <v>3</v>
      </c>
      <c r="F707" s="38" t="s">
        <v>11</v>
      </c>
      <c r="G707" s="32">
        <v>0</v>
      </c>
      <c r="H707" s="32">
        <v>0</v>
      </c>
      <c r="I707" s="32">
        <v>4296773</v>
      </c>
      <c r="J707" s="35">
        <f>+G707-H707+I707</f>
        <v>4296773</v>
      </c>
      <c r="K707" s="28">
        <v>0</v>
      </c>
      <c r="L707" s="32">
        <v>0</v>
      </c>
      <c r="M707" s="35">
        <f>+J707+L707</f>
        <v>4296773</v>
      </c>
      <c r="N707" s="55" t="s">
        <v>1336</v>
      </c>
      <c r="O707" s="56" t="s">
        <v>1337</v>
      </c>
      <c r="P707" s="56">
        <v>44484</v>
      </c>
      <c r="Q707" s="49">
        <v>30194.06</v>
      </c>
      <c r="R707" s="57">
        <f>M707/Q707</f>
        <v>142.30524149451912</v>
      </c>
    </row>
    <row r="708" spans="1:18" s="30" customFormat="1" ht="15" customHeight="1">
      <c r="A708" s="37" t="s">
        <v>293</v>
      </c>
      <c r="B708" s="26" t="s">
        <v>294</v>
      </c>
      <c r="C708" s="39">
        <v>531</v>
      </c>
      <c r="D708" s="40" t="s">
        <v>1353</v>
      </c>
      <c r="E708" s="38" t="s">
        <v>3</v>
      </c>
      <c r="F708" s="38" t="s">
        <v>15</v>
      </c>
      <c r="G708" s="32">
        <v>0</v>
      </c>
      <c r="H708" s="32">
        <v>0</v>
      </c>
      <c r="I708" s="32">
        <v>34600652</v>
      </c>
      <c r="J708" s="35">
        <f>+G708-H708+I708</f>
        <v>34600652</v>
      </c>
      <c r="K708" s="28">
        <v>0</v>
      </c>
      <c r="L708" s="32">
        <v>0</v>
      </c>
      <c r="M708" s="35">
        <f>+J708+L708</f>
        <v>34600652</v>
      </c>
      <c r="N708" s="28" t="s">
        <v>1354</v>
      </c>
      <c r="O708" s="29" t="s">
        <v>1355</v>
      </c>
      <c r="P708" s="36">
        <v>44335</v>
      </c>
      <c r="Q708" s="31">
        <v>29567.53</v>
      </c>
      <c r="R708" s="33">
        <f>M708/Q708</f>
        <v>1170.2246349289237</v>
      </c>
    </row>
    <row r="709" spans="1:18" s="30" customFormat="1" ht="15" customHeight="1">
      <c r="A709" s="37" t="s">
        <v>293</v>
      </c>
      <c r="B709" s="26" t="s">
        <v>294</v>
      </c>
      <c r="C709" s="39">
        <v>529</v>
      </c>
      <c r="D709" s="40" t="s">
        <v>1356</v>
      </c>
      <c r="E709" s="38" t="s">
        <v>3</v>
      </c>
      <c r="F709" s="38" t="s">
        <v>10</v>
      </c>
      <c r="G709" s="32">
        <v>182169</v>
      </c>
      <c r="H709" s="32">
        <v>0</v>
      </c>
      <c r="I709" s="32">
        <v>2087695</v>
      </c>
      <c r="J709" s="35">
        <f>+G709-H709+I709</f>
        <v>2269864</v>
      </c>
      <c r="K709" s="28">
        <v>0</v>
      </c>
      <c r="L709" s="32">
        <v>0</v>
      </c>
      <c r="M709" s="35">
        <f>+J709+L709</f>
        <v>2269864</v>
      </c>
      <c r="N709" s="28" t="s">
        <v>1354</v>
      </c>
      <c r="O709" s="29" t="s">
        <v>1355</v>
      </c>
      <c r="P709" s="36">
        <v>44335</v>
      </c>
      <c r="Q709" s="31">
        <v>29567.53</v>
      </c>
      <c r="R709" s="33">
        <f>M709/Q709</f>
        <v>76.768806863474907</v>
      </c>
    </row>
    <row r="710" spans="1:18" s="30" customFormat="1" ht="15" customHeight="1">
      <c r="A710" s="37" t="s">
        <v>293</v>
      </c>
      <c r="B710" s="26" t="s">
        <v>294</v>
      </c>
      <c r="C710" s="39">
        <v>527</v>
      </c>
      <c r="D710" s="40" t="s">
        <v>1357</v>
      </c>
      <c r="E710" s="38" t="s">
        <v>3</v>
      </c>
      <c r="F710" s="38" t="s">
        <v>12</v>
      </c>
      <c r="G710" s="32">
        <v>0</v>
      </c>
      <c r="H710" s="32">
        <v>0</v>
      </c>
      <c r="I710" s="32">
        <v>402097</v>
      </c>
      <c r="J710" s="35">
        <f>+G710-H710+I710</f>
        <v>402097</v>
      </c>
      <c r="K710" s="28">
        <v>0</v>
      </c>
      <c r="L710" s="32">
        <v>0</v>
      </c>
      <c r="M710" s="35">
        <f>+J710+L710</f>
        <v>402097</v>
      </c>
      <c r="N710" s="28" t="s">
        <v>1354</v>
      </c>
      <c r="O710" s="29" t="s">
        <v>1355</v>
      </c>
      <c r="P710" s="36">
        <v>44335</v>
      </c>
      <c r="Q710" s="31">
        <v>29567.53</v>
      </c>
      <c r="R710" s="33">
        <f>M710/Q710</f>
        <v>13.599275962516991</v>
      </c>
    </row>
    <row r="711" spans="1:18" s="30" customFormat="1" ht="15" customHeight="1">
      <c r="A711" s="37" t="s">
        <v>293</v>
      </c>
      <c r="B711" s="26" t="s">
        <v>294</v>
      </c>
      <c r="C711" s="39">
        <v>526</v>
      </c>
      <c r="D711" s="40" t="s">
        <v>1358</v>
      </c>
      <c r="E711" s="38" t="s">
        <v>3</v>
      </c>
      <c r="F711" s="38" t="s">
        <v>11</v>
      </c>
      <c r="G711" s="32">
        <v>1776145</v>
      </c>
      <c r="H711" s="32">
        <v>0</v>
      </c>
      <c r="I711" s="32">
        <v>4352145</v>
      </c>
      <c r="J711" s="35">
        <f>+G711-H711+I711</f>
        <v>6128290</v>
      </c>
      <c r="K711" s="28">
        <v>0</v>
      </c>
      <c r="L711" s="32">
        <v>0</v>
      </c>
      <c r="M711" s="35">
        <f>+J711+L711</f>
        <v>6128290</v>
      </c>
      <c r="N711" s="28" t="s">
        <v>1354</v>
      </c>
      <c r="O711" s="29" t="s">
        <v>1355</v>
      </c>
      <c r="P711" s="36">
        <v>44335</v>
      </c>
      <c r="Q711" s="31">
        <v>29567.53</v>
      </c>
      <c r="R711" s="33">
        <f>M711/Q711</f>
        <v>207.26418473237365</v>
      </c>
    </row>
    <row r="712" spans="1:18" s="30" customFormat="1" ht="15" customHeight="1">
      <c r="A712" s="37" t="s">
        <v>293</v>
      </c>
      <c r="B712" s="26" t="s">
        <v>294</v>
      </c>
      <c r="C712" s="39">
        <v>525</v>
      </c>
      <c r="D712" s="40" t="s">
        <v>1359</v>
      </c>
      <c r="E712" s="38" t="s">
        <v>3</v>
      </c>
      <c r="F712" s="38" t="s">
        <v>11</v>
      </c>
      <c r="G712" s="32">
        <v>2199656</v>
      </c>
      <c r="H712" s="32">
        <v>0</v>
      </c>
      <c r="I712" s="32">
        <v>201887</v>
      </c>
      <c r="J712" s="35">
        <f>+G712-H712+I712</f>
        <v>2401543</v>
      </c>
      <c r="K712" s="28">
        <v>0</v>
      </c>
      <c r="L712" s="32">
        <v>0</v>
      </c>
      <c r="M712" s="35">
        <f>+J712+L712</f>
        <v>2401543</v>
      </c>
      <c r="N712" s="28" t="s">
        <v>1354</v>
      </c>
      <c r="O712" s="29" t="s">
        <v>1355</v>
      </c>
      <c r="P712" s="36">
        <v>44335</v>
      </c>
      <c r="Q712" s="31">
        <v>29567.53</v>
      </c>
      <c r="R712" s="33">
        <f>M712/Q712</f>
        <v>81.222307037483347</v>
      </c>
    </row>
    <row r="713" spans="1:18" s="30" customFormat="1" ht="15" customHeight="1">
      <c r="A713" s="37" t="s">
        <v>293</v>
      </c>
      <c r="B713" s="26" t="s">
        <v>294</v>
      </c>
      <c r="C713" s="39">
        <v>524</v>
      </c>
      <c r="D713" s="40" t="s">
        <v>1360</v>
      </c>
      <c r="E713" s="38" t="s">
        <v>6</v>
      </c>
      <c r="F713" s="38" t="s">
        <v>11</v>
      </c>
      <c r="G713" s="32">
        <v>0</v>
      </c>
      <c r="H713" s="32">
        <v>0</v>
      </c>
      <c r="I713" s="32">
        <v>11746965</v>
      </c>
      <c r="J713" s="35">
        <f>+G713-H713+I713</f>
        <v>11746965</v>
      </c>
      <c r="K713" s="28">
        <v>0</v>
      </c>
      <c r="L713" s="32">
        <v>0</v>
      </c>
      <c r="M713" s="35">
        <f>+J713+L713</f>
        <v>11746965</v>
      </c>
      <c r="N713" s="55" t="s">
        <v>1336</v>
      </c>
      <c r="O713" s="56" t="s">
        <v>1337</v>
      </c>
      <c r="P713" s="56">
        <v>44484</v>
      </c>
      <c r="Q713" s="49">
        <v>30194.06</v>
      </c>
      <c r="R713" s="57">
        <f>M713/Q713</f>
        <v>389.04887252658301</v>
      </c>
    </row>
    <row r="714" spans="1:18" s="30" customFormat="1" ht="15" customHeight="1">
      <c r="A714" s="37" t="s">
        <v>293</v>
      </c>
      <c r="B714" s="26" t="s">
        <v>294</v>
      </c>
      <c r="C714" s="39">
        <v>521</v>
      </c>
      <c r="D714" s="40" t="s">
        <v>1361</v>
      </c>
      <c r="E714" s="38" t="s">
        <v>3</v>
      </c>
      <c r="F714" s="38" t="s">
        <v>296</v>
      </c>
      <c r="G714" s="32">
        <v>3555782</v>
      </c>
      <c r="H714" s="32">
        <v>2060497</v>
      </c>
      <c r="I714" s="32">
        <v>0</v>
      </c>
      <c r="J714" s="35">
        <f>+G714-H714+I714</f>
        <v>1495285</v>
      </c>
      <c r="K714" s="28">
        <v>0</v>
      </c>
      <c r="L714" s="32">
        <v>0</v>
      </c>
      <c r="M714" s="35">
        <f>+J714+L714</f>
        <v>1495285</v>
      </c>
      <c r="N714" s="28" t="s">
        <v>1255</v>
      </c>
      <c r="O714" s="29" t="s">
        <v>1256</v>
      </c>
      <c r="P714" s="36">
        <v>44845</v>
      </c>
      <c r="Q714" s="31">
        <v>34400.92</v>
      </c>
      <c r="R714" s="33">
        <f>+M714/Q714</f>
        <v>43.466424735152437</v>
      </c>
    </row>
    <row r="715" spans="1:18" s="30" customFormat="1" ht="15" customHeight="1">
      <c r="A715" s="37" t="s">
        <v>293</v>
      </c>
      <c r="B715" s="26" t="s">
        <v>294</v>
      </c>
      <c r="C715" s="39">
        <v>520</v>
      </c>
      <c r="D715" s="40" t="s">
        <v>1362</v>
      </c>
      <c r="E715" s="38" t="s">
        <v>3</v>
      </c>
      <c r="F715" s="38" t="s">
        <v>13</v>
      </c>
      <c r="G715" s="32">
        <v>2159778</v>
      </c>
      <c r="H715" s="32">
        <v>0</v>
      </c>
      <c r="I715" s="32">
        <v>3072086</v>
      </c>
      <c r="J715" s="35">
        <f>+G715-H715+I715</f>
        <v>5231864</v>
      </c>
      <c r="K715" s="28">
        <v>0</v>
      </c>
      <c r="L715" s="32">
        <v>0</v>
      </c>
      <c r="M715" s="35">
        <f>+J715+L715</f>
        <v>5231864</v>
      </c>
      <c r="N715" s="28" t="s">
        <v>1354</v>
      </c>
      <c r="O715" s="29" t="s">
        <v>1355</v>
      </c>
      <c r="P715" s="36">
        <v>44335</v>
      </c>
      <c r="Q715" s="31">
        <v>29567.53</v>
      </c>
      <c r="R715" s="33">
        <f>M715/Q715</f>
        <v>176.94626504141536</v>
      </c>
    </row>
    <row r="716" spans="1:18" s="30" customFormat="1" ht="15" customHeight="1">
      <c r="A716" s="37" t="s">
        <v>293</v>
      </c>
      <c r="B716" s="26" t="s">
        <v>294</v>
      </c>
      <c r="C716" s="39">
        <v>614</v>
      </c>
      <c r="D716" s="40" t="s">
        <v>1363</v>
      </c>
      <c r="E716" s="38" t="s">
        <v>3</v>
      </c>
      <c r="F716" s="38" t="s">
        <v>296</v>
      </c>
      <c r="G716" s="32">
        <v>412564</v>
      </c>
      <c r="H716" s="32">
        <v>0</v>
      </c>
      <c r="I716" s="52">
        <v>0</v>
      </c>
      <c r="J716" s="35">
        <f>+G716-H716+I716</f>
        <v>412564</v>
      </c>
      <c r="K716" s="27" t="s">
        <v>401</v>
      </c>
      <c r="L716" s="32">
        <v>0</v>
      </c>
      <c r="M716" s="35">
        <f>+J716+L716</f>
        <v>412564</v>
      </c>
      <c r="N716" s="55" t="s">
        <v>402</v>
      </c>
      <c r="O716" s="56" t="s">
        <v>403</v>
      </c>
      <c r="P716" s="56">
        <v>44524</v>
      </c>
      <c r="Q716" s="49">
        <v>30683.439999999999</v>
      </c>
      <c r="R716" s="57">
        <f>+M716/Q716</f>
        <v>13.445819634304367</v>
      </c>
    </row>
    <row r="717" spans="1:18" s="30" customFormat="1" ht="15" customHeight="1">
      <c r="A717" s="37" t="s">
        <v>293</v>
      </c>
      <c r="B717" s="26" t="s">
        <v>294</v>
      </c>
      <c r="C717" s="39">
        <v>517</v>
      </c>
      <c r="D717" s="40" t="s">
        <v>1364</v>
      </c>
      <c r="E717" s="38" t="s">
        <v>4</v>
      </c>
      <c r="F717" s="38" t="s">
        <v>20</v>
      </c>
      <c r="G717" s="32">
        <v>0</v>
      </c>
      <c r="H717" s="32">
        <v>0</v>
      </c>
      <c r="I717" s="32">
        <v>145513</v>
      </c>
      <c r="J717" s="35">
        <f>+G717-H717+I717</f>
        <v>145513</v>
      </c>
      <c r="K717" s="28">
        <v>0</v>
      </c>
      <c r="L717" s="32">
        <v>0</v>
      </c>
      <c r="M717" s="35">
        <f>+J717+L717</f>
        <v>145513</v>
      </c>
      <c r="N717" s="28" t="s">
        <v>1354</v>
      </c>
      <c r="O717" s="29" t="s">
        <v>1355</v>
      </c>
      <c r="P717" s="36">
        <v>44335</v>
      </c>
      <c r="Q717" s="31">
        <v>29567.53</v>
      </c>
      <c r="R717" s="33">
        <f>M717/Q717</f>
        <v>4.9213782821899565</v>
      </c>
    </row>
    <row r="718" spans="1:18" s="30" customFormat="1" ht="15" customHeight="1">
      <c r="A718" s="37" t="s">
        <v>293</v>
      </c>
      <c r="B718" s="26" t="s">
        <v>294</v>
      </c>
      <c r="C718" s="39">
        <v>516</v>
      </c>
      <c r="D718" s="40" t="s">
        <v>1365</v>
      </c>
      <c r="E718" s="38" t="s">
        <v>3</v>
      </c>
      <c r="F718" s="38" t="s">
        <v>296</v>
      </c>
      <c r="G718" s="32">
        <v>6511759</v>
      </c>
      <c r="H718" s="32">
        <v>1198911</v>
      </c>
      <c r="I718" s="32">
        <v>0</v>
      </c>
      <c r="J718" s="35">
        <f>+G718-H718+I718</f>
        <v>5312848</v>
      </c>
      <c r="K718" s="28">
        <v>0</v>
      </c>
      <c r="L718" s="32">
        <v>0</v>
      </c>
      <c r="M718" s="35">
        <f>+J718+L718</f>
        <v>5312848</v>
      </c>
      <c r="N718" s="28" t="s">
        <v>1255</v>
      </c>
      <c r="O718" s="29" t="s">
        <v>1256</v>
      </c>
      <c r="P718" s="36">
        <v>44845</v>
      </c>
      <c r="Q718" s="31">
        <v>34400.92</v>
      </c>
      <c r="R718" s="33">
        <f>+M718/Q718</f>
        <v>154.43912546524919</v>
      </c>
    </row>
    <row r="719" spans="1:18" s="30" customFormat="1" ht="15" customHeight="1">
      <c r="A719" s="37" t="s">
        <v>293</v>
      </c>
      <c r="B719" s="26" t="s">
        <v>294</v>
      </c>
      <c r="C719" s="39">
        <v>511</v>
      </c>
      <c r="D719" s="40" t="s">
        <v>1366</v>
      </c>
      <c r="E719" s="38" t="s">
        <v>3</v>
      </c>
      <c r="F719" s="38" t="s">
        <v>12</v>
      </c>
      <c r="G719" s="32">
        <v>8910090</v>
      </c>
      <c r="H719" s="32">
        <v>2109007</v>
      </c>
      <c r="I719" s="52">
        <v>0</v>
      </c>
      <c r="J719" s="35">
        <f>+G719-H719+I719</f>
        <v>6801083</v>
      </c>
      <c r="K719" s="28">
        <v>0</v>
      </c>
      <c r="L719" s="32">
        <v>0</v>
      </c>
      <c r="M719" s="35">
        <f>+J719+L719</f>
        <v>6801083</v>
      </c>
      <c r="N719" s="28" t="s">
        <v>1354</v>
      </c>
      <c r="O719" s="29" t="s">
        <v>1355</v>
      </c>
      <c r="P719" s="36">
        <v>44335</v>
      </c>
      <c r="Q719" s="31">
        <v>29567.53</v>
      </c>
      <c r="R719" s="33">
        <f>M719/Q719</f>
        <v>230.0186386891296</v>
      </c>
    </row>
    <row r="720" spans="1:18" s="30" customFormat="1" ht="15" customHeight="1">
      <c r="A720" s="37" t="s">
        <v>293</v>
      </c>
      <c r="B720" s="26" t="s">
        <v>294</v>
      </c>
      <c r="C720" s="39">
        <v>510</v>
      </c>
      <c r="D720" s="40" t="s">
        <v>1367</v>
      </c>
      <c r="E720" s="38" t="s">
        <v>4</v>
      </c>
      <c r="F720" s="38" t="s">
        <v>12</v>
      </c>
      <c r="G720" s="32">
        <v>15647978</v>
      </c>
      <c r="H720" s="32">
        <v>2637893</v>
      </c>
      <c r="I720" s="32">
        <v>786218</v>
      </c>
      <c r="J720" s="35">
        <f>+G720-H720+I720</f>
        <v>13796303</v>
      </c>
      <c r="K720" s="28">
        <v>0</v>
      </c>
      <c r="L720" s="32">
        <v>0</v>
      </c>
      <c r="M720" s="35">
        <f>+J720+L720</f>
        <v>13796303</v>
      </c>
      <c r="N720" s="55" t="s">
        <v>1336</v>
      </c>
      <c r="O720" s="56" t="s">
        <v>1337</v>
      </c>
      <c r="P720" s="56">
        <v>44484</v>
      </c>
      <c r="Q720" s="49">
        <v>30194.06</v>
      </c>
      <c r="R720" s="57">
        <f>M720/Q720</f>
        <v>456.92109640108021</v>
      </c>
    </row>
    <row r="721" spans="1:18" s="30" customFormat="1" ht="15" customHeight="1">
      <c r="A721" s="37" t="s">
        <v>293</v>
      </c>
      <c r="B721" s="26" t="s">
        <v>294</v>
      </c>
      <c r="C721" s="39">
        <v>503</v>
      </c>
      <c r="D721" s="40" t="s">
        <v>1368</v>
      </c>
      <c r="E721" s="38" t="s">
        <v>4</v>
      </c>
      <c r="F721" s="38" t="s">
        <v>678</v>
      </c>
      <c r="G721" s="32">
        <v>5264004</v>
      </c>
      <c r="H721" s="32">
        <v>49452735</v>
      </c>
      <c r="I721" s="32">
        <v>19808398</v>
      </c>
      <c r="J721" s="35">
        <f>+G721-H721+I721</f>
        <v>-24380333</v>
      </c>
      <c r="K721" s="28">
        <v>0</v>
      </c>
      <c r="L721" s="32">
        <v>0</v>
      </c>
      <c r="M721" s="35">
        <f>+J721+L721</f>
        <v>-24380333</v>
      </c>
      <c r="N721" s="55" t="s">
        <v>298</v>
      </c>
      <c r="O721" s="56" t="s">
        <v>299</v>
      </c>
      <c r="P721" s="56">
        <v>44502</v>
      </c>
      <c r="Q721" s="49">
        <v>30403.919999999998</v>
      </c>
      <c r="R721" s="57">
        <f>+M721/Q721</f>
        <v>-801.88123768250944</v>
      </c>
    </row>
    <row r="722" spans="1:18" s="30" customFormat="1" ht="15" customHeight="1">
      <c r="A722" s="37" t="s">
        <v>293</v>
      </c>
      <c r="B722" s="26" t="s">
        <v>294</v>
      </c>
      <c r="C722" s="39">
        <v>500</v>
      </c>
      <c r="D722" s="40" t="s">
        <v>1369</v>
      </c>
      <c r="E722" s="38" t="s">
        <v>3</v>
      </c>
      <c r="F722" s="38" t="s">
        <v>15</v>
      </c>
      <c r="G722" s="32">
        <v>0</v>
      </c>
      <c r="H722" s="32">
        <v>132758</v>
      </c>
      <c r="I722" s="32">
        <v>4105300</v>
      </c>
      <c r="J722" s="35">
        <f>+G722-H722+I722</f>
        <v>3972542</v>
      </c>
      <c r="K722" s="28">
        <v>0</v>
      </c>
      <c r="L722" s="32">
        <v>0</v>
      </c>
      <c r="M722" s="35">
        <f>+J722+L722</f>
        <v>3972542</v>
      </c>
      <c r="N722" s="55" t="s">
        <v>1336</v>
      </c>
      <c r="O722" s="56" t="s">
        <v>1337</v>
      </c>
      <c r="P722" s="56">
        <v>44484</v>
      </c>
      <c r="Q722" s="49">
        <v>30194.06</v>
      </c>
      <c r="R722" s="57">
        <f>M722/Q722</f>
        <v>131.56700357620008</v>
      </c>
    </row>
    <row r="723" spans="1:18" s="30" customFormat="1" ht="15" customHeight="1">
      <c r="A723" s="37" t="s">
        <v>293</v>
      </c>
      <c r="B723" s="26" t="s">
        <v>294</v>
      </c>
      <c r="C723" s="39">
        <v>496</v>
      </c>
      <c r="D723" s="40" t="s">
        <v>1370</v>
      </c>
      <c r="E723" s="38" t="s">
        <v>3</v>
      </c>
      <c r="F723" s="38" t="s">
        <v>11</v>
      </c>
      <c r="G723" s="32">
        <v>6006696</v>
      </c>
      <c r="H723" s="32">
        <v>2285193</v>
      </c>
      <c r="I723" s="32">
        <v>593690</v>
      </c>
      <c r="J723" s="35">
        <f>+G723-H723+I723</f>
        <v>4315193</v>
      </c>
      <c r="K723" s="28">
        <v>0</v>
      </c>
      <c r="L723" s="32">
        <v>0</v>
      </c>
      <c r="M723" s="35">
        <f>+J723+L723</f>
        <v>4315193</v>
      </c>
      <c r="N723" s="28" t="s">
        <v>1354</v>
      </c>
      <c r="O723" s="29" t="s">
        <v>1355</v>
      </c>
      <c r="P723" s="36">
        <v>44335</v>
      </c>
      <c r="Q723" s="31">
        <v>29567.53</v>
      </c>
      <c r="R723" s="33">
        <f>M723/Q723</f>
        <v>145.94364155544952</v>
      </c>
    </row>
    <row r="724" spans="1:18" s="30" customFormat="1" ht="15" customHeight="1">
      <c r="A724" s="37" t="s">
        <v>293</v>
      </c>
      <c r="B724" s="26" t="s">
        <v>294</v>
      </c>
      <c r="C724" s="39">
        <v>495</v>
      </c>
      <c r="D724" s="40" t="s">
        <v>1371</v>
      </c>
      <c r="E724" s="38" t="s">
        <v>198</v>
      </c>
      <c r="F724" s="38" t="s">
        <v>11</v>
      </c>
      <c r="G724" s="32">
        <v>1128571</v>
      </c>
      <c r="H724" s="32">
        <v>54639394</v>
      </c>
      <c r="I724" s="32">
        <v>55698833</v>
      </c>
      <c r="J724" s="35">
        <f>+G724-H724+I724</f>
        <v>2188010</v>
      </c>
      <c r="K724" s="28">
        <v>0</v>
      </c>
      <c r="L724" s="32">
        <v>0</v>
      </c>
      <c r="M724" s="35">
        <f>+J724+L724</f>
        <v>2188010</v>
      </c>
      <c r="N724" s="28" t="s">
        <v>1354</v>
      </c>
      <c r="O724" s="29" t="s">
        <v>1355</v>
      </c>
      <c r="P724" s="36">
        <v>44335</v>
      </c>
      <c r="Q724" s="31">
        <v>29567.53</v>
      </c>
      <c r="R724" s="33">
        <f>M724/Q724</f>
        <v>74.000432230896536</v>
      </c>
    </row>
    <row r="725" spans="1:18" s="30" customFormat="1" ht="15" customHeight="1">
      <c r="A725" s="37" t="s">
        <v>293</v>
      </c>
      <c r="B725" s="26" t="s">
        <v>294</v>
      </c>
      <c r="C725" s="39">
        <v>483</v>
      </c>
      <c r="D725" s="40" t="s">
        <v>1372</v>
      </c>
      <c r="E725" s="38" t="s">
        <v>4</v>
      </c>
      <c r="F725" s="38" t="s">
        <v>11</v>
      </c>
      <c r="G725" s="32">
        <v>0</v>
      </c>
      <c r="H725" s="32">
        <v>62086397</v>
      </c>
      <c r="I725" s="52">
        <v>0</v>
      </c>
      <c r="J725" s="35">
        <f>+G725-H725+I725</f>
        <v>-62086397</v>
      </c>
      <c r="K725" s="28">
        <v>0</v>
      </c>
      <c r="L725" s="32">
        <v>0</v>
      </c>
      <c r="M725" s="35">
        <f>+J725+L725</f>
        <v>-62086397</v>
      </c>
      <c r="N725" s="28" t="s">
        <v>1354</v>
      </c>
      <c r="O725" s="29" t="s">
        <v>1355</v>
      </c>
      <c r="P725" s="36">
        <v>44335</v>
      </c>
      <c r="Q725" s="31">
        <v>29567.53</v>
      </c>
      <c r="R725" s="33">
        <f>M725/Q725</f>
        <v>-2099.8168260926768</v>
      </c>
    </row>
    <row r="726" spans="1:18" s="30" customFormat="1" ht="15" customHeight="1">
      <c r="A726" s="37" t="s">
        <v>293</v>
      </c>
      <c r="B726" s="26" t="s">
        <v>294</v>
      </c>
      <c r="C726" s="39">
        <v>482</v>
      </c>
      <c r="D726" s="40" t="s">
        <v>1373</v>
      </c>
      <c r="E726" s="38" t="s">
        <v>4</v>
      </c>
      <c r="F726" s="38" t="s">
        <v>17</v>
      </c>
      <c r="G726" s="32">
        <v>1398880</v>
      </c>
      <c r="H726" s="32">
        <v>2178480</v>
      </c>
      <c r="I726" s="32">
        <v>4547253</v>
      </c>
      <c r="J726" s="35">
        <f>+G726-H726+I726</f>
        <v>3767653</v>
      </c>
      <c r="K726" s="28">
        <v>0</v>
      </c>
      <c r="L726" s="32">
        <v>0</v>
      </c>
      <c r="M726" s="35">
        <f>+J726+L726</f>
        <v>3767653</v>
      </c>
      <c r="N726" s="28" t="s">
        <v>1354</v>
      </c>
      <c r="O726" s="29" t="s">
        <v>1355</v>
      </c>
      <c r="P726" s="36">
        <v>44335</v>
      </c>
      <c r="Q726" s="31">
        <v>29567.53</v>
      </c>
      <c r="R726" s="33">
        <f>M726/Q726</f>
        <v>127.42535477261713</v>
      </c>
    </row>
    <row r="727" spans="1:18" s="30" customFormat="1" ht="15" customHeight="1">
      <c r="A727" s="37" t="s">
        <v>293</v>
      </c>
      <c r="B727" s="26" t="s">
        <v>294</v>
      </c>
      <c r="C727" s="39">
        <v>481</v>
      </c>
      <c r="D727" s="40" t="s">
        <v>1374</v>
      </c>
      <c r="E727" s="38" t="s">
        <v>3</v>
      </c>
      <c r="F727" s="38" t="s">
        <v>11</v>
      </c>
      <c r="G727" s="32">
        <v>0</v>
      </c>
      <c r="H727" s="32">
        <v>3087317</v>
      </c>
      <c r="I727" s="52">
        <v>0</v>
      </c>
      <c r="J727" s="35">
        <f>+G727-H727+I727</f>
        <v>-3087317</v>
      </c>
      <c r="K727" s="28">
        <v>0</v>
      </c>
      <c r="L727" s="32">
        <v>0</v>
      </c>
      <c r="M727" s="35">
        <f>+J727+L727</f>
        <v>-3087317</v>
      </c>
      <c r="N727" s="28" t="s">
        <v>1354</v>
      </c>
      <c r="O727" s="29" t="s">
        <v>1355</v>
      </c>
      <c r="P727" s="36">
        <v>44335</v>
      </c>
      <c r="Q727" s="31">
        <v>29567.53</v>
      </c>
      <c r="R727" s="33">
        <f>M727/Q727</f>
        <v>-104.41578988843506</v>
      </c>
    </row>
    <row r="728" spans="1:18" s="30" customFormat="1" ht="15" customHeight="1">
      <c r="A728" s="37" t="s">
        <v>293</v>
      </c>
      <c r="B728" s="26" t="s">
        <v>294</v>
      </c>
      <c r="C728" s="39">
        <v>480</v>
      </c>
      <c r="D728" s="40" t="s">
        <v>1375</v>
      </c>
      <c r="E728" s="38" t="s">
        <v>3</v>
      </c>
      <c r="F728" s="38" t="s">
        <v>12</v>
      </c>
      <c r="G728" s="32">
        <v>7632675</v>
      </c>
      <c r="H728" s="32">
        <v>0</v>
      </c>
      <c r="I728" s="32">
        <v>2133481</v>
      </c>
      <c r="J728" s="35">
        <f>+G728-H728+I728</f>
        <v>9766156</v>
      </c>
      <c r="K728" s="28">
        <v>0</v>
      </c>
      <c r="L728" s="32">
        <v>0</v>
      </c>
      <c r="M728" s="35">
        <f>+J728+L728</f>
        <v>9766156</v>
      </c>
      <c r="N728" s="28" t="s">
        <v>1354</v>
      </c>
      <c r="O728" s="29" t="s">
        <v>1355</v>
      </c>
      <c r="P728" s="36">
        <v>44335</v>
      </c>
      <c r="Q728" s="31">
        <v>29567.53</v>
      </c>
      <c r="R728" s="33">
        <f>M728/Q728</f>
        <v>330.30002844336337</v>
      </c>
    </row>
    <row r="729" spans="1:18" s="30" customFormat="1" ht="15" customHeight="1">
      <c r="A729" s="37" t="s">
        <v>293</v>
      </c>
      <c r="B729" s="26" t="s">
        <v>294</v>
      </c>
      <c r="C729" s="39">
        <v>479</v>
      </c>
      <c r="D729" s="40" t="s">
        <v>1376</v>
      </c>
      <c r="E729" s="38" t="s">
        <v>3</v>
      </c>
      <c r="F729" s="38" t="s">
        <v>15</v>
      </c>
      <c r="G729" s="32">
        <v>10931538</v>
      </c>
      <c r="H729" s="32">
        <v>0</v>
      </c>
      <c r="I729" s="52">
        <v>0</v>
      </c>
      <c r="J729" s="35">
        <f>+G729-H729+I729</f>
        <v>10931538</v>
      </c>
      <c r="K729" s="28">
        <v>0</v>
      </c>
      <c r="L729" s="32">
        <v>0</v>
      </c>
      <c r="M729" s="35">
        <f>+J729+L729</f>
        <v>10931538</v>
      </c>
      <c r="N729" s="28" t="s">
        <v>1377</v>
      </c>
      <c r="O729" s="29" t="s">
        <v>1378</v>
      </c>
      <c r="P729" s="36" t="s">
        <v>1379</v>
      </c>
      <c r="Q729" s="31">
        <v>30683.439999999999</v>
      </c>
      <c r="R729" s="33">
        <f>+M729/Q729</f>
        <v>356.26833236429815</v>
      </c>
    </row>
    <row r="730" spans="1:18" s="30" customFormat="1" ht="15" customHeight="1">
      <c r="A730" s="37" t="s">
        <v>293</v>
      </c>
      <c r="B730" s="26" t="s">
        <v>294</v>
      </c>
      <c r="C730" s="39">
        <v>477</v>
      </c>
      <c r="D730" s="40" t="s">
        <v>1380</v>
      </c>
      <c r="E730" s="38" t="s">
        <v>3</v>
      </c>
      <c r="F730" s="38" t="s">
        <v>15</v>
      </c>
      <c r="G730" s="32">
        <v>58310052</v>
      </c>
      <c r="H730" s="32">
        <v>15455928</v>
      </c>
      <c r="I730" s="32">
        <v>37930206</v>
      </c>
      <c r="J730" s="35">
        <f>+G730-H730+I730</f>
        <v>80784330</v>
      </c>
      <c r="K730" s="28">
        <v>0</v>
      </c>
      <c r="L730" s="32">
        <v>0</v>
      </c>
      <c r="M730" s="35">
        <f>+J730+L730</f>
        <v>80784330</v>
      </c>
      <c r="N730" s="55" t="s">
        <v>1336</v>
      </c>
      <c r="O730" s="56" t="s">
        <v>1337</v>
      </c>
      <c r="P730" s="56">
        <v>44484</v>
      </c>
      <c r="Q730" s="49">
        <v>30194.06</v>
      </c>
      <c r="R730" s="57">
        <f>M730/Q730</f>
        <v>2675.5040560958014</v>
      </c>
    </row>
    <row r="731" spans="1:18" s="30" customFormat="1" ht="15" customHeight="1">
      <c r="A731" s="37" t="s">
        <v>293</v>
      </c>
      <c r="B731" s="26" t="s">
        <v>294</v>
      </c>
      <c r="C731" s="39">
        <v>475</v>
      </c>
      <c r="D731" s="40" t="s">
        <v>1381</v>
      </c>
      <c r="E731" s="38" t="s">
        <v>3</v>
      </c>
      <c r="F731" s="38" t="s">
        <v>12</v>
      </c>
      <c r="G731" s="32">
        <v>3810120</v>
      </c>
      <c r="H731" s="32">
        <v>0</v>
      </c>
      <c r="I731" s="52">
        <v>0</v>
      </c>
      <c r="J731" s="35">
        <f>+G731-H731+I731</f>
        <v>3810120</v>
      </c>
      <c r="K731" s="28">
        <v>0</v>
      </c>
      <c r="L731" s="32">
        <v>0</v>
      </c>
      <c r="M731" s="35">
        <f>+J731+L731</f>
        <v>3810120</v>
      </c>
      <c r="N731" s="28" t="s">
        <v>1354</v>
      </c>
      <c r="O731" s="29" t="s">
        <v>1355</v>
      </c>
      <c r="P731" s="36">
        <v>44335</v>
      </c>
      <c r="Q731" s="31">
        <v>29567.53</v>
      </c>
      <c r="R731" s="33">
        <f>M731/Q731</f>
        <v>128.86162625014671</v>
      </c>
    </row>
    <row r="732" spans="1:18" s="30" customFormat="1" ht="15" customHeight="1">
      <c r="A732" s="37" t="s">
        <v>293</v>
      </c>
      <c r="B732" s="26" t="s">
        <v>294</v>
      </c>
      <c r="C732" s="39">
        <v>474</v>
      </c>
      <c r="D732" s="40" t="s">
        <v>1382</v>
      </c>
      <c r="E732" s="38" t="s">
        <v>4</v>
      </c>
      <c r="F732" s="38" t="s">
        <v>17</v>
      </c>
      <c r="G732" s="32">
        <v>8137300</v>
      </c>
      <c r="H732" s="32">
        <v>0</v>
      </c>
      <c r="I732" s="32">
        <v>3287573</v>
      </c>
      <c r="J732" s="35">
        <f>+G732-H732+I732</f>
        <v>11424873</v>
      </c>
      <c r="K732" s="28">
        <v>0</v>
      </c>
      <c r="L732" s="32">
        <v>0</v>
      </c>
      <c r="M732" s="35">
        <f>+J732+L732</f>
        <v>11424873</v>
      </c>
      <c r="N732" s="28" t="s">
        <v>1354</v>
      </c>
      <c r="O732" s="29" t="s">
        <v>1355</v>
      </c>
      <c r="P732" s="36">
        <v>44335</v>
      </c>
      <c r="Q732" s="31">
        <v>29567.53</v>
      </c>
      <c r="R732" s="33">
        <f>M732/Q732</f>
        <v>386.39930356035831</v>
      </c>
    </row>
    <row r="733" spans="1:18" s="30" customFormat="1" ht="15" customHeight="1">
      <c r="A733" s="37" t="s">
        <v>293</v>
      </c>
      <c r="B733" s="26" t="s">
        <v>294</v>
      </c>
      <c r="C733" s="39">
        <v>470</v>
      </c>
      <c r="D733" s="40" t="s">
        <v>1383</v>
      </c>
      <c r="E733" s="38" t="s">
        <v>4</v>
      </c>
      <c r="F733" s="38" t="s">
        <v>11</v>
      </c>
      <c r="G733" s="32">
        <v>0</v>
      </c>
      <c r="H733" s="32">
        <v>0</v>
      </c>
      <c r="I733" s="32">
        <v>785354</v>
      </c>
      <c r="J733" s="35">
        <f>+G733-H733+I733</f>
        <v>785354</v>
      </c>
      <c r="K733" s="28">
        <v>0</v>
      </c>
      <c r="L733" s="32">
        <v>0</v>
      </c>
      <c r="M733" s="35">
        <f>+J733+L733</f>
        <v>785354</v>
      </c>
      <c r="N733" s="55" t="s">
        <v>1336</v>
      </c>
      <c r="O733" s="56" t="s">
        <v>1337</v>
      </c>
      <c r="P733" s="56">
        <v>44484</v>
      </c>
      <c r="Q733" s="49">
        <v>30194.06</v>
      </c>
      <c r="R733" s="57">
        <f>M733/Q733</f>
        <v>26.010215254258618</v>
      </c>
    </row>
    <row r="734" spans="1:18" s="30" customFormat="1" ht="15" customHeight="1">
      <c r="A734" s="37" t="s">
        <v>293</v>
      </c>
      <c r="B734" s="26" t="s">
        <v>294</v>
      </c>
      <c r="C734" s="39">
        <v>469</v>
      </c>
      <c r="D734" s="40" t="s">
        <v>1384</v>
      </c>
      <c r="E734" s="38" t="s">
        <v>3</v>
      </c>
      <c r="F734" s="38" t="s">
        <v>10</v>
      </c>
      <c r="G734" s="32">
        <v>819759</v>
      </c>
      <c r="H734" s="32">
        <v>1196382</v>
      </c>
      <c r="I734" s="32">
        <v>17386568</v>
      </c>
      <c r="J734" s="35">
        <f>+G734-H734+I734</f>
        <v>17009945</v>
      </c>
      <c r="K734" s="28">
        <v>0</v>
      </c>
      <c r="L734" s="32">
        <v>0</v>
      </c>
      <c r="M734" s="35">
        <f>+J734+L734</f>
        <v>17009945</v>
      </c>
      <c r="N734" s="55" t="s">
        <v>1336</v>
      </c>
      <c r="O734" s="56" t="s">
        <v>1337</v>
      </c>
      <c r="P734" s="56">
        <v>44484</v>
      </c>
      <c r="Q734" s="49">
        <v>30194.06</v>
      </c>
      <c r="R734" s="57">
        <f>M734/Q734</f>
        <v>563.35401731333911</v>
      </c>
    </row>
    <row r="735" spans="1:18" s="30" customFormat="1" ht="15" customHeight="1">
      <c r="A735" s="37" t="s">
        <v>293</v>
      </c>
      <c r="B735" s="26" t="s">
        <v>294</v>
      </c>
      <c r="C735" s="39">
        <v>465</v>
      </c>
      <c r="D735" s="40" t="s">
        <v>1385</v>
      </c>
      <c r="E735" s="38" t="s">
        <v>3</v>
      </c>
      <c r="F735" s="38" t="s">
        <v>11</v>
      </c>
      <c r="G735" s="32">
        <v>6009609</v>
      </c>
      <c r="H735" s="32">
        <v>0</v>
      </c>
      <c r="I735" s="52">
        <v>0</v>
      </c>
      <c r="J735" s="35">
        <f>+G735-H735+I735</f>
        <v>6009609</v>
      </c>
      <c r="K735" s="28">
        <v>0</v>
      </c>
      <c r="L735" s="32">
        <v>0</v>
      </c>
      <c r="M735" s="35">
        <f>+J735+L735</f>
        <v>6009609</v>
      </c>
      <c r="N735" s="28" t="s">
        <v>1377</v>
      </c>
      <c r="O735" s="29" t="s">
        <v>1378</v>
      </c>
      <c r="P735" s="36" t="s">
        <v>1379</v>
      </c>
      <c r="Q735" s="31">
        <v>30683.439999999999</v>
      </c>
      <c r="R735" s="33">
        <f>+M735/Q735</f>
        <v>195.85838484863498</v>
      </c>
    </row>
    <row r="736" spans="1:18" s="30" customFormat="1" ht="15" customHeight="1">
      <c r="A736" s="37" t="s">
        <v>293</v>
      </c>
      <c r="B736" s="26" t="s">
        <v>294</v>
      </c>
      <c r="C736" s="39">
        <v>464</v>
      </c>
      <c r="D736" s="40" t="s">
        <v>1386</v>
      </c>
      <c r="E736" s="38" t="s">
        <v>3</v>
      </c>
      <c r="F736" s="38" t="s">
        <v>11</v>
      </c>
      <c r="G736" s="32">
        <v>2161379</v>
      </c>
      <c r="H736" s="32">
        <v>0</v>
      </c>
      <c r="I736" s="52">
        <v>0</v>
      </c>
      <c r="J736" s="35">
        <f>+G736-H736+I736</f>
        <v>2161379</v>
      </c>
      <c r="K736" s="28">
        <v>0</v>
      </c>
      <c r="L736" s="32">
        <v>0</v>
      </c>
      <c r="M736" s="35">
        <f>+J736+L736</f>
        <v>2161379</v>
      </c>
      <c r="N736" s="28" t="s">
        <v>1354</v>
      </c>
      <c r="O736" s="29" t="s">
        <v>1355</v>
      </c>
      <c r="P736" s="36">
        <v>44335</v>
      </c>
      <c r="Q736" s="31">
        <v>29567.53</v>
      </c>
      <c r="R736" s="33">
        <f>M736/Q736</f>
        <v>73.099748271160962</v>
      </c>
    </row>
    <row r="737" spans="1:18" s="30" customFormat="1" ht="15" customHeight="1">
      <c r="A737" s="37" t="s">
        <v>293</v>
      </c>
      <c r="B737" s="26" t="s">
        <v>294</v>
      </c>
      <c r="C737" s="39">
        <v>463</v>
      </c>
      <c r="D737" s="40" t="s">
        <v>1387</v>
      </c>
      <c r="E737" s="38" t="s">
        <v>3</v>
      </c>
      <c r="F737" s="38" t="s">
        <v>10</v>
      </c>
      <c r="G737" s="32">
        <v>610963</v>
      </c>
      <c r="H737" s="32">
        <v>69792</v>
      </c>
      <c r="I737" s="52">
        <v>0</v>
      </c>
      <c r="J737" s="35">
        <f>+G737-H737+I737</f>
        <v>541171</v>
      </c>
      <c r="K737" s="28">
        <v>0</v>
      </c>
      <c r="L737" s="32">
        <v>0</v>
      </c>
      <c r="M737" s="35">
        <f>+J737+L737</f>
        <v>541171</v>
      </c>
      <c r="N737" s="28" t="s">
        <v>1377</v>
      </c>
      <c r="O737" s="29" t="s">
        <v>1378</v>
      </c>
      <c r="P737" s="36" t="s">
        <v>1379</v>
      </c>
      <c r="Q737" s="31">
        <v>30683.439999999999</v>
      </c>
      <c r="R737" s="33">
        <f>+M737/Q737</f>
        <v>17.637233634820607</v>
      </c>
    </row>
    <row r="738" spans="1:18" s="30" customFormat="1" ht="15" customHeight="1">
      <c r="A738" s="37" t="s">
        <v>293</v>
      </c>
      <c r="B738" s="26" t="s">
        <v>294</v>
      </c>
      <c r="C738" s="39">
        <v>462</v>
      </c>
      <c r="D738" s="40" t="s">
        <v>1388</v>
      </c>
      <c r="E738" s="38" t="s">
        <v>3</v>
      </c>
      <c r="F738" s="38" t="s">
        <v>11</v>
      </c>
      <c r="G738" s="32">
        <v>678245</v>
      </c>
      <c r="H738" s="32">
        <v>0</v>
      </c>
      <c r="I738" s="52">
        <v>0</v>
      </c>
      <c r="J738" s="35">
        <f>+G738-H738+I738</f>
        <v>678245</v>
      </c>
      <c r="K738" s="28">
        <v>0</v>
      </c>
      <c r="L738" s="32">
        <v>0</v>
      </c>
      <c r="M738" s="35">
        <f>+J738+L738</f>
        <v>678245</v>
      </c>
      <c r="N738" s="28" t="s">
        <v>1377</v>
      </c>
      <c r="O738" s="29" t="s">
        <v>1378</v>
      </c>
      <c r="P738" s="36" t="s">
        <v>1379</v>
      </c>
      <c r="Q738" s="31">
        <v>30683.439999999999</v>
      </c>
      <c r="R738" s="33">
        <f>+M738/Q738</f>
        <v>22.104594530469857</v>
      </c>
    </row>
    <row r="739" spans="1:18" s="30" customFormat="1" ht="15" customHeight="1">
      <c r="A739" s="37" t="s">
        <v>293</v>
      </c>
      <c r="B739" s="26" t="s">
        <v>294</v>
      </c>
      <c r="C739" s="39">
        <v>461</v>
      </c>
      <c r="D739" s="40" t="s">
        <v>1389</v>
      </c>
      <c r="E739" s="38" t="s">
        <v>3</v>
      </c>
      <c r="F739" s="38" t="s">
        <v>11</v>
      </c>
      <c r="G739" s="32">
        <v>136627</v>
      </c>
      <c r="H739" s="32">
        <v>0</v>
      </c>
      <c r="I739" s="32">
        <v>8804187</v>
      </c>
      <c r="J739" s="35">
        <f>+G739-H739+I739</f>
        <v>8940814</v>
      </c>
      <c r="K739" s="28">
        <v>0</v>
      </c>
      <c r="L739" s="32">
        <v>0</v>
      </c>
      <c r="M739" s="35">
        <f>+J739+L739</f>
        <v>8940814</v>
      </c>
      <c r="N739" s="28" t="s">
        <v>1354</v>
      </c>
      <c r="O739" s="29" t="s">
        <v>1355</v>
      </c>
      <c r="P739" s="36">
        <v>44335</v>
      </c>
      <c r="Q739" s="31">
        <v>29567.53</v>
      </c>
      <c r="R739" s="33">
        <f>M739/Q739</f>
        <v>302.38623246513998</v>
      </c>
    </row>
    <row r="740" spans="1:18" s="30" customFormat="1" ht="15" customHeight="1">
      <c r="A740" s="37" t="s">
        <v>293</v>
      </c>
      <c r="B740" s="26" t="s">
        <v>294</v>
      </c>
      <c r="C740" s="39">
        <v>460</v>
      </c>
      <c r="D740" s="40" t="s">
        <v>1390</v>
      </c>
      <c r="E740" s="38" t="s">
        <v>3</v>
      </c>
      <c r="F740" s="38" t="s">
        <v>11</v>
      </c>
      <c r="G740" s="32">
        <v>0</v>
      </c>
      <c r="H740" s="32">
        <v>380230</v>
      </c>
      <c r="I740" s="32">
        <v>869104</v>
      </c>
      <c r="J740" s="35">
        <f>+G740-H740+I740</f>
        <v>488874</v>
      </c>
      <c r="K740" s="28">
        <v>0</v>
      </c>
      <c r="L740" s="32">
        <v>0</v>
      </c>
      <c r="M740" s="35">
        <f>+J740+L740</f>
        <v>488874</v>
      </c>
      <c r="N740" s="28" t="s">
        <v>1354</v>
      </c>
      <c r="O740" s="29" t="s">
        <v>1355</v>
      </c>
      <c r="P740" s="36">
        <v>44335</v>
      </c>
      <c r="Q740" s="31">
        <v>29567.53</v>
      </c>
      <c r="R740" s="33">
        <f>M740/Q740</f>
        <v>16.534150806644991</v>
      </c>
    </row>
    <row r="741" spans="1:18" s="30" customFormat="1" ht="15" customHeight="1">
      <c r="A741" s="37" t="s">
        <v>293</v>
      </c>
      <c r="B741" s="26" t="s">
        <v>294</v>
      </c>
      <c r="C741" s="39">
        <v>457</v>
      </c>
      <c r="D741" s="40" t="s">
        <v>1391</v>
      </c>
      <c r="E741" s="38" t="s">
        <v>3</v>
      </c>
      <c r="F741" s="38" t="s">
        <v>11</v>
      </c>
      <c r="G741" s="32">
        <v>3955909</v>
      </c>
      <c r="H741" s="32">
        <v>1675124</v>
      </c>
      <c r="I741" s="32">
        <v>189031</v>
      </c>
      <c r="J741" s="35">
        <f>+G741-H741+I741</f>
        <v>2469816</v>
      </c>
      <c r="K741" s="28">
        <v>0</v>
      </c>
      <c r="L741" s="32">
        <v>0</v>
      </c>
      <c r="M741" s="35">
        <f>+J741+L741</f>
        <v>2469816</v>
      </c>
      <c r="N741" s="28" t="s">
        <v>1377</v>
      </c>
      <c r="O741" s="29" t="s">
        <v>1378</v>
      </c>
      <c r="P741" s="36" t="s">
        <v>1379</v>
      </c>
      <c r="Q741" s="31">
        <v>30683.439999999999</v>
      </c>
      <c r="R741" s="33">
        <f>+M741/Q741</f>
        <v>80.493451842427064</v>
      </c>
    </row>
    <row r="742" spans="1:18" s="30" customFormat="1" ht="15" customHeight="1">
      <c r="A742" s="37" t="s">
        <v>627</v>
      </c>
      <c r="B742" s="26" t="s">
        <v>1392</v>
      </c>
      <c r="C742" s="39">
        <v>1</v>
      </c>
      <c r="D742" s="40" t="s">
        <v>1393</v>
      </c>
      <c r="E742" s="38" t="s">
        <v>4</v>
      </c>
      <c r="F742" s="38" t="s">
        <v>21</v>
      </c>
      <c r="G742" s="32">
        <v>473519</v>
      </c>
      <c r="H742" s="32">
        <v>0</v>
      </c>
      <c r="I742" s="32">
        <v>2099085</v>
      </c>
      <c r="J742" s="35">
        <f>+G742-H742+I742</f>
        <v>2572604</v>
      </c>
      <c r="K742" s="27">
        <v>10</v>
      </c>
      <c r="L742" s="32">
        <v>0</v>
      </c>
      <c r="M742" s="35">
        <f>+J742+L742</f>
        <v>2572604</v>
      </c>
      <c r="N742" s="28" t="s">
        <v>1394</v>
      </c>
      <c r="O742" s="29" t="s">
        <v>1395</v>
      </c>
      <c r="P742" s="36">
        <v>44172</v>
      </c>
      <c r="Q742" s="31">
        <v>29077.46</v>
      </c>
      <c r="R742" s="33">
        <f>M742/Q742</f>
        <v>88.474165212504815</v>
      </c>
    </row>
    <row r="743" spans="1:18" s="30" customFormat="1" ht="15" customHeight="1">
      <c r="A743" s="37" t="s">
        <v>293</v>
      </c>
      <c r="B743" s="26" t="s">
        <v>294</v>
      </c>
      <c r="C743" s="39">
        <v>455</v>
      </c>
      <c r="D743" s="40" t="s">
        <v>1396</v>
      </c>
      <c r="E743" s="38" t="s">
        <v>198</v>
      </c>
      <c r="F743" s="38" t="s">
        <v>11</v>
      </c>
      <c r="G743" s="32">
        <v>12040707</v>
      </c>
      <c r="H743" s="32">
        <v>5783371</v>
      </c>
      <c r="I743" s="52">
        <v>0</v>
      </c>
      <c r="J743" s="35">
        <f>+G743-H743+I743</f>
        <v>6257336</v>
      </c>
      <c r="K743" s="28">
        <v>0</v>
      </c>
      <c r="L743" s="32">
        <v>0</v>
      </c>
      <c r="M743" s="35">
        <f>+J743+L743</f>
        <v>6257336</v>
      </c>
      <c r="N743" s="28" t="s">
        <v>1377</v>
      </c>
      <c r="O743" s="29" t="s">
        <v>1378</v>
      </c>
      <c r="P743" s="36" t="s">
        <v>1379</v>
      </c>
      <c r="Q743" s="31">
        <v>30683.439999999999</v>
      </c>
      <c r="R743" s="33">
        <f>+M743/Q743</f>
        <v>203.93202326727382</v>
      </c>
    </row>
    <row r="744" spans="1:18" s="30" customFormat="1" ht="15" customHeight="1">
      <c r="A744" s="37" t="s">
        <v>293</v>
      </c>
      <c r="B744" s="26" t="s">
        <v>294</v>
      </c>
      <c r="C744" s="39">
        <v>454</v>
      </c>
      <c r="D744" s="40" t="s">
        <v>1397</v>
      </c>
      <c r="E744" s="38" t="s">
        <v>4</v>
      </c>
      <c r="F744" s="38" t="s">
        <v>11</v>
      </c>
      <c r="G744" s="32">
        <v>5587736</v>
      </c>
      <c r="H744" s="32">
        <v>602946</v>
      </c>
      <c r="I744" s="52">
        <v>0</v>
      </c>
      <c r="J744" s="35">
        <f>+G744-H744+I744</f>
        <v>4984790</v>
      </c>
      <c r="K744" s="28">
        <v>0</v>
      </c>
      <c r="L744" s="32">
        <v>0</v>
      </c>
      <c r="M744" s="35">
        <f>+J744+L744</f>
        <v>4984790</v>
      </c>
      <c r="N744" s="28" t="s">
        <v>1354</v>
      </c>
      <c r="O744" s="29" t="s">
        <v>1355</v>
      </c>
      <c r="P744" s="36">
        <v>44335</v>
      </c>
      <c r="Q744" s="31">
        <v>29567.53</v>
      </c>
      <c r="R744" s="33">
        <f>M744/Q744</f>
        <v>168.59000396718969</v>
      </c>
    </row>
    <row r="745" spans="1:18" s="30" customFormat="1" ht="15" customHeight="1">
      <c r="A745" s="37" t="s">
        <v>293</v>
      </c>
      <c r="B745" s="26" t="s">
        <v>294</v>
      </c>
      <c r="C745" s="39">
        <v>453</v>
      </c>
      <c r="D745" s="40" t="s">
        <v>1398</v>
      </c>
      <c r="E745" s="38" t="s">
        <v>6</v>
      </c>
      <c r="F745" s="38" t="s">
        <v>18</v>
      </c>
      <c r="G745" s="32">
        <v>2986163</v>
      </c>
      <c r="H745" s="32">
        <v>0</v>
      </c>
      <c r="I745" s="32">
        <v>355191</v>
      </c>
      <c r="J745" s="35">
        <f>+G745-H745+I745</f>
        <v>3341354</v>
      </c>
      <c r="K745" s="28">
        <v>0</v>
      </c>
      <c r="L745" s="32">
        <v>0</v>
      </c>
      <c r="M745" s="35">
        <f>+J745+L745</f>
        <v>3341354</v>
      </c>
      <c r="N745" s="55" t="s">
        <v>1336</v>
      </c>
      <c r="O745" s="56" t="s">
        <v>1337</v>
      </c>
      <c r="P745" s="56">
        <v>44484</v>
      </c>
      <c r="Q745" s="49">
        <v>30194.06</v>
      </c>
      <c r="R745" s="57">
        <f>M745/Q745</f>
        <v>110.66262702001652</v>
      </c>
    </row>
    <row r="746" spans="1:18" s="30" customFormat="1" ht="15" customHeight="1">
      <c r="A746" s="37" t="s">
        <v>293</v>
      </c>
      <c r="B746" s="26" t="s">
        <v>294</v>
      </c>
      <c r="C746" s="39">
        <v>452</v>
      </c>
      <c r="D746" s="40" t="s">
        <v>1399</v>
      </c>
      <c r="E746" s="38" t="s">
        <v>198</v>
      </c>
      <c r="F746" s="38" t="s">
        <v>11</v>
      </c>
      <c r="G746" s="32">
        <v>5161546</v>
      </c>
      <c r="H746" s="32">
        <v>0</v>
      </c>
      <c r="I746" s="52">
        <v>0</v>
      </c>
      <c r="J746" s="35">
        <f>+G746-H746+I746</f>
        <v>5161546</v>
      </c>
      <c r="K746" s="28">
        <v>0</v>
      </c>
      <c r="L746" s="32">
        <v>0</v>
      </c>
      <c r="M746" s="35">
        <f>+J746+L746</f>
        <v>5161546</v>
      </c>
      <c r="N746" s="28" t="s">
        <v>1377</v>
      </c>
      <c r="O746" s="29" t="s">
        <v>1378</v>
      </c>
      <c r="P746" s="36" t="s">
        <v>1379</v>
      </c>
      <c r="Q746" s="31">
        <v>30683.439999999999</v>
      </c>
      <c r="R746" s="33">
        <f>+M746/Q746</f>
        <v>168.21927397971024</v>
      </c>
    </row>
    <row r="747" spans="1:18" s="30" customFormat="1" ht="15" customHeight="1">
      <c r="A747" s="37" t="s">
        <v>293</v>
      </c>
      <c r="B747" s="26" t="s">
        <v>294</v>
      </c>
      <c r="C747" s="39">
        <v>451</v>
      </c>
      <c r="D747" s="40" t="s">
        <v>1400</v>
      </c>
      <c r="E747" s="38" t="s">
        <v>4</v>
      </c>
      <c r="F747" s="38" t="s">
        <v>20</v>
      </c>
      <c r="G747" s="32">
        <v>7214492</v>
      </c>
      <c r="H747" s="32">
        <v>0</v>
      </c>
      <c r="I747" s="32">
        <v>4536064</v>
      </c>
      <c r="J747" s="35">
        <f>+G747-H747+I747</f>
        <v>11750556</v>
      </c>
      <c r="K747" s="28">
        <v>0</v>
      </c>
      <c r="L747" s="32">
        <v>0</v>
      </c>
      <c r="M747" s="35">
        <f>+J747+L747</f>
        <v>11750556</v>
      </c>
      <c r="N747" s="55" t="s">
        <v>1336</v>
      </c>
      <c r="O747" s="56" t="s">
        <v>1337</v>
      </c>
      <c r="P747" s="56">
        <v>44484</v>
      </c>
      <c r="Q747" s="49">
        <v>30194.06</v>
      </c>
      <c r="R747" s="57">
        <f>M747/Q747</f>
        <v>389.16780320367644</v>
      </c>
    </row>
    <row r="748" spans="1:18" s="30" customFormat="1" ht="15" customHeight="1">
      <c r="A748" s="37" t="s">
        <v>293</v>
      </c>
      <c r="B748" s="26" t="s">
        <v>294</v>
      </c>
      <c r="C748" s="39">
        <v>450</v>
      </c>
      <c r="D748" s="40" t="s">
        <v>1401</v>
      </c>
      <c r="E748" s="38" t="s">
        <v>3</v>
      </c>
      <c r="F748" s="38" t="s">
        <v>11</v>
      </c>
      <c r="G748" s="32">
        <v>6729052</v>
      </c>
      <c r="H748" s="32">
        <v>0</v>
      </c>
      <c r="I748" s="32">
        <v>3156353</v>
      </c>
      <c r="J748" s="35">
        <f>+G748-H748+I748</f>
        <v>9885405</v>
      </c>
      <c r="K748" s="28">
        <v>0</v>
      </c>
      <c r="L748" s="32">
        <v>0</v>
      </c>
      <c r="M748" s="35">
        <f>+J748+L748</f>
        <v>9885405</v>
      </c>
      <c r="N748" s="28" t="s">
        <v>1354</v>
      </c>
      <c r="O748" s="29" t="s">
        <v>1355</v>
      </c>
      <c r="P748" s="36">
        <v>44335</v>
      </c>
      <c r="Q748" s="31">
        <v>29567.53</v>
      </c>
      <c r="R748" s="33">
        <f>M748/Q748</f>
        <v>334.33313503021731</v>
      </c>
    </row>
    <row r="749" spans="1:18" s="30" customFormat="1" ht="15" customHeight="1">
      <c r="A749" s="37" t="s">
        <v>293</v>
      </c>
      <c r="B749" s="26" t="s">
        <v>294</v>
      </c>
      <c r="C749" s="39">
        <v>449</v>
      </c>
      <c r="D749" s="40" t="s">
        <v>1402</v>
      </c>
      <c r="E749" s="38" t="s">
        <v>3</v>
      </c>
      <c r="F749" s="38" t="s">
        <v>14</v>
      </c>
      <c r="G749" s="32">
        <v>4773472</v>
      </c>
      <c r="H749" s="32">
        <v>0</v>
      </c>
      <c r="I749" s="52">
        <v>0</v>
      </c>
      <c r="J749" s="35">
        <f>+G749-H749+I749</f>
        <v>4773472</v>
      </c>
      <c r="K749" s="28">
        <v>0</v>
      </c>
      <c r="L749" s="32">
        <v>0</v>
      </c>
      <c r="M749" s="35">
        <f>+J749+L749</f>
        <v>4773472</v>
      </c>
      <c r="N749" s="28" t="s">
        <v>1377</v>
      </c>
      <c r="O749" s="29" t="s">
        <v>1378</v>
      </c>
      <c r="P749" s="36" t="s">
        <v>1379</v>
      </c>
      <c r="Q749" s="31">
        <v>30683.439999999999</v>
      </c>
      <c r="R749" s="33">
        <f>+M749/Q749</f>
        <v>155.57160474835939</v>
      </c>
    </row>
    <row r="750" spans="1:18" s="30" customFormat="1" ht="15" customHeight="1">
      <c r="A750" s="37" t="s">
        <v>293</v>
      </c>
      <c r="B750" s="26" t="s">
        <v>294</v>
      </c>
      <c r="C750" s="39">
        <v>447</v>
      </c>
      <c r="D750" s="40" t="s">
        <v>1403</v>
      </c>
      <c r="E750" s="38" t="s">
        <v>3</v>
      </c>
      <c r="F750" s="38" t="s">
        <v>11</v>
      </c>
      <c r="G750" s="32">
        <v>3022987</v>
      </c>
      <c r="H750" s="32">
        <v>461001</v>
      </c>
      <c r="I750" s="52">
        <v>0</v>
      </c>
      <c r="J750" s="35">
        <f>+G750-H750+I750</f>
        <v>2561986</v>
      </c>
      <c r="K750" s="28">
        <v>0</v>
      </c>
      <c r="L750" s="32">
        <v>0</v>
      </c>
      <c r="M750" s="35">
        <f>+J750+L750</f>
        <v>2561986</v>
      </c>
      <c r="N750" s="28" t="s">
        <v>1377</v>
      </c>
      <c r="O750" s="29" t="s">
        <v>1378</v>
      </c>
      <c r="P750" s="36" t="s">
        <v>1379</v>
      </c>
      <c r="Q750" s="31">
        <v>30683.439999999999</v>
      </c>
      <c r="R750" s="33">
        <f>+M750/Q750</f>
        <v>83.497352317732307</v>
      </c>
    </row>
    <row r="751" spans="1:18" s="30" customFormat="1" ht="15" customHeight="1">
      <c r="A751" s="37" t="s">
        <v>293</v>
      </c>
      <c r="B751" s="26" t="s">
        <v>294</v>
      </c>
      <c r="C751" s="39">
        <v>446</v>
      </c>
      <c r="D751" s="40" t="s">
        <v>1404</v>
      </c>
      <c r="E751" s="38" t="s">
        <v>4</v>
      </c>
      <c r="F751" s="38" t="s">
        <v>11</v>
      </c>
      <c r="G751" s="32">
        <v>45542</v>
      </c>
      <c r="H751" s="32">
        <v>0</v>
      </c>
      <c r="I751" s="32">
        <v>1110835</v>
      </c>
      <c r="J751" s="35">
        <f>+G751-H751+I751</f>
        <v>1156377</v>
      </c>
      <c r="K751" s="28">
        <v>0</v>
      </c>
      <c r="L751" s="32">
        <v>0</v>
      </c>
      <c r="M751" s="35">
        <f>+J751+L751</f>
        <v>1156377</v>
      </c>
      <c r="N751" s="28" t="s">
        <v>1377</v>
      </c>
      <c r="O751" s="29" t="s">
        <v>1378</v>
      </c>
      <c r="P751" s="36" t="s">
        <v>1379</v>
      </c>
      <c r="Q751" s="31">
        <v>30683.439999999999</v>
      </c>
      <c r="R751" s="33">
        <f>+M751/Q751</f>
        <v>37.687332319974551</v>
      </c>
    </row>
    <row r="752" spans="1:18" s="30" customFormat="1" ht="15" customHeight="1">
      <c r="A752" s="37" t="s">
        <v>293</v>
      </c>
      <c r="B752" s="26" t="s">
        <v>294</v>
      </c>
      <c r="C752" s="39">
        <v>445</v>
      </c>
      <c r="D752" s="40" t="s">
        <v>1405</v>
      </c>
      <c r="E752" s="38" t="s">
        <v>4</v>
      </c>
      <c r="F752" s="38" t="s">
        <v>11</v>
      </c>
      <c r="G752" s="32">
        <v>68521730</v>
      </c>
      <c r="H752" s="32">
        <v>9915760</v>
      </c>
      <c r="I752" s="32">
        <v>574562</v>
      </c>
      <c r="J752" s="35">
        <f>+G752-H752+I752</f>
        <v>59180532</v>
      </c>
      <c r="K752" s="28">
        <v>0</v>
      </c>
      <c r="L752" s="32">
        <v>0</v>
      </c>
      <c r="M752" s="35">
        <f>+J752+L752</f>
        <v>59180532</v>
      </c>
      <c r="N752" s="28" t="s">
        <v>1377</v>
      </c>
      <c r="O752" s="29" t="s">
        <v>1378</v>
      </c>
      <c r="P752" s="36" t="s">
        <v>1379</v>
      </c>
      <c r="Q752" s="31">
        <v>30683.439999999999</v>
      </c>
      <c r="R752" s="33">
        <f>+M752/Q752</f>
        <v>1928.7450168559981</v>
      </c>
    </row>
    <row r="753" spans="1:18" s="30" customFormat="1" ht="15" customHeight="1">
      <c r="A753" s="37" t="s">
        <v>293</v>
      </c>
      <c r="B753" s="26" t="s">
        <v>294</v>
      </c>
      <c r="C753" s="39">
        <v>442</v>
      </c>
      <c r="D753" s="40" t="s">
        <v>1406</v>
      </c>
      <c r="E753" s="38" t="s">
        <v>3</v>
      </c>
      <c r="F753" s="38" t="s">
        <v>11</v>
      </c>
      <c r="G753" s="32">
        <v>0</v>
      </c>
      <c r="H753" s="32">
        <v>0</v>
      </c>
      <c r="I753" s="32">
        <v>14145767</v>
      </c>
      <c r="J753" s="35">
        <f>+G753-H753+I753</f>
        <v>14145767</v>
      </c>
      <c r="K753" s="28">
        <v>0</v>
      </c>
      <c r="L753" s="32">
        <v>0</v>
      </c>
      <c r="M753" s="35">
        <f>+J753+L753</f>
        <v>14145767</v>
      </c>
      <c r="N753" s="28" t="s">
        <v>1377</v>
      </c>
      <c r="O753" s="29" t="s">
        <v>1378</v>
      </c>
      <c r="P753" s="36" t="s">
        <v>1379</v>
      </c>
      <c r="Q753" s="31">
        <v>30683.439999999999</v>
      </c>
      <c r="R753" s="33">
        <f>+M753/Q753</f>
        <v>461.02285141431344</v>
      </c>
    </row>
    <row r="754" spans="1:18" s="30" customFormat="1" ht="15" customHeight="1">
      <c r="A754" s="37" t="s">
        <v>293</v>
      </c>
      <c r="B754" s="26" t="s">
        <v>294</v>
      </c>
      <c r="C754" s="39">
        <v>438</v>
      </c>
      <c r="D754" s="40" t="s">
        <v>1407</v>
      </c>
      <c r="E754" s="38" t="s">
        <v>3</v>
      </c>
      <c r="F754" s="38" t="s">
        <v>15</v>
      </c>
      <c r="G754" s="32">
        <v>1959873</v>
      </c>
      <c r="H754" s="32">
        <v>3899676</v>
      </c>
      <c r="I754" s="32">
        <v>2835607</v>
      </c>
      <c r="J754" s="35">
        <f>+G754-H754+I754</f>
        <v>895804</v>
      </c>
      <c r="K754" s="28">
        <v>0</v>
      </c>
      <c r="L754" s="32">
        <v>0</v>
      </c>
      <c r="M754" s="35">
        <f>+J754+L754</f>
        <v>895804</v>
      </c>
      <c r="N754" s="55" t="s">
        <v>1336</v>
      </c>
      <c r="O754" s="56" t="s">
        <v>1337</v>
      </c>
      <c r="P754" s="56">
        <v>44484</v>
      </c>
      <c r="Q754" s="49">
        <v>30194.06</v>
      </c>
      <c r="R754" s="57">
        <f>M754/Q754</f>
        <v>29.668219510724956</v>
      </c>
    </row>
    <row r="755" spans="1:18" s="30" customFormat="1" ht="15" customHeight="1">
      <c r="A755" s="37" t="s">
        <v>293</v>
      </c>
      <c r="B755" s="26" t="s">
        <v>294</v>
      </c>
      <c r="C755" s="39">
        <v>437</v>
      </c>
      <c r="D755" s="40" t="s">
        <v>1408</v>
      </c>
      <c r="E755" s="38" t="s">
        <v>3</v>
      </c>
      <c r="F755" s="38" t="s">
        <v>11</v>
      </c>
      <c r="G755" s="32">
        <v>659266</v>
      </c>
      <c r="H755" s="32">
        <v>0</v>
      </c>
      <c r="I755" s="32">
        <v>215425</v>
      </c>
      <c r="J755" s="35">
        <f>+G755-H755+I755</f>
        <v>874691</v>
      </c>
      <c r="K755" s="28">
        <v>0</v>
      </c>
      <c r="L755" s="32">
        <v>0</v>
      </c>
      <c r="M755" s="35">
        <f>+J755+L755</f>
        <v>874691</v>
      </c>
      <c r="N755" s="28" t="s">
        <v>1377</v>
      </c>
      <c r="O755" s="29" t="s">
        <v>1378</v>
      </c>
      <c r="P755" s="36" t="s">
        <v>1379</v>
      </c>
      <c r="Q755" s="31">
        <v>30683.439999999999</v>
      </c>
      <c r="R755" s="33">
        <f>+M755/Q755</f>
        <v>28.5069405516461</v>
      </c>
    </row>
    <row r="756" spans="1:18" s="30" customFormat="1" ht="15" customHeight="1">
      <c r="A756" s="37" t="s">
        <v>293</v>
      </c>
      <c r="B756" s="26" t="s">
        <v>294</v>
      </c>
      <c r="C756" s="39">
        <v>434</v>
      </c>
      <c r="D756" s="40" t="s">
        <v>1409</v>
      </c>
      <c r="E756" s="38" t="s">
        <v>3</v>
      </c>
      <c r="F756" s="38" t="s">
        <v>11</v>
      </c>
      <c r="G756" s="32">
        <v>0</v>
      </c>
      <c r="H756" s="32">
        <v>0</v>
      </c>
      <c r="I756" s="32">
        <v>13294653</v>
      </c>
      <c r="J756" s="35">
        <f>+G756-H756+I756</f>
        <v>13294653</v>
      </c>
      <c r="K756" s="28">
        <v>0</v>
      </c>
      <c r="L756" s="32">
        <v>0</v>
      </c>
      <c r="M756" s="35">
        <f>+J756+L756</f>
        <v>13294653</v>
      </c>
      <c r="N756" s="28" t="s">
        <v>1377</v>
      </c>
      <c r="O756" s="29" t="s">
        <v>1378</v>
      </c>
      <c r="P756" s="36" t="s">
        <v>1379</v>
      </c>
      <c r="Q756" s="31">
        <v>30683.439999999999</v>
      </c>
      <c r="R756" s="33">
        <f>+M756/Q756</f>
        <v>433.28430580143561</v>
      </c>
    </row>
    <row r="757" spans="1:18" s="30" customFormat="1" ht="15" customHeight="1">
      <c r="A757" s="37" t="s">
        <v>293</v>
      </c>
      <c r="B757" s="26" t="s">
        <v>294</v>
      </c>
      <c r="C757" s="39">
        <v>432</v>
      </c>
      <c r="D757" s="40" t="s">
        <v>1410</v>
      </c>
      <c r="E757" s="38" t="s">
        <v>3</v>
      </c>
      <c r="F757" s="38" t="s">
        <v>11</v>
      </c>
      <c r="G757" s="32">
        <v>1389139</v>
      </c>
      <c r="H757" s="32">
        <v>848466</v>
      </c>
      <c r="I757" s="52">
        <v>0</v>
      </c>
      <c r="J757" s="35">
        <f>+G757-H757+I757</f>
        <v>540673</v>
      </c>
      <c r="K757" s="28">
        <v>0</v>
      </c>
      <c r="L757" s="32">
        <v>0</v>
      </c>
      <c r="M757" s="35">
        <f>+J757+L757</f>
        <v>540673</v>
      </c>
      <c r="N757" s="28" t="s">
        <v>1411</v>
      </c>
      <c r="O757" s="29" t="s">
        <v>1412</v>
      </c>
      <c r="P757" s="36" t="s">
        <v>1413</v>
      </c>
      <c r="Q757" s="31">
        <v>29598.01</v>
      </c>
      <c r="R757" s="33">
        <f>+M757/Q757</f>
        <v>18.267207829175003</v>
      </c>
    </row>
    <row r="758" spans="1:18" s="30" customFormat="1" ht="15" customHeight="1">
      <c r="A758" s="37" t="s">
        <v>391</v>
      </c>
      <c r="B758" s="26" t="s">
        <v>392</v>
      </c>
      <c r="C758" s="39">
        <v>149</v>
      </c>
      <c r="D758" s="40" t="s">
        <v>1414</v>
      </c>
      <c r="E758" s="38" t="s">
        <v>3</v>
      </c>
      <c r="F758" s="38" t="s">
        <v>10</v>
      </c>
      <c r="G758" s="32">
        <v>528306</v>
      </c>
      <c r="H758" s="32">
        <v>0</v>
      </c>
      <c r="I758" s="32">
        <v>450165</v>
      </c>
      <c r="J758" s="35">
        <f>+G758-H758+I758</f>
        <v>978471</v>
      </c>
      <c r="K758" s="27"/>
      <c r="L758" s="32">
        <v>0</v>
      </c>
      <c r="M758" s="35">
        <f>+J758+L758</f>
        <v>978471</v>
      </c>
      <c r="N758" s="28" t="s">
        <v>481</v>
      </c>
      <c r="O758" s="29" t="s">
        <v>482</v>
      </c>
      <c r="P758" s="36">
        <v>44130</v>
      </c>
      <c r="Q758" s="31">
        <v>28810.82</v>
      </c>
      <c r="R758" s="33">
        <f>M758/Q758</f>
        <v>33.961928192255549</v>
      </c>
    </row>
    <row r="759" spans="1:18" s="30" customFormat="1" ht="15" customHeight="1">
      <c r="A759" s="37" t="s">
        <v>293</v>
      </c>
      <c r="B759" s="26" t="s">
        <v>294</v>
      </c>
      <c r="C759" s="39">
        <v>428</v>
      </c>
      <c r="D759" s="40" t="s">
        <v>1415</v>
      </c>
      <c r="E759" s="38" t="s">
        <v>3</v>
      </c>
      <c r="F759" s="38" t="s">
        <v>11</v>
      </c>
      <c r="G759" s="32">
        <v>493737</v>
      </c>
      <c r="H759" s="32">
        <v>0</v>
      </c>
      <c r="I759" s="32">
        <v>1251447</v>
      </c>
      <c r="J759" s="35">
        <f>+G759-H759+I759</f>
        <v>1745184</v>
      </c>
      <c r="K759" s="28">
        <v>0</v>
      </c>
      <c r="L759" s="32">
        <v>0</v>
      </c>
      <c r="M759" s="35">
        <f>+J759+L759</f>
        <v>1745184</v>
      </c>
      <c r="N759" s="28" t="s">
        <v>1377</v>
      </c>
      <c r="O759" s="29" t="s">
        <v>1378</v>
      </c>
      <c r="P759" s="36" t="s">
        <v>1379</v>
      </c>
      <c r="Q759" s="31">
        <v>30683.439999999999</v>
      </c>
      <c r="R759" s="33">
        <f>+M759/Q759</f>
        <v>56.877064631605847</v>
      </c>
    </row>
    <row r="760" spans="1:18" s="30" customFormat="1" ht="15" customHeight="1">
      <c r="A760" s="37" t="s">
        <v>293</v>
      </c>
      <c r="B760" s="26" t="s">
        <v>294</v>
      </c>
      <c r="C760" s="39">
        <v>427</v>
      </c>
      <c r="D760" s="40" t="s">
        <v>1416</v>
      </c>
      <c r="E760" s="38" t="s">
        <v>4</v>
      </c>
      <c r="F760" s="38" t="s">
        <v>11</v>
      </c>
      <c r="G760" s="32">
        <v>8360639</v>
      </c>
      <c r="H760" s="32">
        <v>24701793</v>
      </c>
      <c r="I760" s="32">
        <v>24346278</v>
      </c>
      <c r="J760" s="35">
        <f>+G760-H760+I760</f>
        <v>8005124</v>
      </c>
      <c r="K760" s="28">
        <v>0</v>
      </c>
      <c r="L760" s="32">
        <v>0</v>
      </c>
      <c r="M760" s="35">
        <f>+J760+L760</f>
        <v>8005124</v>
      </c>
      <c r="N760" s="28" t="s">
        <v>1354</v>
      </c>
      <c r="O760" s="29" t="s">
        <v>1355</v>
      </c>
      <c r="P760" s="36">
        <v>44335</v>
      </c>
      <c r="Q760" s="31">
        <v>29567.53</v>
      </c>
      <c r="R760" s="33">
        <f>M760/Q760</f>
        <v>270.74036958785535</v>
      </c>
    </row>
    <row r="761" spans="1:18" s="30" customFormat="1" ht="15" customHeight="1">
      <c r="A761" s="37" t="s">
        <v>293</v>
      </c>
      <c r="B761" s="26" t="s">
        <v>294</v>
      </c>
      <c r="C761" s="39">
        <v>426</v>
      </c>
      <c r="D761" s="40" t="s">
        <v>1417</v>
      </c>
      <c r="E761" s="38" t="s">
        <v>198</v>
      </c>
      <c r="F761" s="38" t="s">
        <v>11</v>
      </c>
      <c r="G761" s="32">
        <v>0</v>
      </c>
      <c r="H761" s="32">
        <v>35580513</v>
      </c>
      <c r="I761" s="52">
        <v>0</v>
      </c>
      <c r="J761" s="35">
        <f>+G761-H761+I761</f>
        <v>-35580513</v>
      </c>
      <c r="K761" s="28">
        <v>0</v>
      </c>
      <c r="L761" s="32">
        <v>0</v>
      </c>
      <c r="M761" s="35">
        <f>+J761+L761</f>
        <v>-35580513</v>
      </c>
      <c r="N761" s="28" t="s">
        <v>1377</v>
      </c>
      <c r="O761" s="29" t="s">
        <v>1378</v>
      </c>
      <c r="P761" s="36" t="s">
        <v>1379</v>
      </c>
      <c r="Q761" s="31">
        <v>30683.439999999999</v>
      </c>
      <c r="R761" s="33">
        <f>+M761/Q761</f>
        <v>-1159.5998688543398</v>
      </c>
    </row>
    <row r="762" spans="1:18" s="30" customFormat="1" ht="15" customHeight="1">
      <c r="A762" s="37" t="s">
        <v>293</v>
      </c>
      <c r="B762" s="26" t="s">
        <v>294</v>
      </c>
      <c r="C762" s="39">
        <v>425</v>
      </c>
      <c r="D762" s="40" t="s">
        <v>1418</v>
      </c>
      <c r="E762" s="38" t="s">
        <v>198</v>
      </c>
      <c r="F762" s="38" t="s">
        <v>11</v>
      </c>
      <c r="G762" s="32">
        <v>0</v>
      </c>
      <c r="H762" s="32">
        <v>48485258</v>
      </c>
      <c r="I762" s="52">
        <v>0</v>
      </c>
      <c r="J762" s="35">
        <f>+G762-H762+I762</f>
        <v>-48485258</v>
      </c>
      <c r="K762" s="28">
        <v>0</v>
      </c>
      <c r="L762" s="32">
        <v>0</v>
      </c>
      <c r="M762" s="35">
        <f>+J762+L762</f>
        <v>-48485258</v>
      </c>
      <c r="N762" s="28" t="s">
        <v>1377</v>
      </c>
      <c r="O762" s="29" t="s">
        <v>1378</v>
      </c>
      <c r="P762" s="36" t="s">
        <v>1379</v>
      </c>
      <c r="Q762" s="31">
        <v>30683.439999999999</v>
      </c>
      <c r="R762" s="33">
        <f>+M762/Q762</f>
        <v>-1580.1767337690951</v>
      </c>
    </row>
    <row r="763" spans="1:18" s="30" customFormat="1" ht="15" customHeight="1">
      <c r="A763" s="37" t="s">
        <v>293</v>
      </c>
      <c r="B763" s="26" t="s">
        <v>294</v>
      </c>
      <c r="C763" s="39">
        <v>424</v>
      </c>
      <c r="D763" s="40" t="s">
        <v>1419</v>
      </c>
      <c r="E763" s="38" t="s">
        <v>198</v>
      </c>
      <c r="F763" s="38" t="s">
        <v>11</v>
      </c>
      <c r="G763" s="32">
        <v>0</v>
      </c>
      <c r="H763" s="32">
        <v>73966967</v>
      </c>
      <c r="I763" s="52">
        <v>0</v>
      </c>
      <c r="J763" s="35">
        <f>+G763-H763+I763</f>
        <v>-73966967</v>
      </c>
      <c r="K763" s="28">
        <v>0</v>
      </c>
      <c r="L763" s="32">
        <v>0</v>
      </c>
      <c r="M763" s="35">
        <f>+J763+L763</f>
        <v>-73966967</v>
      </c>
      <c r="N763" s="28" t="s">
        <v>1377</v>
      </c>
      <c r="O763" s="29" t="s">
        <v>1378</v>
      </c>
      <c r="P763" s="36" t="s">
        <v>1379</v>
      </c>
      <c r="Q763" s="31">
        <v>30683.439999999999</v>
      </c>
      <c r="R763" s="33">
        <f>+M763/Q763</f>
        <v>-2410.6477956839262</v>
      </c>
    </row>
    <row r="764" spans="1:18" s="30" customFormat="1" ht="15" customHeight="1">
      <c r="A764" s="37" t="s">
        <v>293</v>
      </c>
      <c r="B764" s="26" t="s">
        <v>294</v>
      </c>
      <c r="C764" s="39">
        <v>422</v>
      </c>
      <c r="D764" s="40" t="s">
        <v>1420</v>
      </c>
      <c r="E764" s="38" t="s">
        <v>4</v>
      </c>
      <c r="F764" s="38" t="s">
        <v>12</v>
      </c>
      <c r="G764" s="32">
        <v>92456</v>
      </c>
      <c r="H764" s="32">
        <v>0</v>
      </c>
      <c r="I764" s="32">
        <v>1932188</v>
      </c>
      <c r="J764" s="35">
        <f>+G764-H764+I764</f>
        <v>2024644</v>
      </c>
      <c r="K764" s="28">
        <v>0</v>
      </c>
      <c r="L764" s="32">
        <v>0</v>
      </c>
      <c r="M764" s="35">
        <f>+J764+L764</f>
        <v>2024644</v>
      </c>
      <c r="N764" s="28" t="s">
        <v>1377</v>
      </c>
      <c r="O764" s="29" t="s">
        <v>1378</v>
      </c>
      <c r="P764" s="36" t="s">
        <v>1379</v>
      </c>
      <c r="Q764" s="31">
        <v>30683.439999999999</v>
      </c>
      <c r="R764" s="33">
        <f>+M764/Q764</f>
        <v>65.984909123618479</v>
      </c>
    </row>
    <row r="765" spans="1:18" s="30" customFormat="1" ht="15" customHeight="1">
      <c r="A765" s="37" t="s">
        <v>293</v>
      </c>
      <c r="B765" s="26" t="s">
        <v>294</v>
      </c>
      <c r="C765" s="39">
        <v>421</v>
      </c>
      <c r="D765" s="40" t="s">
        <v>1421</v>
      </c>
      <c r="E765" s="38" t="s">
        <v>4</v>
      </c>
      <c r="F765" s="38" t="s">
        <v>10</v>
      </c>
      <c r="G765" s="32">
        <v>0</v>
      </c>
      <c r="H765" s="32">
        <v>520602</v>
      </c>
      <c r="I765" s="52">
        <v>0</v>
      </c>
      <c r="J765" s="35">
        <f>+G765-H765+I765</f>
        <v>-520602</v>
      </c>
      <c r="K765" s="28">
        <v>0</v>
      </c>
      <c r="L765" s="32">
        <v>0</v>
      </c>
      <c r="M765" s="35">
        <f>+J765+L765</f>
        <v>-520602</v>
      </c>
      <c r="N765" s="28" t="s">
        <v>1354</v>
      </c>
      <c r="O765" s="29" t="s">
        <v>1355</v>
      </c>
      <c r="P765" s="36">
        <v>44335</v>
      </c>
      <c r="Q765" s="31">
        <v>29567.53</v>
      </c>
      <c r="R765" s="33">
        <f>M765/Q765</f>
        <v>-17.607219811732669</v>
      </c>
    </row>
    <row r="766" spans="1:18" s="30" customFormat="1" ht="15" customHeight="1">
      <c r="A766" s="37" t="s">
        <v>293</v>
      </c>
      <c r="B766" s="26" t="s">
        <v>294</v>
      </c>
      <c r="C766" s="39">
        <v>420</v>
      </c>
      <c r="D766" s="40" t="s">
        <v>1422</v>
      </c>
      <c r="E766" s="38" t="s">
        <v>3</v>
      </c>
      <c r="F766" s="38" t="s">
        <v>10</v>
      </c>
      <c r="G766" s="32">
        <v>21004490</v>
      </c>
      <c r="H766" s="32">
        <v>28798404</v>
      </c>
      <c r="I766" s="52">
        <v>0</v>
      </c>
      <c r="J766" s="35">
        <f>+G766-H766+I766</f>
        <v>-7793914</v>
      </c>
      <c r="K766" s="28">
        <v>0</v>
      </c>
      <c r="L766" s="32">
        <v>0</v>
      </c>
      <c r="M766" s="35">
        <f>+J766+L766</f>
        <v>-7793914</v>
      </c>
      <c r="N766" s="28" t="s">
        <v>1377</v>
      </c>
      <c r="O766" s="29" t="s">
        <v>1378</v>
      </c>
      <c r="P766" s="36" t="s">
        <v>1379</v>
      </c>
      <c r="Q766" s="31">
        <v>30683.439999999999</v>
      </c>
      <c r="R766" s="33">
        <f>+M766/Q766</f>
        <v>-254.01043690016505</v>
      </c>
    </row>
    <row r="767" spans="1:18" s="30" customFormat="1" ht="15" customHeight="1">
      <c r="A767" s="37" t="s">
        <v>293</v>
      </c>
      <c r="B767" s="26" t="s">
        <v>294</v>
      </c>
      <c r="C767" s="39">
        <v>419</v>
      </c>
      <c r="D767" s="40" t="s">
        <v>1423</v>
      </c>
      <c r="E767" s="38" t="s">
        <v>3</v>
      </c>
      <c r="F767" s="38" t="s">
        <v>10</v>
      </c>
      <c r="G767" s="32">
        <v>18431474</v>
      </c>
      <c r="H767" s="32">
        <v>23013294</v>
      </c>
      <c r="I767" s="52">
        <v>0</v>
      </c>
      <c r="J767" s="35">
        <f>+G767-H767+I767</f>
        <v>-4581820</v>
      </c>
      <c r="K767" s="28">
        <v>0</v>
      </c>
      <c r="L767" s="32">
        <v>0</v>
      </c>
      <c r="M767" s="35">
        <f>+J767+L767</f>
        <v>-4581820</v>
      </c>
      <c r="N767" s="28" t="s">
        <v>1377</v>
      </c>
      <c r="O767" s="29" t="s">
        <v>1378</v>
      </c>
      <c r="P767" s="36" t="s">
        <v>1379</v>
      </c>
      <c r="Q767" s="31">
        <v>30683.439999999999</v>
      </c>
      <c r="R767" s="33">
        <f>+M767/Q767</f>
        <v>-149.32549935730805</v>
      </c>
    </row>
    <row r="768" spans="1:18" s="30" customFormat="1" ht="15" customHeight="1">
      <c r="A768" s="37" t="s">
        <v>293</v>
      </c>
      <c r="B768" s="26" t="s">
        <v>294</v>
      </c>
      <c r="C768" s="39">
        <v>418</v>
      </c>
      <c r="D768" s="40" t="s">
        <v>1424</v>
      </c>
      <c r="E768" s="38" t="s">
        <v>4</v>
      </c>
      <c r="F768" s="38" t="s">
        <v>11</v>
      </c>
      <c r="G768" s="32">
        <v>7793636</v>
      </c>
      <c r="H768" s="32">
        <v>13328695</v>
      </c>
      <c r="I768" s="52">
        <v>0</v>
      </c>
      <c r="J768" s="35">
        <f>+G768-H768+I768</f>
        <v>-5535059</v>
      </c>
      <c r="K768" s="28">
        <v>0</v>
      </c>
      <c r="L768" s="32">
        <v>0</v>
      </c>
      <c r="M768" s="35">
        <f>+J768+L768</f>
        <v>-5535059</v>
      </c>
      <c r="N768" s="28" t="s">
        <v>1377</v>
      </c>
      <c r="O768" s="29" t="s">
        <v>1378</v>
      </c>
      <c r="P768" s="36" t="s">
        <v>1379</v>
      </c>
      <c r="Q768" s="31">
        <v>30683.439999999999</v>
      </c>
      <c r="R768" s="33">
        <f>+M768/Q768</f>
        <v>-180.39238755498081</v>
      </c>
    </row>
    <row r="769" spans="1:18" s="30" customFormat="1" ht="15" customHeight="1">
      <c r="A769" s="37" t="s">
        <v>293</v>
      </c>
      <c r="B769" s="26" t="s">
        <v>294</v>
      </c>
      <c r="C769" s="39">
        <v>417</v>
      </c>
      <c r="D769" s="40" t="s">
        <v>1425</v>
      </c>
      <c r="E769" s="38" t="s">
        <v>198</v>
      </c>
      <c r="F769" s="38" t="s">
        <v>13</v>
      </c>
      <c r="G769" s="32">
        <v>0</v>
      </c>
      <c r="H769" s="32">
        <v>10503346</v>
      </c>
      <c r="I769" s="52">
        <v>0</v>
      </c>
      <c r="J769" s="35">
        <f>+G769-H769+I769</f>
        <v>-10503346</v>
      </c>
      <c r="K769" s="28">
        <v>0</v>
      </c>
      <c r="L769" s="32">
        <v>0</v>
      </c>
      <c r="M769" s="35">
        <f>+J769+L769</f>
        <v>-10503346</v>
      </c>
      <c r="N769" s="28" t="s">
        <v>1377</v>
      </c>
      <c r="O769" s="29" t="s">
        <v>1378</v>
      </c>
      <c r="P769" s="36" t="s">
        <v>1379</v>
      </c>
      <c r="Q769" s="31">
        <v>30683.439999999999</v>
      </c>
      <c r="R769" s="33">
        <f>+M769/Q769</f>
        <v>-342.31318261576928</v>
      </c>
    </row>
    <row r="770" spans="1:18" s="30" customFormat="1" ht="15" customHeight="1">
      <c r="A770" s="37" t="s">
        <v>391</v>
      </c>
      <c r="B770" s="26" t="s">
        <v>392</v>
      </c>
      <c r="C770" s="39">
        <v>131</v>
      </c>
      <c r="D770" s="40" t="s">
        <v>1426</v>
      </c>
      <c r="E770" s="38" t="s">
        <v>3</v>
      </c>
      <c r="F770" s="38" t="s">
        <v>11</v>
      </c>
      <c r="G770" s="32">
        <v>557445</v>
      </c>
      <c r="H770" s="32">
        <v>0</v>
      </c>
      <c r="I770" s="52">
        <v>0</v>
      </c>
      <c r="J770" s="35">
        <f>+G770-H770+I770</f>
        <v>557445</v>
      </c>
      <c r="K770" s="27">
        <v>1</v>
      </c>
      <c r="L770" s="32">
        <v>0</v>
      </c>
      <c r="M770" s="35">
        <f>+J770+L770</f>
        <v>557445</v>
      </c>
      <c r="N770" s="28" t="s">
        <v>481</v>
      </c>
      <c r="O770" s="29" t="s">
        <v>482</v>
      </c>
      <c r="P770" s="36">
        <v>44130</v>
      </c>
      <c r="Q770" s="31">
        <v>28810.82</v>
      </c>
      <c r="R770" s="33">
        <f>M770/Q770</f>
        <v>19.34846005771443</v>
      </c>
    </row>
    <row r="771" spans="1:18" s="30" customFormat="1" ht="15" customHeight="1">
      <c r="A771" s="37" t="s">
        <v>293</v>
      </c>
      <c r="B771" s="26" t="s">
        <v>294</v>
      </c>
      <c r="C771" s="39">
        <v>416</v>
      </c>
      <c r="D771" s="40" t="s">
        <v>1427</v>
      </c>
      <c r="E771" s="38" t="s">
        <v>3</v>
      </c>
      <c r="F771" s="38" t="s">
        <v>15</v>
      </c>
      <c r="G771" s="32">
        <v>124051</v>
      </c>
      <c r="H771" s="32">
        <v>1572443</v>
      </c>
      <c r="I771" s="52">
        <v>0</v>
      </c>
      <c r="J771" s="35">
        <f>+G771-H771+I771</f>
        <v>-1448392</v>
      </c>
      <c r="K771" s="28">
        <v>0</v>
      </c>
      <c r="L771" s="32">
        <v>0</v>
      </c>
      <c r="M771" s="35">
        <f>+J771+L771</f>
        <v>-1448392</v>
      </c>
      <c r="N771" s="28" t="s">
        <v>1411</v>
      </c>
      <c r="O771" s="29" t="s">
        <v>1412</v>
      </c>
      <c r="P771" s="36" t="s">
        <v>1413</v>
      </c>
      <c r="Q771" s="31">
        <v>29598.01</v>
      </c>
      <c r="R771" s="33">
        <f>+M771/Q771</f>
        <v>-48.935452079379665</v>
      </c>
    </row>
    <row r="772" spans="1:18" s="30" customFormat="1" ht="15" customHeight="1">
      <c r="A772" s="37" t="s">
        <v>293</v>
      </c>
      <c r="B772" s="26" t="s">
        <v>294</v>
      </c>
      <c r="C772" s="39">
        <v>415</v>
      </c>
      <c r="D772" s="40" t="s">
        <v>1428</v>
      </c>
      <c r="E772" s="38" t="s">
        <v>4</v>
      </c>
      <c r="F772" s="38" t="s">
        <v>15</v>
      </c>
      <c r="G772" s="32">
        <v>0</v>
      </c>
      <c r="H772" s="32">
        <v>15691164</v>
      </c>
      <c r="I772" s="52">
        <v>0</v>
      </c>
      <c r="J772" s="35">
        <f>+G772-H772+I772</f>
        <v>-15691164</v>
      </c>
      <c r="K772" s="28">
        <v>0</v>
      </c>
      <c r="L772" s="32">
        <v>0</v>
      </c>
      <c r="M772" s="35">
        <f>+J772+L772</f>
        <v>-15691164</v>
      </c>
      <c r="N772" s="28" t="s">
        <v>1354</v>
      </c>
      <c r="O772" s="29" t="s">
        <v>1355</v>
      </c>
      <c r="P772" s="36">
        <v>44335</v>
      </c>
      <c r="Q772" s="31">
        <v>29567.53</v>
      </c>
      <c r="R772" s="33">
        <f>M772/Q772</f>
        <v>-530.68903625023802</v>
      </c>
    </row>
    <row r="773" spans="1:18" s="30" customFormat="1" ht="15" customHeight="1">
      <c r="A773" s="37" t="s">
        <v>293</v>
      </c>
      <c r="B773" s="26" t="s">
        <v>294</v>
      </c>
      <c r="C773" s="39">
        <v>414</v>
      </c>
      <c r="D773" s="40" t="s">
        <v>1429</v>
      </c>
      <c r="E773" s="38" t="s">
        <v>3</v>
      </c>
      <c r="F773" s="38" t="s">
        <v>15</v>
      </c>
      <c r="G773" s="32">
        <v>0</v>
      </c>
      <c r="H773" s="32">
        <v>4221131</v>
      </c>
      <c r="I773" s="52">
        <v>0</v>
      </c>
      <c r="J773" s="35">
        <f>+G773-H773+I773</f>
        <v>-4221131</v>
      </c>
      <c r="K773" s="28">
        <v>0</v>
      </c>
      <c r="L773" s="32">
        <v>0</v>
      </c>
      <c r="M773" s="35">
        <f>+J773+L773</f>
        <v>-4221131</v>
      </c>
      <c r="N773" s="28" t="s">
        <v>1411</v>
      </c>
      <c r="O773" s="29" t="s">
        <v>1412</v>
      </c>
      <c r="P773" s="36" t="s">
        <v>1413</v>
      </c>
      <c r="Q773" s="31">
        <v>29598.01</v>
      </c>
      <c r="R773" s="33">
        <f>+M773/Q773</f>
        <v>-142.61536501947259</v>
      </c>
    </row>
    <row r="774" spans="1:18" s="30" customFormat="1" ht="15" customHeight="1">
      <c r="A774" s="37" t="s">
        <v>293</v>
      </c>
      <c r="B774" s="26" t="s">
        <v>294</v>
      </c>
      <c r="C774" s="39">
        <v>413</v>
      </c>
      <c r="D774" s="40" t="s">
        <v>1430</v>
      </c>
      <c r="E774" s="38" t="s">
        <v>3</v>
      </c>
      <c r="F774" s="38" t="s">
        <v>11</v>
      </c>
      <c r="G774" s="32">
        <v>0</v>
      </c>
      <c r="H774" s="32">
        <v>82389215</v>
      </c>
      <c r="I774" s="52">
        <v>0</v>
      </c>
      <c r="J774" s="35">
        <f>+G774-H774+I774</f>
        <v>-82389215</v>
      </c>
      <c r="K774" s="28">
        <v>0</v>
      </c>
      <c r="L774" s="32">
        <v>0</v>
      </c>
      <c r="M774" s="35">
        <f>+J774+L774</f>
        <v>-82389215</v>
      </c>
      <c r="N774" s="28" t="s">
        <v>1377</v>
      </c>
      <c r="O774" s="29" t="s">
        <v>1378</v>
      </c>
      <c r="P774" s="36" t="s">
        <v>1379</v>
      </c>
      <c r="Q774" s="31">
        <v>30683.439999999999</v>
      </c>
      <c r="R774" s="33">
        <f>+M774/Q774</f>
        <v>-2685.1361842088113</v>
      </c>
    </row>
    <row r="775" spans="1:18" s="30" customFormat="1" ht="15" customHeight="1">
      <c r="A775" s="37" t="s">
        <v>391</v>
      </c>
      <c r="B775" s="26" t="s">
        <v>392</v>
      </c>
      <c r="C775" s="39">
        <v>151</v>
      </c>
      <c r="D775" s="40" t="s">
        <v>1431</v>
      </c>
      <c r="E775" s="38" t="s">
        <v>3</v>
      </c>
      <c r="F775" s="38" t="s">
        <v>10</v>
      </c>
      <c r="G775" s="32">
        <v>581227</v>
      </c>
      <c r="H775" s="32">
        <v>0</v>
      </c>
      <c r="I775" s="32">
        <v>465166</v>
      </c>
      <c r="J775" s="35">
        <f>+G775-H775+I775</f>
        <v>1046393</v>
      </c>
      <c r="K775" s="27"/>
      <c r="L775" s="32">
        <v>0</v>
      </c>
      <c r="M775" s="35">
        <f>+J775+L775</f>
        <v>1046393</v>
      </c>
      <c r="N775" s="28" t="s">
        <v>765</v>
      </c>
      <c r="O775" s="29" t="s">
        <v>766</v>
      </c>
      <c r="P775" s="36">
        <v>44140</v>
      </c>
      <c r="Q775" s="31">
        <v>28866.47</v>
      </c>
      <c r="R775" s="33">
        <f>M775/Q775</f>
        <v>36.249427103487193</v>
      </c>
    </row>
    <row r="776" spans="1:18" s="30" customFormat="1" ht="15" customHeight="1">
      <c r="A776" s="37" t="s">
        <v>293</v>
      </c>
      <c r="B776" s="26" t="s">
        <v>294</v>
      </c>
      <c r="C776" s="39">
        <v>412</v>
      </c>
      <c r="D776" s="40" t="s">
        <v>1432</v>
      </c>
      <c r="E776" s="38" t="s">
        <v>3</v>
      </c>
      <c r="F776" s="38" t="s">
        <v>15</v>
      </c>
      <c r="G776" s="32">
        <v>5766104</v>
      </c>
      <c r="H776" s="32">
        <v>14300953</v>
      </c>
      <c r="I776" s="32">
        <v>804079</v>
      </c>
      <c r="J776" s="35">
        <f>+G776-H776+I776</f>
        <v>-7730770</v>
      </c>
      <c r="K776" s="28">
        <v>0</v>
      </c>
      <c r="L776" s="32">
        <v>0</v>
      </c>
      <c r="M776" s="35">
        <f>+J776+L776</f>
        <v>-7730770</v>
      </c>
      <c r="N776" s="28" t="s">
        <v>1354</v>
      </c>
      <c r="O776" s="29" t="s">
        <v>1355</v>
      </c>
      <c r="P776" s="36">
        <v>44335</v>
      </c>
      <c r="Q776" s="31">
        <v>29567.53</v>
      </c>
      <c r="R776" s="33">
        <f>M776/Q776</f>
        <v>-261.46147480022853</v>
      </c>
    </row>
    <row r="777" spans="1:18" s="30" customFormat="1" ht="15" customHeight="1">
      <c r="A777" s="37" t="s">
        <v>293</v>
      </c>
      <c r="B777" s="26" t="s">
        <v>294</v>
      </c>
      <c r="C777" s="39">
        <v>411</v>
      </c>
      <c r="D777" s="40" t="s">
        <v>1433</v>
      </c>
      <c r="E777" s="38" t="s">
        <v>3</v>
      </c>
      <c r="F777" s="38" t="s">
        <v>11</v>
      </c>
      <c r="G777" s="32">
        <v>0</v>
      </c>
      <c r="H777" s="32">
        <v>67620920</v>
      </c>
      <c r="I777" s="52">
        <v>0</v>
      </c>
      <c r="J777" s="35">
        <f>+G777-H777+I777</f>
        <v>-67620920</v>
      </c>
      <c r="K777" s="28">
        <v>0</v>
      </c>
      <c r="L777" s="32">
        <v>0</v>
      </c>
      <c r="M777" s="35">
        <f>+J777+L777</f>
        <v>-67620920</v>
      </c>
      <c r="N777" s="28" t="s">
        <v>1377</v>
      </c>
      <c r="O777" s="29" t="s">
        <v>1378</v>
      </c>
      <c r="P777" s="36" t="s">
        <v>1379</v>
      </c>
      <c r="Q777" s="31">
        <v>30683.439999999999</v>
      </c>
      <c r="R777" s="33">
        <f>+M777/Q777</f>
        <v>-2203.8246037602044</v>
      </c>
    </row>
    <row r="778" spans="1:18" s="30" customFormat="1" ht="15" customHeight="1">
      <c r="A778" s="37" t="s">
        <v>293</v>
      </c>
      <c r="B778" s="26" t="s">
        <v>294</v>
      </c>
      <c r="C778" s="39">
        <v>410</v>
      </c>
      <c r="D778" s="40" t="s">
        <v>1434</v>
      </c>
      <c r="E778" s="38" t="s">
        <v>3</v>
      </c>
      <c r="F778" s="38" t="s">
        <v>11</v>
      </c>
      <c r="G778" s="32">
        <v>0</v>
      </c>
      <c r="H778" s="32">
        <v>30690968</v>
      </c>
      <c r="I778" s="52">
        <v>0</v>
      </c>
      <c r="J778" s="35">
        <f>+G778-H778+I778</f>
        <v>-30690968</v>
      </c>
      <c r="K778" s="28">
        <v>0</v>
      </c>
      <c r="L778" s="32">
        <v>0</v>
      </c>
      <c r="M778" s="35">
        <f>+J778+L778</f>
        <v>-30690968</v>
      </c>
      <c r="N778" s="28" t="s">
        <v>1411</v>
      </c>
      <c r="O778" s="29" t="s">
        <v>1412</v>
      </c>
      <c r="P778" s="36" t="s">
        <v>1413</v>
      </c>
      <c r="Q778" s="31">
        <v>29598.01</v>
      </c>
      <c r="R778" s="33">
        <f>+M778/Q778</f>
        <v>-1036.9267393314619</v>
      </c>
    </row>
    <row r="779" spans="1:18" s="30" customFormat="1" ht="15" customHeight="1">
      <c r="A779" s="37" t="s">
        <v>293</v>
      </c>
      <c r="B779" s="26" t="s">
        <v>294</v>
      </c>
      <c r="C779" s="39">
        <v>409</v>
      </c>
      <c r="D779" s="40" t="s">
        <v>1435</v>
      </c>
      <c r="E779" s="38" t="s">
        <v>4</v>
      </c>
      <c r="F779" s="38" t="s">
        <v>13</v>
      </c>
      <c r="G779" s="32">
        <v>10025779</v>
      </c>
      <c r="H779" s="32">
        <v>11195432</v>
      </c>
      <c r="I779" s="52">
        <v>0</v>
      </c>
      <c r="J779" s="35">
        <f>+G779-H779+I779</f>
        <v>-1169653</v>
      </c>
      <c r="K779" s="28">
        <v>0</v>
      </c>
      <c r="L779" s="32">
        <v>0</v>
      </c>
      <c r="M779" s="35">
        <f>+J779+L779</f>
        <v>-1169653</v>
      </c>
      <c r="N779" s="28" t="s">
        <v>1377</v>
      </c>
      <c r="O779" s="29" t="s">
        <v>1378</v>
      </c>
      <c r="P779" s="36" t="s">
        <v>1379</v>
      </c>
      <c r="Q779" s="31">
        <v>30683.439999999999</v>
      </c>
      <c r="R779" s="33">
        <f>+M779/Q779</f>
        <v>-38.12000870828043</v>
      </c>
    </row>
    <row r="780" spans="1:18" s="30" customFormat="1" ht="15" customHeight="1">
      <c r="A780" s="37" t="s">
        <v>293</v>
      </c>
      <c r="B780" s="26" t="s">
        <v>294</v>
      </c>
      <c r="C780" s="39">
        <v>406</v>
      </c>
      <c r="D780" s="40" t="s">
        <v>1436</v>
      </c>
      <c r="E780" s="38" t="s">
        <v>3</v>
      </c>
      <c r="F780" s="38" t="s">
        <v>11</v>
      </c>
      <c r="G780" s="32">
        <v>4087850</v>
      </c>
      <c r="H780" s="32">
        <v>3816585</v>
      </c>
      <c r="I780" s="32">
        <v>6946523</v>
      </c>
      <c r="J780" s="35">
        <f>+G780-H780+I780</f>
        <v>7217788</v>
      </c>
      <c r="K780" s="28">
        <v>0</v>
      </c>
      <c r="L780" s="32">
        <v>0</v>
      </c>
      <c r="M780" s="35">
        <f>+J780+L780</f>
        <v>7217788</v>
      </c>
      <c r="N780" s="28" t="s">
        <v>1411</v>
      </c>
      <c r="O780" s="29" t="s">
        <v>1412</v>
      </c>
      <c r="P780" s="36" t="s">
        <v>1413</v>
      </c>
      <c r="Q780" s="31">
        <v>29598.01</v>
      </c>
      <c r="R780" s="33">
        <f>+M780/Q780</f>
        <v>243.86058387033455</v>
      </c>
    </row>
    <row r="781" spans="1:18" s="30" customFormat="1" ht="15" customHeight="1">
      <c r="A781" s="37" t="s">
        <v>293</v>
      </c>
      <c r="B781" s="26" t="s">
        <v>294</v>
      </c>
      <c r="C781" s="39">
        <v>405</v>
      </c>
      <c r="D781" s="40" t="s">
        <v>1437</v>
      </c>
      <c r="E781" s="38" t="s">
        <v>3</v>
      </c>
      <c r="F781" s="38" t="s">
        <v>14</v>
      </c>
      <c r="G781" s="32">
        <v>2408424</v>
      </c>
      <c r="H781" s="32">
        <v>0</v>
      </c>
      <c r="I781" s="32">
        <v>2788845</v>
      </c>
      <c r="J781" s="35">
        <f>+G781-H781+I781</f>
        <v>5197269</v>
      </c>
      <c r="K781" s="28">
        <v>0</v>
      </c>
      <c r="L781" s="32">
        <v>0</v>
      </c>
      <c r="M781" s="35">
        <f>+J781+L781</f>
        <v>5197269</v>
      </c>
      <c r="N781" s="28" t="s">
        <v>1411</v>
      </c>
      <c r="O781" s="29" t="s">
        <v>1412</v>
      </c>
      <c r="P781" s="36" t="s">
        <v>1413</v>
      </c>
      <c r="Q781" s="31">
        <v>29598.01</v>
      </c>
      <c r="R781" s="33">
        <f>+M781/Q781</f>
        <v>175.59521738116854</v>
      </c>
    </row>
    <row r="782" spans="1:18" s="30" customFormat="1" ht="15" customHeight="1">
      <c r="A782" s="37" t="s">
        <v>184</v>
      </c>
      <c r="B782" s="26" t="s">
        <v>185</v>
      </c>
      <c r="C782" s="39">
        <v>15</v>
      </c>
      <c r="D782" s="40" t="s">
        <v>1438</v>
      </c>
      <c r="E782" s="38" t="s">
        <v>3</v>
      </c>
      <c r="F782" s="38" t="s">
        <v>11</v>
      </c>
      <c r="G782" s="32">
        <v>598273</v>
      </c>
      <c r="H782" s="32">
        <v>0</v>
      </c>
      <c r="I782" s="52">
        <v>0</v>
      </c>
      <c r="J782" s="35">
        <f>+G782-H782+I782</f>
        <v>598273</v>
      </c>
      <c r="K782" s="27"/>
      <c r="L782" s="32">
        <v>0</v>
      </c>
      <c r="M782" s="35">
        <f>+J782+L782</f>
        <v>598273</v>
      </c>
      <c r="N782" s="28" t="s">
        <v>1290</v>
      </c>
      <c r="O782" s="29" t="s">
        <v>1291</v>
      </c>
      <c r="P782" s="36">
        <v>44323</v>
      </c>
      <c r="Q782" s="31">
        <v>29521.62</v>
      </c>
      <c r="R782" s="33">
        <f>M782/Q782</f>
        <v>20.26558840605631</v>
      </c>
    </row>
    <row r="783" spans="1:18" s="30" customFormat="1" ht="15" customHeight="1">
      <c r="A783" s="37" t="s">
        <v>293</v>
      </c>
      <c r="B783" s="26" t="s">
        <v>294</v>
      </c>
      <c r="C783" s="39">
        <v>402</v>
      </c>
      <c r="D783" s="40" t="s">
        <v>1439</v>
      </c>
      <c r="E783" s="38" t="s">
        <v>198</v>
      </c>
      <c r="F783" s="38" t="s">
        <v>11</v>
      </c>
      <c r="G783" s="32">
        <v>11983230</v>
      </c>
      <c r="H783" s="32">
        <v>0</v>
      </c>
      <c r="I783" s="52">
        <v>0</v>
      </c>
      <c r="J783" s="35">
        <f>+G783-H783+I783</f>
        <v>11983230</v>
      </c>
      <c r="K783" s="28">
        <v>0</v>
      </c>
      <c r="L783" s="32">
        <v>0</v>
      </c>
      <c r="M783" s="35">
        <f>+J783+L783</f>
        <v>11983230</v>
      </c>
      <c r="N783" s="28" t="s">
        <v>1354</v>
      </c>
      <c r="O783" s="29" t="s">
        <v>1355</v>
      </c>
      <c r="P783" s="36">
        <v>44335</v>
      </c>
      <c r="Q783" s="31">
        <v>29567.53</v>
      </c>
      <c r="R783" s="33">
        <f>M783/Q783</f>
        <v>405.2834308445785</v>
      </c>
    </row>
    <row r="784" spans="1:18" s="30" customFormat="1" ht="15" customHeight="1">
      <c r="A784" s="37" t="s">
        <v>293</v>
      </c>
      <c r="B784" s="26" t="s">
        <v>294</v>
      </c>
      <c r="C784" s="39">
        <v>401</v>
      </c>
      <c r="D784" s="40" t="s">
        <v>1440</v>
      </c>
      <c r="E784" s="38" t="s">
        <v>198</v>
      </c>
      <c r="F784" s="38" t="s">
        <v>11</v>
      </c>
      <c r="G784" s="32">
        <v>0</v>
      </c>
      <c r="H784" s="32">
        <v>30636366</v>
      </c>
      <c r="I784" s="52">
        <v>0</v>
      </c>
      <c r="J784" s="35">
        <f>+G784-H784+I784</f>
        <v>-30636366</v>
      </c>
      <c r="K784" s="28">
        <v>0</v>
      </c>
      <c r="L784" s="32">
        <v>0</v>
      </c>
      <c r="M784" s="35">
        <f>+J784+L784</f>
        <v>-30636366</v>
      </c>
      <c r="N784" s="28" t="s">
        <v>1354</v>
      </c>
      <c r="O784" s="29" t="s">
        <v>1355</v>
      </c>
      <c r="P784" s="36">
        <v>44335</v>
      </c>
      <c r="Q784" s="31">
        <v>29567.53</v>
      </c>
      <c r="R784" s="33">
        <f>M784/Q784</f>
        <v>-1036.1489782880071</v>
      </c>
    </row>
    <row r="785" spans="1:18" s="30" customFormat="1" ht="15" customHeight="1">
      <c r="A785" s="37" t="s">
        <v>293</v>
      </c>
      <c r="B785" s="26" t="s">
        <v>294</v>
      </c>
      <c r="C785" s="39">
        <v>400</v>
      </c>
      <c r="D785" s="40" t="s">
        <v>1441</v>
      </c>
      <c r="E785" s="38" t="s">
        <v>3</v>
      </c>
      <c r="F785" s="38" t="s">
        <v>11</v>
      </c>
      <c r="G785" s="32">
        <v>42550</v>
      </c>
      <c r="H785" s="32">
        <v>2450855</v>
      </c>
      <c r="I785" s="32">
        <v>2745563</v>
      </c>
      <c r="J785" s="35">
        <f>+G785-H785+I785</f>
        <v>337258</v>
      </c>
      <c r="K785" s="28">
        <v>0</v>
      </c>
      <c r="L785" s="32">
        <v>0</v>
      </c>
      <c r="M785" s="35">
        <f>+J785+L785</f>
        <v>337258</v>
      </c>
      <c r="N785" s="28" t="s">
        <v>1411</v>
      </c>
      <c r="O785" s="29" t="s">
        <v>1412</v>
      </c>
      <c r="P785" s="36" t="s">
        <v>1413</v>
      </c>
      <c r="Q785" s="31">
        <v>29598.01</v>
      </c>
      <c r="R785" s="33">
        <f>+M785/Q785</f>
        <v>11.394617408400093</v>
      </c>
    </row>
    <row r="786" spans="1:18" s="30" customFormat="1" ht="15" customHeight="1">
      <c r="A786" s="37" t="s">
        <v>293</v>
      </c>
      <c r="B786" s="26" t="s">
        <v>294</v>
      </c>
      <c r="C786" s="39">
        <v>399</v>
      </c>
      <c r="D786" s="40" t="s">
        <v>1442</v>
      </c>
      <c r="E786" s="38" t="s">
        <v>3</v>
      </c>
      <c r="F786" s="38" t="s">
        <v>12</v>
      </c>
      <c r="G786" s="32">
        <v>0</v>
      </c>
      <c r="H786" s="32">
        <v>0</v>
      </c>
      <c r="I786" s="32">
        <v>18742700</v>
      </c>
      <c r="J786" s="35">
        <f>+G786-H786+I786</f>
        <v>18742700</v>
      </c>
      <c r="K786" s="28">
        <v>0</v>
      </c>
      <c r="L786" s="32">
        <v>0</v>
      </c>
      <c r="M786" s="35">
        <f>+J786+L786</f>
        <v>18742700</v>
      </c>
      <c r="N786" s="28" t="s">
        <v>1377</v>
      </c>
      <c r="O786" s="29" t="s">
        <v>1378</v>
      </c>
      <c r="P786" s="36" t="s">
        <v>1379</v>
      </c>
      <c r="Q786" s="31">
        <v>30683.439999999999</v>
      </c>
      <c r="R786" s="33">
        <f>+M786/Q786</f>
        <v>610.84089658786627</v>
      </c>
    </row>
    <row r="787" spans="1:18" s="30" customFormat="1" ht="15" customHeight="1">
      <c r="A787" s="37" t="s">
        <v>293</v>
      </c>
      <c r="B787" s="26" t="s">
        <v>294</v>
      </c>
      <c r="C787" s="39">
        <v>397</v>
      </c>
      <c r="D787" s="40" t="s">
        <v>1443</v>
      </c>
      <c r="E787" s="38" t="s">
        <v>198</v>
      </c>
      <c r="F787" s="38" t="s">
        <v>11</v>
      </c>
      <c r="G787" s="32">
        <v>1693134</v>
      </c>
      <c r="H787" s="32">
        <v>5304906</v>
      </c>
      <c r="I787" s="32">
        <v>30056310</v>
      </c>
      <c r="J787" s="35">
        <f>+G787-H787+I787</f>
        <v>26444538</v>
      </c>
      <c r="K787" s="28">
        <v>0</v>
      </c>
      <c r="L787" s="32">
        <v>0</v>
      </c>
      <c r="M787" s="35">
        <f>+J787+L787</f>
        <v>26444538</v>
      </c>
      <c r="N787" s="28" t="s">
        <v>1354</v>
      </c>
      <c r="O787" s="29" t="s">
        <v>1355</v>
      </c>
      <c r="P787" s="36">
        <v>44335</v>
      </c>
      <c r="Q787" s="31">
        <v>29567.53</v>
      </c>
      <c r="R787" s="33">
        <f>M787/Q787</f>
        <v>894.37765007763585</v>
      </c>
    </row>
    <row r="788" spans="1:18" s="30" customFormat="1" ht="15" customHeight="1">
      <c r="A788" s="37" t="s">
        <v>293</v>
      </c>
      <c r="B788" s="26" t="s">
        <v>294</v>
      </c>
      <c r="C788" s="39">
        <v>600</v>
      </c>
      <c r="D788" s="40" t="s">
        <v>1444</v>
      </c>
      <c r="E788" s="38" t="s">
        <v>198</v>
      </c>
      <c r="F788" s="38" t="s">
        <v>18</v>
      </c>
      <c r="G788" s="32">
        <v>607231</v>
      </c>
      <c r="H788" s="32">
        <v>0</v>
      </c>
      <c r="I788" s="32">
        <v>51159</v>
      </c>
      <c r="J788" s="35">
        <f>+G788-H788+I788</f>
        <v>658390</v>
      </c>
      <c r="K788" s="27" t="s">
        <v>297</v>
      </c>
      <c r="L788" s="32">
        <v>0</v>
      </c>
      <c r="M788" s="35">
        <f>+J788+L788</f>
        <v>658390</v>
      </c>
      <c r="N788" s="55" t="s">
        <v>298</v>
      </c>
      <c r="O788" s="56" t="s">
        <v>299</v>
      </c>
      <c r="P788" s="56">
        <v>44502</v>
      </c>
      <c r="Q788" s="49">
        <v>30403.919999999998</v>
      </c>
      <c r="R788" s="57">
        <f>+M788/Q788</f>
        <v>21.654773463421822</v>
      </c>
    </row>
    <row r="789" spans="1:18" s="30" customFormat="1" ht="15" customHeight="1">
      <c r="A789" s="37" t="s">
        <v>293</v>
      </c>
      <c r="B789" s="26" t="s">
        <v>294</v>
      </c>
      <c r="C789" s="39">
        <v>396</v>
      </c>
      <c r="D789" s="40" t="s">
        <v>1445</v>
      </c>
      <c r="E789" s="38" t="s">
        <v>3</v>
      </c>
      <c r="F789" s="38" t="s">
        <v>12</v>
      </c>
      <c r="G789" s="32">
        <v>23428121</v>
      </c>
      <c r="H789" s="32">
        <v>683948</v>
      </c>
      <c r="I789" s="32">
        <v>38568850</v>
      </c>
      <c r="J789" s="35">
        <f>+G789-H789+I789</f>
        <v>61313023</v>
      </c>
      <c r="K789" s="28">
        <v>0</v>
      </c>
      <c r="L789" s="32">
        <v>0</v>
      </c>
      <c r="M789" s="35">
        <f>+J789+L789</f>
        <v>61313023</v>
      </c>
      <c r="N789" s="28" t="s">
        <v>1354</v>
      </c>
      <c r="O789" s="29" t="s">
        <v>1355</v>
      </c>
      <c r="P789" s="36">
        <v>44335</v>
      </c>
      <c r="Q789" s="31">
        <v>29567.53</v>
      </c>
      <c r="R789" s="33">
        <f>M789/Q789</f>
        <v>2073.6606338101292</v>
      </c>
    </row>
    <row r="790" spans="1:18" s="30" customFormat="1" ht="15" customHeight="1">
      <c r="A790" s="37" t="s">
        <v>184</v>
      </c>
      <c r="B790" s="26" t="s">
        <v>185</v>
      </c>
      <c r="C790" s="39">
        <v>6</v>
      </c>
      <c r="D790" s="40" t="s">
        <v>1446</v>
      </c>
      <c r="E790" s="38" t="s">
        <v>3</v>
      </c>
      <c r="F790" s="38" t="s">
        <v>10</v>
      </c>
      <c r="G790" s="32">
        <v>611208</v>
      </c>
      <c r="H790" s="32">
        <v>0</v>
      </c>
      <c r="I790" s="32">
        <v>68507</v>
      </c>
      <c r="J790" s="35">
        <f>+G790-H790+I790</f>
        <v>679715</v>
      </c>
      <c r="K790" s="27"/>
      <c r="L790" s="32">
        <v>0</v>
      </c>
      <c r="M790" s="35">
        <f>+J790+L790</f>
        <v>679715</v>
      </c>
      <c r="N790" s="28" t="s">
        <v>187</v>
      </c>
      <c r="O790" s="29" t="s">
        <v>188</v>
      </c>
      <c r="P790" s="36">
        <v>44166</v>
      </c>
      <c r="Q790" s="31">
        <v>29036.92</v>
      </c>
      <c r="R790" s="33">
        <f>M790/Q790</f>
        <v>23.40864664709618</v>
      </c>
    </row>
    <row r="791" spans="1:18" s="30" customFormat="1" ht="15" customHeight="1">
      <c r="A791" s="37" t="s">
        <v>293</v>
      </c>
      <c r="B791" s="26" t="s">
        <v>294</v>
      </c>
      <c r="C791" s="39">
        <v>395</v>
      </c>
      <c r="D791" s="40" t="s">
        <v>1447</v>
      </c>
      <c r="E791" s="38" t="s">
        <v>3</v>
      </c>
      <c r="F791" s="38" t="s">
        <v>11</v>
      </c>
      <c r="G791" s="32">
        <v>19204730</v>
      </c>
      <c r="H791" s="32">
        <v>0</v>
      </c>
      <c r="I791" s="32">
        <v>3750291</v>
      </c>
      <c r="J791" s="35">
        <f>+G791-H791+I791</f>
        <v>22955021</v>
      </c>
      <c r="K791" s="28">
        <v>0</v>
      </c>
      <c r="L791" s="32">
        <v>0</v>
      </c>
      <c r="M791" s="35">
        <f>+J791+L791</f>
        <v>22955021</v>
      </c>
      <c r="N791" s="28" t="s">
        <v>1377</v>
      </c>
      <c r="O791" s="29" t="s">
        <v>1378</v>
      </c>
      <c r="P791" s="36" t="s">
        <v>1379</v>
      </c>
      <c r="Q791" s="31">
        <v>30683.439999999999</v>
      </c>
      <c r="R791" s="33">
        <f>+M791/Q791</f>
        <v>748.12410212153532</v>
      </c>
    </row>
    <row r="792" spans="1:18" s="30" customFormat="1" ht="15" customHeight="1">
      <c r="A792" s="37" t="s">
        <v>293</v>
      </c>
      <c r="B792" s="26" t="s">
        <v>294</v>
      </c>
      <c r="C792" s="39">
        <v>394</v>
      </c>
      <c r="D792" s="40" t="s">
        <v>1448</v>
      </c>
      <c r="E792" s="38" t="s">
        <v>3</v>
      </c>
      <c r="F792" s="38" t="s">
        <v>10</v>
      </c>
      <c r="G792" s="32">
        <v>13874208</v>
      </c>
      <c r="H792" s="32">
        <v>0</v>
      </c>
      <c r="I792" s="32">
        <v>4319055</v>
      </c>
      <c r="J792" s="35">
        <f>+G792-H792+I792</f>
        <v>18193263</v>
      </c>
      <c r="K792" s="28">
        <v>0</v>
      </c>
      <c r="L792" s="32">
        <v>0</v>
      </c>
      <c r="M792" s="35">
        <f>+J792+L792</f>
        <v>18193263</v>
      </c>
      <c r="N792" s="28" t="s">
        <v>1411</v>
      </c>
      <c r="O792" s="29" t="s">
        <v>1412</v>
      </c>
      <c r="P792" s="36" t="s">
        <v>1413</v>
      </c>
      <c r="Q792" s="31">
        <v>29598.01</v>
      </c>
      <c r="R792" s="33">
        <f>+M792/Q792</f>
        <v>614.67858818886816</v>
      </c>
    </row>
    <row r="793" spans="1:18" s="30" customFormat="1" ht="15" customHeight="1">
      <c r="A793" s="37" t="s">
        <v>293</v>
      </c>
      <c r="B793" s="26" t="s">
        <v>294</v>
      </c>
      <c r="C793" s="39">
        <v>393</v>
      </c>
      <c r="D793" s="40" t="s">
        <v>1449</v>
      </c>
      <c r="E793" s="38" t="s">
        <v>3</v>
      </c>
      <c r="F793" s="38" t="s">
        <v>9</v>
      </c>
      <c r="G793" s="32">
        <v>1167879</v>
      </c>
      <c r="H793" s="32">
        <v>0</v>
      </c>
      <c r="I793" s="52">
        <v>0</v>
      </c>
      <c r="J793" s="35">
        <f>+G793-H793+I793</f>
        <v>1167879</v>
      </c>
      <c r="K793" s="28">
        <v>0</v>
      </c>
      <c r="L793" s="32">
        <v>0</v>
      </c>
      <c r="M793" s="35">
        <f>+J793+L793</f>
        <v>1167879</v>
      </c>
      <c r="N793" s="28" t="s">
        <v>1411</v>
      </c>
      <c r="O793" s="29" t="s">
        <v>1412</v>
      </c>
      <c r="P793" s="36" t="s">
        <v>1413</v>
      </c>
      <c r="Q793" s="31">
        <v>29598.01</v>
      </c>
      <c r="R793" s="33">
        <f>+M793/Q793</f>
        <v>39.458024373935956</v>
      </c>
    </row>
    <row r="794" spans="1:18" s="30" customFormat="1" ht="15" customHeight="1">
      <c r="A794" s="37" t="s">
        <v>293</v>
      </c>
      <c r="B794" s="26" t="s">
        <v>294</v>
      </c>
      <c r="C794" s="39">
        <v>392</v>
      </c>
      <c r="D794" s="40" t="s">
        <v>1450</v>
      </c>
      <c r="E794" s="38" t="s">
        <v>3</v>
      </c>
      <c r="F794" s="38" t="s">
        <v>10</v>
      </c>
      <c r="G794" s="32">
        <v>0</v>
      </c>
      <c r="H794" s="32">
        <v>0</v>
      </c>
      <c r="I794" s="32">
        <v>3349090</v>
      </c>
      <c r="J794" s="35">
        <f>+G794-H794+I794</f>
        <v>3349090</v>
      </c>
      <c r="K794" s="28">
        <v>0</v>
      </c>
      <c r="L794" s="32">
        <v>0</v>
      </c>
      <c r="M794" s="35">
        <f>+J794+L794</f>
        <v>3349090</v>
      </c>
      <c r="N794" s="28" t="s">
        <v>1411</v>
      </c>
      <c r="O794" s="29" t="s">
        <v>1412</v>
      </c>
      <c r="P794" s="36" t="s">
        <v>1413</v>
      </c>
      <c r="Q794" s="31">
        <v>29598.01</v>
      </c>
      <c r="R794" s="33">
        <f>+M794/Q794</f>
        <v>113.15253964709115</v>
      </c>
    </row>
    <row r="795" spans="1:18" s="30" customFormat="1" ht="15" customHeight="1">
      <c r="A795" s="37" t="s">
        <v>293</v>
      </c>
      <c r="B795" s="26" t="s">
        <v>294</v>
      </c>
      <c r="C795" s="39">
        <v>390</v>
      </c>
      <c r="D795" s="40" t="s">
        <v>1451</v>
      </c>
      <c r="E795" s="38" t="s">
        <v>3</v>
      </c>
      <c r="F795" s="38" t="s">
        <v>11</v>
      </c>
      <c r="G795" s="32">
        <v>1421905</v>
      </c>
      <c r="H795" s="32">
        <v>0</v>
      </c>
      <c r="I795" s="32">
        <v>2637998</v>
      </c>
      <c r="J795" s="35">
        <f>+G795-H795+I795</f>
        <v>4059903</v>
      </c>
      <c r="K795" s="28">
        <v>0</v>
      </c>
      <c r="L795" s="32">
        <v>0</v>
      </c>
      <c r="M795" s="35">
        <f>+J795+L795</f>
        <v>4059903</v>
      </c>
      <c r="N795" s="28" t="s">
        <v>1377</v>
      </c>
      <c r="O795" s="29" t="s">
        <v>1378</v>
      </c>
      <c r="P795" s="36" t="s">
        <v>1379</v>
      </c>
      <c r="Q795" s="31">
        <v>30683.439999999999</v>
      </c>
      <c r="R795" s="33">
        <f>+M795/Q795</f>
        <v>132.31577033083644</v>
      </c>
    </row>
    <row r="796" spans="1:18" s="30" customFormat="1" ht="15" customHeight="1">
      <c r="A796" s="37" t="s">
        <v>293</v>
      </c>
      <c r="B796" s="26" t="s">
        <v>294</v>
      </c>
      <c r="C796" s="39">
        <v>389</v>
      </c>
      <c r="D796" s="40" t="s">
        <v>1452</v>
      </c>
      <c r="E796" s="38" t="s">
        <v>3</v>
      </c>
      <c r="F796" s="38" t="s">
        <v>11</v>
      </c>
      <c r="G796" s="32">
        <v>1213753</v>
      </c>
      <c r="H796" s="32">
        <v>0</v>
      </c>
      <c r="I796" s="52">
        <v>0</v>
      </c>
      <c r="J796" s="35">
        <f>+G796-H796+I796</f>
        <v>1213753</v>
      </c>
      <c r="K796" s="28">
        <v>0</v>
      </c>
      <c r="L796" s="32">
        <v>0</v>
      </c>
      <c r="M796" s="35">
        <f>+J796+L796</f>
        <v>1213753</v>
      </c>
      <c r="N796" s="28" t="s">
        <v>1411</v>
      </c>
      <c r="O796" s="29" t="s">
        <v>1412</v>
      </c>
      <c r="P796" s="36" t="s">
        <v>1413</v>
      </c>
      <c r="Q796" s="31">
        <v>29598.01</v>
      </c>
      <c r="R796" s="33">
        <f>+M796/Q796</f>
        <v>41.007925870691984</v>
      </c>
    </row>
    <row r="797" spans="1:18" s="30" customFormat="1" ht="15" customHeight="1">
      <c r="A797" s="37" t="s">
        <v>293</v>
      </c>
      <c r="B797" s="26" t="s">
        <v>294</v>
      </c>
      <c r="C797" s="39">
        <v>388</v>
      </c>
      <c r="D797" s="40" t="s">
        <v>1453</v>
      </c>
      <c r="E797" s="38" t="s">
        <v>3</v>
      </c>
      <c r="F797" s="38" t="s">
        <v>12</v>
      </c>
      <c r="G797" s="32">
        <v>23206380</v>
      </c>
      <c r="H797" s="32">
        <v>0</v>
      </c>
      <c r="I797" s="52">
        <v>0</v>
      </c>
      <c r="J797" s="35">
        <f>+G797-H797+I797</f>
        <v>23206380</v>
      </c>
      <c r="K797" s="28">
        <v>0</v>
      </c>
      <c r="L797" s="32">
        <v>0</v>
      </c>
      <c r="M797" s="35">
        <f>+J797+L797</f>
        <v>23206380</v>
      </c>
      <c r="N797" s="28" t="s">
        <v>1354</v>
      </c>
      <c r="O797" s="29" t="s">
        <v>1355</v>
      </c>
      <c r="P797" s="36">
        <v>44335</v>
      </c>
      <c r="Q797" s="31">
        <v>29567.53</v>
      </c>
      <c r="R797" s="33">
        <f>M797/Q797</f>
        <v>784.86028423747268</v>
      </c>
    </row>
    <row r="798" spans="1:18" s="30" customFormat="1" ht="15" customHeight="1">
      <c r="A798" s="37" t="s">
        <v>293</v>
      </c>
      <c r="B798" s="26" t="s">
        <v>294</v>
      </c>
      <c r="C798" s="39">
        <v>387</v>
      </c>
      <c r="D798" s="40" t="s">
        <v>1454</v>
      </c>
      <c r="E798" s="38" t="s">
        <v>4</v>
      </c>
      <c r="F798" s="38" t="s">
        <v>11</v>
      </c>
      <c r="G798" s="32">
        <v>3569657</v>
      </c>
      <c r="H798" s="32">
        <v>1648296</v>
      </c>
      <c r="I798" s="32">
        <v>1935539</v>
      </c>
      <c r="J798" s="35">
        <f>+G798-H798+I798</f>
        <v>3856900</v>
      </c>
      <c r="K798" s="28">
        <v>0</v>
      </c>
      <c r="L798" s="32">
        <v>0</v>
      </c>
      <c r="M798" s="35">
        <f>+J798+L798</f>
        <v>3856900</v>
      </c>
      <c r="N798" s="28" t="s">
        <v>1377</v>
      </c>
      <c r="O798" s="29" t="s">
        <v>1378</v>
      </c>
      <c r="P798" s="36" t="s">
        <v>1379</v>
      </c>
      <c r="Q798" s="31">
        <v>30683.439999999999</v>
      </c>
      <c r="R798" s="33">
        <f>+M798/Q798</f>
        <v>125.69972597596619</v>
      </c>
    </row>
    <row r="799" spans="1:18" s="30" customFormat="1" ht="15" customHeight="1">
      <c r="A799" s="37" t="s">
        <v>293</v>
      </c>
      <c r="B799" s="26" t="s">
        <v>294</v>
      </c>
      <c r="C799" s="39">
        <v>386</v>
      </c>
      <c r="D799" s="40" t="s">
        <v>1455</v>
      </c>
      <c r="E799" s="38" t="s">
        <v>4</v>
      </c>
      <c r="F799" s="38" t="s">
        <v>11</v>
      </c>
      <c r="G799" s="32">
        <v>0</v>
      </c>
      <c r="H799" s="32">
        <v>0</v>
      </c>
      <c r="I799" s="32">
        <v>1739064</v>
      </c>
      <c r="J799" s="35">
        <f>+G799-H799+I799</f>
        <v>1739064</v>
      </c>
      <c r="K799" s="28">
        <v>0</v>
      </c>
      <c r="L799" s="32">
        <v>0</v>
      </c>
      <c r="M799" s="35">
        <f>+J799+L799</f>
        <v>1739064</v>
      </c>
      <c r="N799" s="28" t="s">
        <v>1411</v>
      </c>
      <c r="O799" s="29" t="s">
        <v>1412</v>
      </c>
      <c r="P799" s="36" t="s">
        <v>1413</v>
      </c>
      <c r="Q799" s="31">
        <v>29598.01</v>
      </c>
      <c r="R799" s="33">
        <f>+M799/Q799</f>
        <v>58.756112319713388</v>
      </c>
    </row>
    <row r="800" spans="1:18" s="30" customFormat="1" ht="15" customHeight="1">
      <c r="A800" s="37" t="s">
        <v>293</v>
      </c>
      <c r="B800" s="26" t="s">
        <v>294</v>
      </c>
      <c r="C800" s="39">
        <v>385</v>
      </c>
      <c r="D800" s="40" t="s">
        <v>1456</v>
      </c>
      <c r="E800" s="38" t="s">
        <v>3</v>
      </c>
      <c r="F800" s="38" t="s">
        <v>11</v>
      </c>
      <c r="G800" s="32">
        <v>1202463</v>
      </c>
      <c r="H800" s="32">
        <v>0</v>
      </c>
      <c r="I800" s="52">
        <v>0</v>
      </c>
      <c r="J800" s="35">
        <f>+G800-H800+I800</f>
        <v>1202463</v>
      </c>
      <c r="K800" s="28">
        <v>0</v>
      </c>
      <c r="L800" s="32">
        <v>0</v>
      </c>
      <c r="M800" s="35">
        <f>+J800+L800</f>
        <v>1202463</v>
      </c>
      <c r="N800" s="28" t="s">
        <v>1411</v>
      </c>
      <c r="O800" s="29" t="s">
        <v>1412</v>
      </c>
      <c r="P800" s="36" t="s">
        <v>1413</v>
      </c>
      <c r="Q800" s="31">
        <v>29598.01</v>
      </c>
      <c r="R800" s="33">
        <f>+M800/Q800</f>
        <v>40.626481307358169</v>
      </c>
    </row>
    <row r="801" spans="1:18" s="30" customFormat="1" ht="15" customHeight="1">
      <c r="A801" s="37" t="s">
        <v>293</v>
      </c>
      <c r="B801" s="26" t="s">
        <v>294</v>
      </c>
      <c r="C801" s="39">
        <v>384</v>
      </c>
      <c r="D801" s="40" t="s">
        <v>1457</v>
      </c>
      <c r="E801" s="38" t="s">
        <v>3</v>
      </c>
      <c r="F801" s="38" t="s">
        <v>15</v>
      </c>
      <c r="G801" s="32">
        <v>6025338</v>
      </c>
      <c r="H801" s="32">
        <v>0</v>
      </c>
      <c r="I801" s="32">
        <v>3183336</v>
      </c>
      <c r="J801" s="35">
        <f>+G801-H801+I801</f>
        <v>9208674</v>
      </c>
      <c r="K801" s="28">
        <v>0</v>
      </c>
      <c r="L801" s="32">
        <v>0</v>
      </c>
      <c r="M801" s="35">
        <f>+J801+L801</f>
        <v>9208674</v>
      </c>
      <c r="N801" s="28" t="s">
        <v>1377</v>
      </c>
      <c r="O801" s="29" t="s">
        <v>1378</v>
      </c>
      <c r="P801" s="36" t="s">
        <v>1379</v>
      </c>
      <c r="Q801" s="31">
        <v>30683.439999999999</v>
      </c>
      <c r="R801" s="33">
        <f>+M801/Q801</f>
        <v>300.11869594804233</v>
      </c>
    </row>
    <row r="802" spans="1:18" s="30" customFormat="1" ht="15" customHeight="1">
      <c r="A802" s="37" t="s">
        <v>293</v>
      </c>
      <c r="B802" s="26" t="s">
        <v>294</v>
      </c>
      <c r="C802" s="39">
        <v>380</v>
      </c>
      <c r="D802" s="40" t="s">
        <v>1458</v>
      </c>
      <c r="E802" s="38" t="s">
        <v>4</v>
      </c>
      <c r="F802" s="38" t="s">
        <v>13</v>
      </c>
      <c r="G802" s="32">
        <v>48542559</v>
      </c>
      <c r="H802" s="32">
        <v>0</v>
      </c>
      <c r="I802" s="32">
        <v>3359633</v>
      </c>
      <c r="J802" s="35">
        <f>+G802-H802+I802</f>
        <v>51902192</v>
      </c>
      <c r="K802" s="28">
        <v>0</v>
      </c>
      <c r="L802" s="32">
        <v>0</v>
      </c>
      <c r="M802" s="35">
        <f>+J802+L802</f>
        <v>51902192</v>
      </c>
      <c r="N802" s="28" t="s">
        <v>1377</v>
      </c>
      <c r="O802" s="29" t="s">
        <v>1378</v>
      </c>
      <c r="P802" s="36" t="s">
        <v>1379</v>
      </c>
      <c r="Q802" s="31">
        <v>30683.439999999999</v>
      </c>
      <c r="R802" s="33">
        <f>+M802/Q802</f>
        <v>1691.5375850947612</v>
      </c>
    </row>
    <row r="803" spans="1:18" s="30" customFormat="1" ht="15" customHeight="1">
      <c r="A803" s="37" t="s">
        <v>293</v>
      </c>
      <c r="B803" s="26" t="s">
        <v>294</v>
      </c>
      <c r="C803" s="39">
        <v>377</v>
      </c>
      <c r="D803" s="40" t="s">
        <v>1459</v>
      </c>
      <c r="E803" s="38" t="s">
        <v>3</v>
      </c>
      <c r="F803" s="38" t="s">
        <v>10</v>
      </c>
      <c r="G803" s="32">
        <v>432088</v>
      </c>
      <c r="H803" s="32">
        <v>145515</v>
      </c>
      <c r="I803" s="32">
        <v>2411739</v>
      </c>
      <c r="J803" s="35">
        <f>+G803-H803+I803</f>
        <v>2698312</v>
      </c>
      <c r="K803" s="28">
        <v>0</v>
      </c>
      <c r="L803" s="32">
        <v>0</v>
      </c>
      <c r="M803" s="35">
        <f>+J803+L803</f>
        <v>2698312</v>
      </c>
      <c r="N803" s="28" t="s">
        <v>1411</v>
      </c>
      <c r="O803" s="29" t="s">
        <v>1412</v>
      </c>
      <c r="P803" s="36" t="s">
        <v>1413</v>
      </c>
      <c r="Q803" s="31">
        <v>29598.01</v>
      </c>
      <c r="R803" s="33">
        <f>+M803/Q803</f>
        <v>91.165318208893098</v>
      </c>
    </row>
    <row r="804" spans="1:18" s="30" customFormat="1" ht="15" customHeight="1">
      <c r="A804" s="37" t="s">
        <v>293</v>
      </c>
      <c r="B804" s="26" t="s">
        <v>294</v>
      </c>
      <c r="C804" s="39">
        <v>375</v>
      </c>
      <c r="D804" s="40" t="s">
        <v>1460</v>
      </c>
      <c r="E804" s="38" t="s">
        <v>3</v>
      </c>
      <c r="F804" s="38" t="s">
        <v>11</v>
      </c>
      <c r="G804" s="32">
        <v>172768970</v>
      </c>
      <c r="H804" s="32">
        <v>680653320</v>
      </c>
      <c r="I804" s="32">
        <v>1052277743</v>
      </c>
      <c r="J804" s="35">
        <f>+G804-H804+I804</f>
        <v>544393393</v>
      </c>
      <c r="K804" s="28">
        <v>0</v>
      </c>
      <c r="L804" s="32">
        <v>0</v>
      </c>
      <c r="M804" s="35">
        <f>+J804+L804</f>
        <v>544393393</v>
      </c>
      <c r="N804" s="28" t="s">
        <v>1411</v>
      </c>
      <c r="O804" s="29" t="s">
        <v>1412</v>
      </c>
      <c r="P804" s="36" t="s">
        <v>1413</v>
      </c>
      <c r="Q804" s="31">
        <v>29598.01</v>
      </c>
      <c r="R804" s="33">
        <f>+M804/Q804</f>
        <v>18392.905232480156</v>
      </c>
    </row>
    <row r="805" spans="1:18" s="30" customFormat="1" ht="15" customHeight="1">
      <c r="A805" s="37" t="s">
        <v>293</v>
      </c>
      <c r="B805" s="26" t="s">
        <v>294</v>
      </c>
      <c r="C805" s="39">
        <v>374</v>
      </c>
      <c r="D805" s="40" t="s">
        <v>1461</v>
      </c>
      <c r="E805" s="38" t="s">
        <v>3</v>
      </c>
      <c r="F805" s="38" t="s">
        <v>13</v>
      </c>
      <c r="G805" s="32">
        <v>7625685</v>
      </c>
      <c r="H805" s="32">
        <v>14267203</v>
      </c>
      <c r="I805" s="32">
        <v>28696645</v>
      </c>
      <c r="J805" s="35">
        <f>+G805-H805+I805</f>
        <v>22055127</v>
      </c>
      <c r="K805" s="28">
        <v>0</v>
      </c>
      <c r="L805" s="32">
        <v>0</v>
      </c>
      <c r="M805" s="35">
        <f>+J805+L805</f>
        <v>22055127</v>
      </c>
      <c r="N805" s="28" t="s">
        <v>1411</v>
      </c>
      <c r="O805" s="29" t="s">
        <v>1412</v>
      </c>
      <c r="P805" s="36" t="s">
        <v>1413</v>
      </c>
      <c r="Q805" s="31">
        <v>29598.01</v>
      </c>
      <c r="R805" s="33">
        <f>+M805/Q805</f>
        <v>745.15573851079853</v>
      </c>
    </row>
    <row r="806" spans="1:18" s="30" customFormat="1" ht="15" customHeight="1">
      <c r="A806" s="37" t="s">
        <v>293</v>
      </c>
      <c r="B806" s="26" t="s">
        <v>294</v>
      </c>
      <c r="C806" s="39">
        <v>373</v>
      </c>
      <c r="D806" s="40" t="s">
        <v>1462</v>
      </c>
      <c r="E806" s="38" t="s">
        <v>3</v>
      </c>
      <c r="F806" s="38" t="s">
        <v>296</v>
      </c>
      <c r="G806" s="32">
        <v>0</v>
      </c>
      <c r="H806" s="32">
        <v>73876067</v>
      </c>
      <c r="I806" s="32">
        <v>41531367</v>
      </c>
      <c r="J806" s="35">
        <f>+G806-H806+I806</f>
        <v>-32344700</v>
      </c>
      <c r="K806" s="28">
        <v>0</v>
      </c>
      <c r="L806" s="32">
        <v>0</v>
      </c>
      <c r="M806" s="35">
        <f>+J806+L806</f>
        <v>-32344700</v>
      </c>
      <c r="N806" s="28" t="s">
        <v>1248</v>
      </c>
      <c r="O806" s="29" t="s">
        <v>1249</v>
      </c>
      <c r="P806" s="36">
        <v>44993</v>
      </c>
      <c r="Q806" s="31">
        <v>35590.620000000003</v>
      </c>
      <c r="R806" s="33">
        <f>+M806/Q806</f>
        <v>-908.79844183664113</v>
      </c>
    </row>
    <row r="807" spans="1:18" ht="15" customHeight="1">
      <c r="A807" s="37" t="s">
        <v>293</v>
      </c>
      <c r="B807" s="26" t="s">
        <v>294</v>
      </c>
      <c r="C807" s="39">
        <v>593</v>
      </c>
      <c r="D807" s="40" t="s">
        <v>1463</v>
      </c>
      <c r="E807" s="38" t="s">
        <v>3</v>
      </c>
      <c r="F807" s="38" t="s">
        <v>296</v>
      </c>
      <c r="G807" s="32">
        <v>663455</v>
      </c>
      <c r="H807" s="32">
        <v>0</v>
      </c>
      <c r="I807" s="32">
        <v>3255209</v>
      </c>
      <c r="J807" s="35">
        <f>+G807-H807+I807</f>
        <v>3918664</v>
      </c>
      <c r="K807" s="27" t="s">
        <v>401</v>
      </c>
      <c r="L807" s="32">
        <v>0</v>
      </c>
      <c r="M807" s="35">
        <f>+J807+L807</f>
        <v>3918664</v>
      </c>
      <c r="N807" s="55" t="s">
        <v>402</v>
      </c>
      <c r="O807" s="56" t="s">
        <v>403</v>
      </c>
      <c r="P807" s="56">
        <v>44524</v>
      </c>
      <c r="Q807" s="49">
        <v>30683.439999999999</v>
      </c>
      <c r="R807" s="57">
        <f>+M807/Q807</f>
        <v>127.71266846220632</v>
      </c>
    </row>
    <row r="808" spans="1:18" ht="15" customHeight="1">
      <c r="A808" s="37" t="s">
        <v>293</v>
      </c>
      <c r="B808" s="26" t="s">
        <v>294</v>
      </c>
      <c r="C808" s="39">
        <v>372</v>
      </c>
      <c r="D808" s="40" t="s">
        <v>1464</v>
      </c>
      <c r="E808" s="38" t="s">
        <v>3</v>
      </c>
      <c r="F808" s="38" t="s">
        <v>11</v>
      </c>
      <c r="G808" s="32">
        <v>0</v>
      </c>
      <c r="H808" s="32">
        <v>12628069</v>
      </c>
      <c r="I808" s="32">
        <v>18235916</v>
      </c>
      <c r="J808" s="35">
        <f>+G808-H808+I808</f>
        <v>5607847</v>
      </c>
      <c r="K808" s="28">
        <v>0</v>
      </c>
      <c r="L808" s="32">
        <v>0</v>
      </c>
      <c r="M808" s="35">
        <f>+J808+L808</f>
        <v>5607847</v>
      </c>
      <c r="N808" s="28" t="s">
        <v>1411</v>
      </c>
      <c r="O808" s="29" t="s">
        <v>1412</v>
      </c>
      <c r="P808" s="36" t="s">
        <v>1413</v>
      </c>
      <c r="Q808" s="31">
        <v>29598.01</v>
      </c>
      <c r="R808" s="33">
        <f>+M808/Q808</f>
        <v>189.46702835764972</v>
      </c>
    </row>
    <row r="809" spans="1:18" ht="15" customHeight="1">
      <c r="A809" s="37" t="s">
        <v>293</v>
      </c>
      <c r="B809" s="26" t="s">
        <v>294</v>
      </c>
      <c r="C809" s="39">
        <v>369</v>
      </c>
      <c r="D809" s="40" t="s">
        <v>1465</v>
      </c>
      <c r="E809" s="38" t="s">
        <v>3</v>
      </c>
      <c r="F809" s="38" t="s">
        <v>20</v>
      </c>
      <c r="G809" s="32">
        <v>98116724</v>
      </c>
      <c r="H809" s="32">
        <v>29151425</v>
      </c>
      <c r="I809" s="32">
        <v>18604285</v>
      </c>
      <c r="J809" s="35">
        <f>+G809-H809+I809</f>
        <v>87569584</v>
      </c>
      <c r="K809" s="28">
        <v>0</v>
      </c>
      <c r="L809" s="32">
        <v>0</v>
      </c>
      <c r="M809" s="35">
        <f>+J809+L809</f>
        <v>87569584</v>
      </c>
      <c r="N809" s="55" t="s">
        <v>1336</v>
      </c>
      <c r="O809" s="56" t="s">
        <v>1337</v>
      </c>
      <c r="P809" s="56">
        <v>44484</v>
      </c>
      <c r="Q809" s="49">
        <v>30194.06</v>
      </c>
      <c r="R809" s="57">
        <f>M809/Q809</f>
        <v>2900.225541050127</v>
      </c>
    </row>
    <row r="810" spans="1:18" ht="15" customHeight="1">
      <c r="A810" s="37" t="s">
        <v>293</v>
      </c>
      <c r="B810" s="26" t="s">
        <v>294</v>
      </c>
      <c r="C810" s="39">
        <v>366</v>
      </c>
      <c r="D810" s="40" t="s">
        <v>1466</v>
      </c>
      <c r="E810" s="38" t="s">
        <v>3</v>
      </c>
      <c r="F810" s="38" t="s">
        <v>11</v>
      </c>
      <c r="G810" s="32">
        <v>3025467</v>
      </c>
      <c r="H810" s="32">
        <v>0</v>
      </c>
      <c r="I810" s="32">
        <v>10363841</v>
      </c>
      <c r="J810" s="35">
        <f>+G810-H810+I810</f>
        <v>13389308</v>
      </c>
      <c r="K810" s="28">
        <v>0</v>
      </c>
      <c r="L810" s="32">
        <v>0</v>
      </c>
      <c r="M810" s="35">
        <f>+J810+L810</f>
        <v>13389308</v>
      </c>
      <c r="N810" s="28" t="s">
        <v>1411</v>
      </c>
      <c r="O810" s="29" t="s">
        <v>1412</v>
      </c>
      <c r="P810" s="36" t="s">
        <v>1413</v>
      </c>
      <c r="Q810" s="31">
        <v>29598.01</v>
      </c>
      <c r="R810" s="33">
        <f>+M810/Q810</f>
        <v>452.37189932701557</v>
      </c>
    </row>
    <row r="811" spans="1:18" ht="15" customHeight="1">
      <c r="A811" s="37" t="s">
        <v>293</v>
      </c>
      <c r="B811" s="26" t="s">
        <v>294</v>
      </c>
      <c r="C811" s="39">
        <v>365</v>
      </c>
      <c r="D811" s="40" t="s">
        <v>1467</v>
      </c>
      <c r="E811" s="38" t="s">
        <v>3</v>
      </c>
      <c r="F811" s="38" t="s">
        <v>20</v>
      </c>
      <c r="G811" s="32">
        <v>0</v>
      </c>
      <c r="H811" s="32">
        <v>0</v>
      </c>
      <c r="I811" s="32">
        <v>5045330</v>
      </c>
      <c r="J811" s="35">
        <f>+G811-H811+I811</f>
        <v>5045330</v>
      </c>
      <c r="K811" s="28">
        <v>0</v>
      </c>
      <c r="L811" s="32">
        <v>0</v>
      </c>
      <c r="M811" s="35">
        <f>+J811+L811</f>
        <v>5045330</v>
      </c>
      <c r="N811" s="28" t="s">
        <v>1411</v>
      </c>
      <c r="O811" s="29" t="s">
        <v>1412</v>
      </c>
      <c r="P811" s="36" t="s">
        <v>1413</v>
      </c>
      <c r="Q811" s="31">
        <v>29598.01</v>
      </c>
      <c r="R811" s="33">
        <f>+M811/Q811</f>
        <v>170.46179793844249</v>
      </c>
    </row>
    <row r="812" spans="1:18" ht="15" customHeight="1">
      <c r="A812" s="37" t="s">
        <v>293</v>
      </c>
      <c r="B812" s="26" t="s">
        <v>294</v>
      </c>
      <c r="C812" s="39">
        <v>363</v>
      </c>
      <c r="D812" s="40" t="s">
        <v>1468</v>
      </c>
      <c r="E812" s="38" t="s">
        <v>3</v>
      </c>
      <c r="F812" s="38" t="s">
        <v>19</v>
      </c>
      <c r="G812" s="32">
        <v>5066277</v>
      </c>
      <c r="H812" s="32">
        <v>0</v>
      </c>
      <c r="I812" s="32">
        <v>1023546</v>
      </c>
      <c r="J812" s="35">
        <f>+G812-H812+I812</f>
        <v>6089823</v>
      </c>
      <c r="K812" s="28">
        <v>0</v>
      </c>
      <c r="L812" s="32">
        <v>0</v>
      </c>
      <c r="M812" s="35">
        <f>+J812+L812</f>
        <v>6089823</v>
      </c>
      <c r="N812" s="28" t="s">
        <v>1411</v>
      </c>
      <c r="O812" s="29" t="s">
        <v>1412</v>
      </c>
      <c r="P812" s="36" t="s">
        <v>1413</v>
      </c>
      <c r="Q812" s="31">
        <v>29598.01</v>
      </c>
      <c r="R812" s="33">
        <f>+M812/Q812</f>
        <v>205.75109610409621</v>
      </c>
    </row>
    <row r="813" spans="1:18" ht="15" customHeight="1">
      <c r="A813" s="37" t="s">
        <v>293</v>
      </c>
      <c r="B813" s="26" t="s">
        <v>294</v>
      </c>
      <c r="C813" s="39">
        <v>362</v>
      </c>
      <c r="D813" s="40" t="s">
        <v>1469</v>
      </c>
      <c r="E813" s="38" t="s">
        <v>198</v>
      </c>
      <c r="F813" s="38" t="s">
        <v>11</v>
      </c>
      <c r="G813" s="32">
        <v>3976366</v>
      </c>
      <c r="H813" s="32">
        <v>0</v>
      </c>
      <c r="I813" s="52">
        <v>0</v>
      </c>
      <c r="J813" s="35">
        <f>+G813-H813+I813</f>
        <v>3976366</v>
      </c>
      <c r="K813" s="28">
        <v>0</v>
      </c>
      <c r="L813" s="32">
        <v>0</v>
      </c>
      <c r="M813" s="35">
        <f>+J813+L813</f>
        <v>3976366</v>
      </c>
      <c r="N813" s="28" t="s">
        <v>1377</v>
      </c>
      <c r="O813" s="29" t="s">
        <v>1378</v>
      </c>
      <c r="P813" s="36" t="s">
        <v>1379</v>
      </c>
      <c r="Q813" s="31">
        <v>30683.439999999999</v>
      </c>
      <c r="R813" s="33">
        <f>+M813/Q813</f>
        <v>129.59322683506153</v>
      </c>
    </row>
    <row r="814" spans="1:18" ht="15" customHeight="1">
      <c r="A814" s="37" t="s">
        <v>293</v>
      </c>
      <c r="B814" s="26" t="s">
        <v>294</v>
      </c>
      <c r="C814" s="39">
        <v>360</v>
      </c>
      <c r="D814" s="40" t="s">
        <v>1470</v>
      </c>
      <c r="E814" s="38" t="s">
        <v>3</v>
      </c>
      <c r="F814" s="38" t="s">
        <v>11</v>
      </c>
      <c r="G814" s="32">
        <v>0</v>
      </c>
      <c r="H814" s="32">
        <v>0</v>
      </c>
      <c r="I814" s="32">
        <v>33680176</v>
      </c>
      <c r="J814" s="35">
        <f>+G814-H814+I814</f>
        <v>33680176</v>
      </c>
      <c r="K814" s="28">
        <v>0</v>
      </c>
      <c r="L814" s="32">
        <v>0</v>
      </c>
      <c r="M814" s="35">
        <f>+J814+L814</f>
        <v>33680176</v>
      </c>
      <c r="N814" s="28" t="s">
        <v>1377</v>
      </c>
      <c r="O814" s="29" t="s">
        <v>1378</v>
      </c>
      <c r="P814" s="36" t="s">
        <v>1379</v>
      </c>
      <c r="Q814" s="31">
        <v>30683.439999999999</v>
      </c>
      <c r="R814" s="33">
        <f>+M814/Q814</f>
        <v>1097.6662329908252</v>
      </c>
    </row>
    <row r="815" spans="1:18" ht="15" customHeight="1">
      <c r="A815" s="37" t="s">
        <v>293</v>
      </c>
      <c r="B815" s="26" t="s">
        <v>294</v>
      </c>
      <c r="C815" s="39">
        <v>358</v>
      </c>
      <c r="D815" s="40" t="s">
        <v>1471</v>
      </c>
      <c r="E815" s="38" t="s">
        <v>4</v>
      </c>
      <c r="F815" s="38" t="s">
        <v>11</v>
      </c>
      <c r="G815" s="32">
        <v>0</v>
      </c>
      <c r="H815" s="32">
        <v>84249480</v>
      </c>
      <c r="I815" s="32">
        <v>46704682</v>
      </c>
      <c r="J815" s="35">
        <f>+G815-H815+I815</f>
        <v>-37544798</v>
      </c>
      <c r="K815" s="28">
        <v>0</v>
      </c>
      <c r="L815" s="32">
        <v>0</v>
      </c>
      <c r="M815" s="35">
        <f>+J815+L815</f>
        <v>-37544798</v>
      </c>
      <c r="N815" s="28" t="s">
        <v>1354</v>
      </c>
      <c r="O815" s="29" t="s">
        <v>1355</v>
      </c>
      <c r="P815" s="36">
        <v>44335</v>
      </c>
      <c r="Q815" s="31">
        <v>29567.53</v>
      </c>
      <c r="R815" s="33">
        <f>M815/Q815</f>
        <v>-1269.798255045315</v>
      </c>
    </row>
    <row r="816" spans="1:18" ht="15" customHeight="1">
      <c r="A816" s="37" t="s">
        <v>293</v>
      </c>
      <c r="B816" s="26" t="s">
        <v>294</v>
      </c>
      <c r="C816" s="39">
        <v>357</v>
      </c>
      <c r="D816" s="40" t="s">
        <v>1472</v>
      </c>
      <c r="E816" s="38" t="s">
        <v>4</v>
      </c>
      <c r="F816" s="38" t="s">
        <v>11</v>
      </c>
      <c r="G816" s="32">
        <v>0</v>
      </c>
      <c r="H816" s="32">
        <v>0</v>
      </c>
      <c r="I816" s="32">
        <v>46890525</v>
      </c>
      <c r="J816" s="35">
        <f>+G816-H816+I816</f>
        <v>46890525</v>
      </c>
      <c r="K816" s="28">
        <v>0</v>
      </c>
      <c r="L816" s="32">
        <v>0</v>
      </c>
      <c r="M816" s="35">
        <f>+J816+L816</f>
        <v>46890525</v>
      </c>
      <c r="N816" s="28" t="s">
        <v>1411</v>
      </c>
      <c r="O816" s="29" t="s">
        <v>1412</v>
      </c>
      <c r="P816" s="36" t="s">
        <v>1413</v>
      </c>
      <c r="Q816" s="31">
        <v>29598.01</v>
      </c>
      <c r="R816" s="33">
        <f>+M816/Q816</f>
        <v>1584.2458665295403</v>
      </c>
    </row>
    <row r="817" spans="1:18" ht="15" customHeight="1">
      <c r="A817" s="37" t="s">
        <v>293</v>
      </c>
      <c r="B817" s="26" t="s">
        <v>294</v>
      </c>
      <c r="C817" s="39">
        <v>356</v>
      </c>
      <c r="D817" s="40" t="s">
        <v>1473</v>
      </c>
      <c r="E817" s="38" t="s">
        <v>3</v>
      </c>
      <c r="F817" s="38" t="s">
        <v>12</v>
      </c>
      <c r="G817" s="32">
        <v>1164422</v>
      </c>
      <c r="H817" s="32">
        <v>0</v>
      </c>
      <c r="I817" s="32">
        <v>4913860</v>
      </c>
      <c r="J817" s="35">
        <f>+G817-H817+I817</f>
        <v>6078282</v>
      </c>
      <c r="K817" s="28">
        <v>0</v>
      </c>
      <c r="L817" s="32">
        <v>0</v>
      </c>
      <c r="M817" s="35">
        <f>+J817+L817</f>
        <v>6078282</v>
      </c>
      <c r="N817" s="28" t="s">
        <v>1411</v>
      </c>
      <c r="O817" s="29" t="s">
        <v>1412</v>
      </c>
      <c r="P817" s="36" t="s">
        <v>1413</v>
      </c>
      <c r="Q817" s="31">
        <v>29598.01</v>
      </c>
      <c r="R817" s="33">
        <f>+M817/Q817</f>
        <v>205.36117124090438</v>
      </c>
    </row>
    <row r="818" spans="1:18" ht="15" customHeight="1">
      <c r="A818" s="37" t="s">
        <v>293</v>
      </c>
      <c r="B818" s="26" t="s">
        <v>294</v>
      </c>
      <c r="C818" s="39">
        <v>355</v>
      </c>
      <c r="D818" s="40" t="s">
        <v>1474</v>
      </c>
      <c r="E818" s="38" t="s">
        <v>3</v>
      </c>
      <c r="F818" s="38" t="s">
        <v>11</v>
      </c>
      <c r="G818" s="32">
        <v>3762976</v>
      </c>
      <c r="H818" s="32">
        <v>0</v>
      </c>
      <c r="I818" s="32">
        <v>3378481</v>
      </c>
      <c r="J818" s="35">
        <f>+G818-H818+I818</f>
        <v>7141457</v>
      </c>
      <c r="K818" s="28">
        <v>0</v>
      </c>
      <c r="L818" s="32">
        <v>0</v>
      </c>
      <c r="M818" s="35">
        <f>+J818+L818</f>
        <v>7141457</v>
      </c>
      <c r="N818" s="28" t="s">
        <v>1411</v>
      </c>
      <c r="O818" s="29" t="s">
        <v>1412</v>
      </c>
      <c r="P818" s="36" t="s">
        <v>1413</v>
      </c>
      <c r="Q818" s="31">
        <v>29598.01</v>
      </c>
      <c r="R818" s="33">
        <f>+M818/Q818</f>
        <v>241.28166049001268</v>
      </c>
    </row>
    <row r="819" spans="1:18" ht="15" customHeight="1">
      <c r="A819" s="37" t="s">
        <v>293</v>
      </c>
      <c r="B819" s="26" t="s">
        <v>294</v>
      </c>
      <c r="C819" s="39">
        <v>354</v>
      </c>
      <c r="D819" s="40" t="s">
        <v>1475</v>
      </c>
      <c r="E819" s="38" t="s">
        <v>3</v>
      </c>
      <c r="F819" s="38" t="s">
        <v>12</v>
      </c>
      <c r="G819" s="32">
        <v>2366560</v>
      </c>
      <c r="H819" s="32">
        <v>0</v>
      </c>
      <c r="I819" s="32">
        <v>10417382</v>
      </c>
      <c r="J819" s="35">
        <f>+G819-H819+I819</f>
        <v>12783942</v>
      </c>
      <c r="K819" s="28">
        <v>0</v>
      </c>
      <c r="L819" s="32">
        <v>0</v>
      </c>
      <c r="M819" s="35">
        <f>+J819+L819</f>
        <v>12783942</v>
      </c>
      <c r="N819" s="28" t="s">
        <v>1411</v>
      </c>
      <c r="O819" s="29" t="s">
        <v>1412</v>
      </c>
      <c r="P819" s="36" t="s">
        <v>1413</v>
      </c>
      <c r="Q819" s="31">
        <v>29598.01</v>
      </c>
      <c r="R819" s="33">
        <f>+M819/Q819</f>
        <v>431.91897022806603</v>
      </c>
    </row>
    <row r="820" spans="1:18" ht="15" customHeight="1">
      <c r="A820" s="37" t="s">
        <v>293</v>
      </c>
      <c r="B820" s="26" t="s">
        <v>294</v>
      </c>
      <c r="C820" s="39">
        <v>353</v>
      </c>
      <c r="D820" s="40" t="s">
        <v>1476</v>
      </c>
      <c r="E820" s="38" t="s">
        <v>3</v>
      </c>
      <c r="F820" s="38" t="s">
        <v>12</v>
      </c>
      <c r="G820" s="32">
        <v>1078555</v>
      </c>
      <c r="H820" s="32">
        <v>0</v>
      </c>
      <c r="I820" s="32">
        <v>4520751</v>
      </c>
      <c r="J820" s="35">
        <f>+G820-H820+I820</f>
        <v>5599306</v>
      </c>
      <c r="K820" s="28">
        <v>0</v>
      </c>
      <c r="L820" s="32">
        <v>0</v>
      </c>
      <c r="M820" s="35">
        <f>+J820+L820</f>
        <v>5599306</v>
      </c>
      <c r="N820" s="28" t="s">
        <v>1411</v>
      </c>
      <c r="O820" s="29" t="s">
        <v>1412</v>
      </c>
      <c r="P820" s="36" t="s">
        <v>1413</v>
      </c>
      <c r="Q820" s="31">
        <v>29598.01</v>
      </c>
      <c r="R820" s="33">
        <f>+M820/Q820</f>
        <v>189.17846166009136</v>
      </c>
    </row>
    <row r="821" spans="1:18" ht="15" customHeight="1">
      <c r="A821" s="37" t="s">
        <v>293</v>
      </c>
      <c r="B821" s="26" t="s">
        <v>294</v>
      </c>
      <c r="C821" s="39">
        <v>352</v>
      </c>
      <c r="D821" s="40" t="s">
        <v>1477</v>
      </c>
      <c r="E821" s="38" t="s">
        <v>3</v>
      </c>
      <c r="F821" s="38" t="s">
        <v>12</v>
      </c>
      <c r="G821" s="32">
        <v>2066026</v>
      </c>
      <c r="H821" s="32">
        <v>0</v>
      </c>
      <c r="I821" s="32">
        <v>9041501</v>
      </c>
      <c r="J821" s="35">
        <f>+G821-H821+I821</f>
        <v>11107527</v>
      </c>
      <c r="K821" s="28">
        <v>0</v>
      </c>
      <c r="L821" s="32">
        <v>0</v>
      </c>
      <c r="M821" s="35">
        <f>+J821+L821</f>
        <v>11107527</v>
      </c>
      <c r="N821" s="28" t="s">
        <v>1411</v>
      </c>
      <c r="O821" s="29" t="s">
        <v>1412</v>
      </c>
      <c r="P821" s="36" t="s">
        <v>1413</v>
      </c>
      <c r="Q821" s="31">
        <v>29598.01</v>
      </c>
      <c r="R821" s="33">
        <f>+M821/Q821</f>
        <v>375.2795204812756</v>
      </c>
    </row>
    <row r="822" spans="1:18" ht="15" customHeight="1">
      <c r="A822" s="37" t="s">
        <v>293</v>
      </c>
      <c r="B822" s="26" t="s">
        <v>294</v>
      </c>
      <c r="C822" s="39">
        <v>351</v>
      </c>
      <c r="D822" s="40" t="s">
        <v>1478</v>
      </c>
      <c r="E822" s="38" t="s">
        <v>3</v>
      </c>
      <c r="F822" s="38" t="s">
        <v>12</v>
      </c>
      <c r="G822" s="32">
        <v>1078555</v>
      </c>
      <c r="H822" s="32">
        <v>0</v>
      </c>
      <c r="I822" s="32">
        <v>4520751</v>
      </c>
      <c r="J822" s="35">
        <f>+G822-H822+I822</f>
        <v>5599306</v>
      </c>
      <c r="K822" s="28">
        <v>0</v>
      </c>
      <c r="L822" s="32">
        <v>0</v>
      </c>
      <c r="M822" s="35">
        <f>+J822+L822</f>
        <v>5599306</v>
      </c>
      <c r="N822" s="28" t="s">
        <v>1411</v>
      </c>
      <c r="O822" s="29" t="s">
        <v>1412</v>
      </c>
      <c r="P822" s="36" t="s">
        <v>1413</v>
      </c>
      <c r="Q822" s="31">
        <v>29598.01</v>
      </c>
      <c r="R822" s="33">
        <f>+M822/Q822</f>
        <v>189.17846166009136</v>
      </c>
    </row>
    <row r="823" spans="1:18" ht="15" customHeight="1">
      <c r="A823" s="37" t="s">
        <v>293</v>
      </c>
      <c r="B823" s="26" t="s">
        <v>294</v>
      </c>
      <c r="C823" s="39">
        <v>350</v>
      </c>
      <c r="D823" s="40" t="s">
        <v>1479</v>
      </c>
      <c r="E823" s="38" t="s">
        <v>3</v>
      </c>
      <c r="F823" s="38" t="s">
        <v>12</v>
      </c>
      <c r="G823" s="32">
        <v>1078555</v>
      </c>
      <c r="H823" s="32">
        <v>0</v>
      </c>
      <c r="I823" s="32">
        <v>4520751</v>
      </c>
      <c r="J823" s="35">
        <f>+G823-H823+I823</f>
        <v>5599306</v>
      </c>
      <c r="K823" s="28">
        <v>0</v>
      </c>
      <c r="L823" s="32">
        <v>0</v>
      </c>
      <c r="M823" s="35">
        <f>+J823+L823</f>
        <v>5599306</v>
      </c>
      <c r="N823" s="28" t="s">
        <v>1411</v>
      </c>
      <c r="O823" s="29" t="s">
        <v>1412</v>
      </c>
      <c r="P823" s="36" t="s">
        <v>1413</v>
      </c>
      <c r="Q823" s="31">
        <v>29598.01</v>
      </c>
      <c r="R823" s="33">
        <f>+M823/Q823</f>
        <v>189.17846166009136</v>
      </c>
    </row>
    <row r="824" spans="1:18" ht="15" customHeight="1">
      <c r="A824" s="37" t="s">
        <v>293</v>
      </c>
      <c r="B824" s="26" t="s">
        <v>294</v>
      </c>
      <c r="C824" s="39">
        <v>349</v>
      </c>
      <c r="D824" s="40" t="s">
        <v>1480</v>
      </c>
      <c r="E824" s="38" t="s">
        <v>3</v>
      </c>
      <c r="F824" s="38" t="s">
        <v>12</v>
      </c>
      <c r="G824" s="32">
        <v>3096430</v>
      </c>
      <c r="H824" s="32">
        <v>0</v>
      </c>
      <c r="I824" s="32">
        <v>13758807</v>
      </c>
      <c r="J824" s="35">
        <f>+G824-H824+I824</f>
        <v>16855237</v>
      </c>
      <c r="K824" s="28">
        <v>0</v>
      </c>
      <c r="L824" s="32">
        <v>0</v>
      </c>
      <c r="M824" s="35">
        <f>+J824+L824</f>
        <v>16855237</v>
      </c>
      <c r="N824" s="28" t="s">
        <v>1411</v>
      </c>
      <c r="O824" s="29" t="s">
        <v>1412</v>
      </c>
      <c r="P824" s="36" t="s">
        <v>1413</v>
      </c>
      <c r="Q824" s="31">
        <v>29598.01</v>
      </c>
      <c r="R824" s="33">
        <f>+M824/Q824</f>
        <v>569.47196787892165</v>
      </c>
    </row>
    <row r="825" spans="1:18" ht="15" customHeight="1">
      <c r="A825" s="37" t="s">
        <v>166</v>
      </c>
      <c r="B825" s="26" t="s">
        <v>167</v>
      </c>
      <c r="C825" s="39" t="s">
        <v>1481</v>
      </c>
      <c r="D825" s="40" t="s">
        <v>1482</v>
      </c>
      <c r="E825" s="38" t="s">
        <v>3</v>
      </c>
      <c r="F825" s="38" t="s">
        <v>10</v>
      </c>
      <c r="G825" s="32">
        <v>723238</v>
      </c>
      <c r="H825" s="32">
        <v>0</v>
      </c>
      <c r="I825" s="52">
        <v>0</v>
      </c>
      <c r="J825" s="35">
        <f>+G825-H825+I825</f>
        <v>723238</v>
      </c>
      <c r="K825" s="27" t="s">
        <v>170</v>
      </c>
      <c r="L825" s="32">
        <v>0</v>
      </c>
      <c r="M825" s="35">
        <f>+J825+L825</f>
        <v>723238</v>
      </c>
      <c r="N825" s="28" t="s">
        <v>171</v>
      </c>
      <c r="O825" s="29" t="s">
        <v>172</v>
      </c>
      <c r="P825" s="36">
        <v>44341</v>
      </c>
      <c r="Q825" s="31">
        <v>29513.759999999998</v>
      </c>
      <c r="R825" s="33">
        <v>25</v>
      </c>
    </row>
    <row r="826" spans="1:18" ht="15" customHeight="1">
      <c r="A826" s="37" t="s">
        <v>293</v>
      </c>
      <c r="B826" s="26" t="s">
        <v>294</v>
      </c>
      <c r="C826" s="39">
        <v>348</v>
      </c>
      <c r="D826" s="40" t="s">
        <v>1483</v>
      </c>
      <c r="E826" s="38" t="s">
        <v>3</v>
      </c>
      <c r="F826" s="38" t="s">
        <v>11</v>
      </c>
      <c r="G826" s="32">
        <v>3750712</v>
      </c>
      <c r="H826" s="32">
        <v>302102</v>
      </c>
      <c r="I826" s="32">
        <v>326006</v>
      </c>
      <c r="J826" s="35">
        <f>+G826-H826+I826</f>
        <v>3774616</v>
      </c>
      <c r="K826" s="28">
        <v>0</v>
      </c>
      <c r="L826" s="32">
        <v>0</v>
      </c>
      <c r="M826" s="35">
        <f>+J826+L826</f>
        <v>3774616</v>
      </c>
      <c r="N826" s="28" t="s">
        <v>1411</v>
      </c>
      <c r="O826" s="29" t="s">
        <v>1412</v>
      </c>
      <c r="P826" s="36" t="s">
        <v>1413</v>
      </c>
      <c r="Q826" s="31">
        <v>29598.01</v>
      </c>
      <c r="R826" s="33">
        <f>+M826/Q826</f>
        <v>127.52938457686852</v>
      </c>
    </row>
    <row r="827" spans="1:18" ht="15" customHeight="1">
      <c r="A827" s="37" t="s">
        <v>293</v>
      </c>
      <c r="B827" s="26" t="s">
        <v>294</v>
      </c>
      <c r="C827" s="39">
        <v>347</v>
      </c>
      <c r="D827" s="40" t="s">
        <v>1484</v>
      </c>
      <c r="E827" s="38" t="s">
        <v>3</v>
      </c>
      <c r="F827" s="38" t="s">
        <v>10</v>
      </c>
      <c r="G827" s="32">
        <v>3207950</v>
      </c>
      <c r="H827" s="32">
        <v>1673092</v>
      </c>
      <c r="I827" s="52">
        <v>0</v>
      </c>
      <c r="J827" s="35">
        <f>+G827-H827+I827</f>
        <v>1534858</v>
      </c>
      <c r="K827" s="28">
        <v>0</v>
      </c>
      <c r="L827" s="32">
        <v>0</v>
      </c>
      <c r="M827" s="35">
        <f>+J827+L827</f>
        <v>1534858</v>
      </c>
      <c r="N827" s="28" t="s">
        <v>1411</v>
      </c>
      <c r="O827" s="29" t="s">
        <v>1412</v>
      </c>
      <c r="P827" s="36" t="s">
        <v>1413</v>
      </c>
      <c r="Q827" s="31">
        <v>29598.01</v>
      </c>
      <c r="R827" s="33">
        <f>+M827/Q827</f>
        <v>51.856797129266461</v>
      </c>
    </row>
    <row r="828" spans="1:18" ht="15" customHeight="1">
      <c r="A828" s="37" t="s">
        <v>293</v>
      </c>
      <c r="B828" s="26" t="s">
        <v>294</v>
      </c>
      <c r="C828" s="39">
        <v>346</v>
      </c>
      <c r="D828" s="40" t="s">
        <v>1485</v>
      </c>
      <c r="E828" s="38" t="s">
        <v>3</v>
      </c>
      <c r="F828" s="38" t="s">
        <v>10</v>
      </c>
      <c r="G828" s="32">
        <v>358777</v>
      </c>
      <c r="H828" s="32">
        <v>0</v>
      </c>
      <c r="I828" s="52">
        <v>0</v>
      </c>
      <c r="J828" s="35">
        <f>+G828-H828+I828</f>
        <v>358777</v>
      </c>
      <c r="K828" s="28">
        <v>0</v>
      </c>
      <c r="L828" s="32">
        <v>0</v>
      </c>
      <c r="M828" s="35">
        <f>+J828+L828</f>
        <v>358777</v>
      </c>
      <c r="N828" s="28" t="s">
        <v>1411</v>
      </c>
      <c r="O828" s="29" t="s">
        <v>1412</v>
      </c>
      <c r="P828" s="36" t="s">
        <v>1413</v>
      </c>
      <c r="Q828" s="31">
        <v>29598.01</v>
      </c>
      <c r="R828" s="33">
        <f>+M828/Q828</f>
        <v>12.121659530488706</v>
      </c>
    </row>
    <row r="829" spans="1:18" ht="15" customHeight="1">
      <c r="A829" s="37" t="s">
        <v>293</v>
      </c>
      <c r="B829" s="26" t="s">
        <v>294</v>
      </c>
      <c r="C829" s="39">
        <v>345</v>
      </c>
      <c r="D829" s="40" t="s">
        <v>1486</v>
      </c>
      <c r="E829" s="38" t="s">
        <v>3</v>
      </c>
      <c r="F829" s="38" t="s">
        <v>10</v>
      </c>
      <c r="G829" s="32">
        <v>3222947</v>
      </c>
      <c r="H829" s="32">
        <v>0</v>
      </c>
      <c r="I829" s="32">
        <v>666256</v>
      </c>
      <c r="J829" s="35">
        <f>+G829-H829+I829</f>
        <v>3889203</v>
      </c>
      <c r="K829" s="28">
        <v>0</v>
      </c>
      <c r="L829" s="32">
        <v>0</v>
      </c>
      <c r="M829" s="35">
        <f>+J829+L829</f>
        <v>3889203</v>
      </c>
      <c r="N829" s="28" t="s">
        <v>1411</v>
      </c>
      <c r="O829" s="29" t="s">
        <v>1412</v>
      </c>
      <c r="P829" s="36" t="s">
        <v>1413</v>
      </c>
      <c r="Q829" s="31">
        <v>29598.01</v>
      </c>
      <c r="R829" s="33">
        <f>+M829/Q829</f>
        <v>131.4008272853479</v>
      </c>
    </row>
    <row r="830" spans="1:18" ht="15" customHeight="1">
      <c r="A830" s="37" t="s">
        <v>293</v>
      </c>
      <c r="B830" s="26" t="s">
        <v>294</v>
      </c>
      <c r="C830" s="39">
        <v>343</v>
      </c>
      <c r="D830" s="40" t="s">
        <v>1487</v>
      </c>
      <c r="E830" s="38" t="s">
        <v>3</v>
      </c>
      <c r="F830" s="38" t="s">
        <v>11</v>
      </c>
      <c r="G830" s="32">
        <v>0</v>
      </c>
      <c r="H830" s="32">
        <v>2944886</v>
      </c>
      <c r="I830" s="52">
        <v>0</v>
      </c>
      <c r="J830" s="35">
        <f>+G830-H830+I830</f>
        <v>-2944886</v>
      </c>
      <c r="K830" s="28">
        <v>0</v>
      </c>
      <c r="L830" s="32">
        <v>0</v>
      </c>
      <c r="M830" s="35">
        <f>+J830+L830</f>
        <v>-2944886</v>
      </c>
      <c r="N830" s="28" t="s">
        <v>1411</v>
      </c>
      <c r="O830" s="29" t="s">
        <v>1412</v>
      </c>
      <c r="P830" s="36" t="s">
        <v>1413</v>
      </c>
      <c r="Q830" s="31">
        <v>29598.01</v>
      </c>
      <c r="R830" s="33">
        <f>+M830/Q830</f>
        <v>-99.496080986525783</v>
      </c>
    </row>
    <row r="831" spans="1:18" ht="15" customHeight="1">
      <c r="A831" s="37" t="s">
        <v>293</v>
      </c>
      <c r="B831" s="26" t="s">
        <v>294</v>
      </c>
      <c r="C831" s="39">
        <v>342</v>
      </c>
      <c r="D831" s="40" t="s">
        <v>1488</v>
      </c>
      <c r="E831" s="38" t="s">
        <v>3</v>
      </c>
      <c r="F831" s="38" t="s">
        <v>10</v>
      </c>
      <c r="G831" s="32">
        <v>190168</v>
      </c>
      <c r="H831" s="32">
        <v>0</v>
      </c>
      <c r="I831" s="32">
        <v>270667</v>
      </c>
      <c r="J831" s="35">
        <f>+G831-H831+I831</f>
        <v>460835</v>
      </c>
      <c r="K831" s="28">
        <v>0</v>
      </c>
      <c r="L831" s="32">
        <v>0</v>
      </c>
      <c r="M831" s="35">
        <f>+J831+L831</f>
        <v>460835</v>
      </c>
      <c r="N831" s="28" t="s">
        <v>1411</v>
      </c>
      <c r="O831" s="29" t="s">
        <v>1412</v>
      </c>
      <c r="P831" s="36" t="s">
        <v>1413</v>
      </c>
      <c r="Q831" s="31">
        <v>29598.01</v>
      </c>
      <c r="R831" s="33">
        <f>+M831/Q831</f>
        <v>15.569796753227667</v>
      </c>
    </row>
    <row r="832" spans="1:18" ht="15" customHeight="1">
      <c r="A832" s="37" t="s">
        <v>293</v>
      </c>
      <c r="B832" s="26" t="s">
        <v>294</v>
      </c>
      <c r="C832" s="39">
        <v>341</v>
      </c>
      <c r="D832" s="40" t="s">
        <v>1489</v>
      </c>
      <c r="E832" s="38" t="s">
        <v>3</v>
      </c>
      <c r="F832" s="38" t="s">
        <v>10</v>
      </c>
      <c r="G832" s="32">
        <v>0</v>
      </c>
      <c r="H832" s="32">
        <v>0</v>
      </c>
      <c r="I832" s="32">
        <v>402386</v>
      </c>
      <c r="J832" s="35">
        <f>+G832-H832+I832</f>
        <v>402386</v>
      </c>
      <c r="K832" s="28">
        <v>0</v>
      </c>
      <c r="L832" s="32">
        <v>0</v>
      </c>
      <c r="M832" s="35">
        <f>+J832+L832</f>
        <v>402386</v>
      </c>
      <c r="N832" s="28" t="s">
        <v>1411</v>
      </c>
      <c r="O832" s="29" t="s">
        <v>1412</v>
      </c>
      <c r="P832" s="36" t="s">
        <v>1413</v>
      </c>
      <c r="Q832" s="31">
        <v>29598.01</v>
      </c>
      <c r="R832" s="33">
        <f>+M832/Q832</f>
        <v>13.595035612191497</v>
      </c>
    </row>
    <row r="833" spans="1:18" ht="15" customHeight="1">
      <c r="A833" s="37" t="s">
        <v>293</v>
      </c>
      <c r="B833" s="26" t="s">
        <v>294</v>
      </c>
      <c r="C833" s="39">
        <v>340</v>
      </c>
      <c r="D833" s="40" t="s">
        <v>1490</v>
      </c>
      <c r="E833" s="38" t="s">
        <v>3</v>
      </c>
      <c r="F833" s="38" t="s">
        <v>10</v>
      </c>
      <c r="G833" s="32">
        <v>215998</v>
      </c>
      <c r="H833" s="32">
        <v>0</v>
      </c>
      <c r="I833" s="32">
        <v>505082</v>
      </c>
      <c r="J833" s="35">
        <f>+G833-H833+I833</f>
        <v>721080</v>
      </c>
      <c r="K833" s="28">
        <v>0</v>
      </c>
      <c r="L833" s="32">
        <v>0</v>
      </c>
      <c r="M833" s="35">
        <f>+J833+L833</f>
        <v>721080</v>
      </c>
      <c r="N833" s="28" t="s">
        <v>1411</v>
      </c>
      <c r="O833" s="29" t="s">
        <v>1412</v>
      </c>
      <c r="P833" s="36" t="s">
        <v>1413</v>
      </c>
      <c r="Q833" s="31">
        <v>29598.01</v>
      </c>
      <c r="R833" s="33">
        <f>+M833/Q833</f>
        <v>24.362448691651906</v>
      </c>
    </row>
    <row r="834" spans="1:18" ht="15" customHeight="1">
      <c r="A834" s="37" t="s">
        <v>293</v>
      </c>
      <c r="B834" s="26" t="s">
        <v>294</v>
      </c>
      <c r="C834" s="39">
        <v>339</v>
      </c>
      <c r="D834" s="40" t="s">
        <v>1491</v>
      </c>
      <c r="E834" s="38" t="s">
        <v>3</v>
      </c>
      <c r="F834" s="38" t="s">
        <v>10</v>
      </c>
      <c r="G834" s="32">
        <v>5014842</v>
      </c>
      <c r="H834" s="32">
        <v>0</v>
      </c>
      <c r="I834" s="32">
        <v>976625</v>
      </c>
      <c r="J834" s="35">
        <f>+G834-H834+I834</f>
        <v>5991467</v>
      </c>
      <c r="K834" s="28">
        <v>0</v>
      </c>
      <c r="L834" s="32">
        <v>0</v>
      </c>
      <c r="M834" s="35">
        <f>+J834+L834</f>
        <v>5991467</v>
      </c>
      <c r="N834" s="28" t="s">
        <v>1411</v>
      </c>
      <c r="O834" s="29" t="s">
        <v>1412</v>
      </c>
      <c r="P834" s="36" t="s">
        <v>1413</v>
      </c>
      <c r="Q834" s="31">
        <v>29598.01</v>
      </c>
      <c r="R834" s="33">
        <f>+M834/Q834</f>
        <v>202.42803485774888</v>
      </c>
    </row>
    <row r="835" spans="1:18" ht="15" customHeight="1">
      <c r="A835" s="37" t="s">
        <v>391</v>
      </c>
      <c r="B835" s="26" t="s">
        <v>392</v>
      </c>
      <c r="C835" s="39">
        <v>154</v>
      </c>
      <c r="D835" s="40" t="s">
        <v>1492</v>
      </c>
      <c r="E835" s="38" t="s">
        <v>3</v>
      </c>
      <c r="F835" s="38" t="s">
        <v>11</v>
      </c>
      <c r="G835" s="32">
        <v>768865</v>
      </c>
      <c r="H835" s="32">
        <v>0</v>
      </c>
      <c r="I835" s="52">
        <v>0</v>
      </c>
      <c r="J835" s="35">
        <f>+G835-H835+I835</f>
        <v>768865</v>
      </c>
      <c r="K835" s="27"/>
      <c r="L835" s="32">
        <v>0</v>
      </c>
      <c r="M835" s="35">
        <f>+J835+L835</f>
        <v>768865</v>
      </c>
      <c r="N835" s="28" t="s">
        <v>481</v>
      </c>
      <c r="O835" s="29" t="s">
        <v>482</v>
      </c>
      <c r="P835" s="36">
        <v>44130</v>
      </c>
      <c r="Q835" s="31">
        <v>28810.82</v>
      </c>
      <c r="R835" s="33">
        <f>M835/Q835</f>
        <v>26.686675353217993</v>
      </c>
    </row>
    <row r="836" spans="1:18" ht="15" customHeight="1">
      <c r="A836" s="37" t="s">
        <v>293</v>
      </c>
      <c r="B836" s="26" t="s">
        <v>294</v>
      </c>
      <c r="C836" s="39">
        <v>338</v>
      </c>
      <c r="D836" s="40" t="s">
        <v>1493</v>
      </c>
      <c r="E836" s="38" t="s">
        <v>3</v>
      </c>
      <c r="F836" s="38" t="s">
        <v>11</v>
      </c>
      <c r="G836" s="32">
        <v>3234863</v>
      </c>
      <c r="H836" s="32">
        <v>0</v>
      </c>
      <c r="I836" s="52">
        <v>0</v>
      </c>
      <c r="J836" s="35">
        <f>+G836-H836+I836</f>
        <v>3234863</v>
      </c>
      <c r="K836" s="28">
        <v>0</v>
      </c>
      <c r="L836" s="32">
        <v>0</v>
      </c>
      <c r="M836" s="35">
        <f>+J836+L836</f>
        <v>3234863</v>
      </c>
      <c r="N836" s="28" t="s">
        <v>1411</v>
      </c>
      <c r="O836" s="29" t="s">
        <v>1412</v>
      </c>
      <c r="P836" s="36" t="s">
        <v>1413</v>
      </c>
      <c r="Q836" s="31">
        <v>29598.01</v>
      </c>
      <c r="R836" s="33">
        <f>+M836/Q836</f>
        <v>109.29325991848776</v>
      </c>
    </row>
    <row r="837" spans="1:18" ht="15" customHeight="1">
      <c r="A837" s="37" t="s">
        <v>293</v>
      </c>
      <c r="B837" s="26" t="s">
        <v>294</v>
      </c>
      <c r="C837" s="39">
        <v>337</v>
      </c>
      <c r="D837" s="40" t="s">
        <v>1494</v>
      </c>
      <c r="E837" s="38" t="s">
        <v>198</v>
      </c>
      <c r="F837" s="38" t="s">
        <v>12</v>
      </c>
      <c r="G837" s="32">
        <v>0</v>
      </c>
      <c r="H837" s="32">
        <v>0</v>
      </c>
      <c r="I837" s="32">
        <v>19557024</v>
      </c>
      <c r="J837" s="35">
        <f>+G837-H837+I837</f>
        <v>19557024</v>
      </c>
      <c r="K837" s="28">
        <v>0</v>
      </c>
      <c r="L837" s="32">
        <v>0</v>
      </c>
      <c r="M837" s="35">
        <f>+J837+L837</f>
        <v>19557024</v>
      </c>
      <c r="N837" s="28" t="s">
        <v>1377</v>
      </c>
      <c r="O837" s="29" t="s">
        <v>1378</v>
      </c>
      <c r="P837" s="36" t="s">
        <v>1379</v>
      </c>
      <c r="Q837" s="31">
        <v>30683.439999999999</v>
      </c>
      <c r="R837" s="33">
        <f>+M837/Q837</f>
        <v>637.38042409847139</v>
      </c>
    </row>
    <row r="838" spans="1:18" ht="15" customHeight="1">
      <c r="A838" s="37" t="s">
        <v>293</v>
      </c>
      <c r="B838" s="26" t="s">
        <v>294</v>
      </c>
      <c r="C838" s="39">
        <v>335</v>
      </c>
      <c r="D838" s="40" t="s">
        <v>1495</v>
      </c>
      <c r="E838" s="38" t="s">
        <v>3</v>
      </c>
      <c r="F838" s="38" t="s">
        <v>18</v>
      </c>
      <c r="G838" s="32">
        <v>897672</v>
      </c>
      <c r="H838" s="32">
        <v>485785</v>
      </c>
      <c r="I838" s="52">
        <v>0</v>
      </c>
      <c r="J838" s="35">
        <f>+G838-H838+I838</f>
        <v>411887</v>
      </c>
      <c r="K838" s="28">
        <v>0</v>
      </c>
      <c r="L838" s="32">
        <v>0</v>
      </c>
      <c r="M838" s="35">
        <f>+J838+L838</f>
        <v>411887</v>
      </c>
      <c r="N838" s="28" t="s">
        <v>1411</v>
      </c>
      <c r="O838" s="29" t="s">
        <v>1412</v>
      </c>
      <c r="P838" s="36" t="s">
        <v>1413</v>
      </c>
      <c r="Q838" s="31">
        <v>29598.01</v>
      </c>
      <c r="R838" s="33">
        <f>+M838/Q838</f>
        <v>13.916036922752578</v>
      </c>
    </row>
    <row r="839" spans="1:18" ht="15" customHeight="1">
      <c r="A839" s="37" t="s">
        <v>293</v>
      </c>
      <c r="B839" s="26" t="s">
        <v>294</v>
      </c>
      <c r="C839" s="39">
        <v>334</v>
      </c>
      <c r="D839" s="40" t="s">
        <v>1496</v>
      </c>
      <c r="E839" s="38" t="s">
        <v>3</v>
      </c>
      <c r="F839" s="38" t="s">
        <v>12</v>
      </c>
      <c r="G839" s="32">
        <v>546506</v>
      </c>
      <c r="H839" s="32">
        <v>0</v>
      </c>
      <c r="I839" s="32">
        <v>36587469</v>
      </c>
      <c r="J839" s="35">
        <f>+G839-H839+I839</f>
        <v>37133975</v>
      </c>
      <c r="K839" s="28">
        <v>0</v>
      </c>
      <c r="L839" s="32">
        <v>0</v>
      </c>
      <c r="M839" s="35">
        <f>+J839+L839</f>
        <v>37133975</v>
      </c>
      <c r="N839" s="55" t="s">
        <v>1336</v>
      </c>
      <c r="O839" s="56" t="s">
        <v>1337</v>
      </c>
      <c r="P839" s="56">
        <v>44484</v>
      </c>
      <c r="Q839" s="49">
        <v>30194.06</v>
      </c>
      <c r="R839" s="57">
        <f>M839/Q839</f>
        <v>1229.8437176053833</v>
      </c>
    </row>
    <row r="840" spans="1:18" ht="15" customHeight="1">
      <c r="A840" s="37" t="s">
        <v>293</v>
      </c>
      <c r="B840" s="26" t="s">
        <v>294</v>
      </c>
      <c r="C840" s="39">
        <v>333</v>
      </c>
      <c r="D840" s="40" t="s">
        <v>1497</v>
      </c>
      <c r="E840" s="38" t="s">
        <v>3</v>
      </c>
      <c r="F840" s="38" t="s">
        <v>11</v>
      </c>
      <c r="G840" s="32">
        <v>0</v>
      </c>
      <c r="H840" s="32">
        <v>22860858</v>
      </c>
      <c r="I840" s="52">
        <v>0</v>
      </c>
      <c r="J840" s="35">
        <f>+G840-H840+I840</f>
        <v>-22860858</v>
      </c>
      <c r="K840" s="28">
        <v>0</v>
      </c>
      <c r="L840" s="32">
        <v>0</v>
      </c>
      <c r="M840" s="35">
        <f>+J840+L840</f>
        <v>-22860858</v>
      </c>
      <c r="N840" s="28" t="s">
        <v>1411</v>
      </c>
      <c r="O840" s="29" t="s">
        <v>1412</v>
      </c>
      <c r="P840" s="36" t="s">
        <v>1413</v>
      </c>
      <c r="Q840" s="31">
        <v>29598.01</v>
      </c>
      <c r="R840" s="33">
        <f>+M840/Q840</f>
        <v>-772.37821056212908</v>
      </c>
    </row>
    <row r="841" spans="1:18" ht="15" customHeight="1">
      <c r="A841" s="37" t="s">
        <v>293</v>
      </c>
      <c r="B841" s="26" t="s">
        <v>294</v>
      </c>
      <c r="C841" s="39">
        <v>332</v>
      </c>
      <c r="D841" s="40" t="s">
        <v>1498</v>
      </c>
      <c r="E841" s="38" t="s">
        <v>3</v>
      </c>
      <c r="F841" s="38" t="s">
        <v>13</v>
      </c>
      <c r="G841" s="32">
        <v>10293822</v>
      </c>
      <c r="H841" s="32">
        <v>0</v>
      </c>
      <c r="I841" s="52">
        <v>0</v>
      </c>
      <c r="J841" s="35">
        <f>+G841-H841+I841</f>
        <v>10293822</v>
      </c>
      <c r="K841" s="28">
        <v>0</v>
      </c>
      <c r="L841" s="32">
        <v>0</v>
      </c>
      <c r="M841" s="35">
        <f>+J841+L841</f>
        <v>10293822</v>
      </c>
      <c r="N841" s="28" t="s">
        <v>1411</v>
      </c>
      <c r="O841" s="29" t="s">
        <v>1412</v>
      </c>
      <c r="P841" s="36" t="s">
        <v>1413</v>
      </c>
      <c r="Q841" s="31">
        <v>29598.01</v>
      </c>
      <c r="R841" s="33">
        <f>+M841/Q841</f>
        <v>347.78763842569145</v>
      </c>
    </row>
    <row r="842" spans="1:18" ht="15" customHeight="1">
      <c r="A842" s="37" t="s">
        <v>293</v>
      </c>
      <c r="B842" s="26" t="s">
        <v>294</v>
      </c>
      <c r="C842" s="39">
        <v>331</v>
      </c>
      <c r="D842" s="40" t="s">
        <v>1499</v>
      </c>
      <c r="E842" s="38" t="s">
        <v>3</v>
      </c>
      <c r="F842" s="38" t="s">
        <v>13</v>
      </c>
      <c r="G842" s="32">
        <v>278252</v>
      </c>
      <c r="H842" s="32">
        <v>198218</v>
      </c>
      <c r="I842" s="52">
        <v>0</v>
      </c>
      <c r="J842" s="35">
        <f>+G842-H842+I842</f>
        <v>80034</v>
      </c>
      <c r="K842" s="28">
        <v>0</v>
      </c>
      <c r="L842" s="32">
        <v>0</v>
      </c>
      <c r="M842" s="35">
        <f>+J842+L842</f>
        <v>80034</v>
      </c>
      <c r="N842" s="28" t="s">
        <v>1411</v>
      </c>
      <c r="O842" s="29" t="s">
        <v>1412</v>
      </c>
      <c r="P842" s="36" t="s">
        <v>1413</v>
      </c>
      <c r="Q842" s="31">
        <v>29598.01</v>
      </c>
      <c r="R842" s="33">
        <f>+M842/Q842</f>
        <v>2.7040331427687199</v>
      </c>
    </row>
    <row r="843" spans="1:18" ht="15" customHeight="1">
      <c r="A843" s="37" t="s">
        <v>293</v>
      </c>
      <c r="B843" s="26" t="s">
        <v>294</v>
      </c>
      <c r="C843" s="39">
        <v>330</v>
      </c>
      <c r="D843" s="40" t="s">
        <v>1500</v>
      </c>
      <c r="E843" s="38" t="s">
        <v>3</v>
      </c>
      <c r="F843" s="38" t="s">
        <v>13</v>
      </c>
      <c r="G843" s="32">
        <v>1306107</v>
      </c>
      <c r="H843" s="32">
        <v>278252</v>
      </c>
      <c r="I843" s="52">
        <v>0</v>
      </c>
      <c r="J843" s="35">
        <f>+G843-H843+I843</f>
        <v>1027855</v>
      </c>
      <c r="K843" s="28">
        <v>0</v>
      </c>
      <c r="L843" s="32">
        <v>0</v>
      </c>
      <c r="M843" s="35">
        <f>+J843+L843</f>
        <v>1027855</v>
      </c>
      <c r="N843" s="28" t="s">
        <v>1411</v>
      </c>
      <c r="O843" s="29" t="s">
        <v>1412</v>
      </c>
      <c r="P843" s="36" t="s">
        <v>1413</v>
      </c>
      <c r="Q843" s="31">
        <v>29598.01</v>
      </c>
      <c r="R843" s="33">
        <f>+M843/Q843</f>
        <v>34.727165779050686</v>
      </c>
    </row>
    <row r="844" spans="1:18" ht="15" customHeight="1">
      <c r="A844" s="37" t="s">
        <v>293</v>
      </c>
      <c r="B844" s="26" t="s">
        <v>294</v>
      </c>
      <c r="C844" s="39">
        <v>329</v>
      </c>
      <c r="D844" s="40" t="s">
        <v>1501</v>
      </c>
      <c r="E844" s="38" t="s">
        <v>3</v>
      </c>
      <c r="F844" s="38" t="s">
        <v>13</v>
      </c>
      <c r="G844" s="32">
        <v>390001</v>
      </c>
      <c r="H844" s="32">
        <v>283594</v>
      </c>
      <c r="I844" s="32">
        <v>59344</v>
      </c>
      <c r="J844" s="35">
        <f>+G844-H844+I844</f>
        <v>165751</v>
      </c>
      <c r="K844" s="28">
        <v>0</v>
      </c>
      <c r="L844" s="32">
        <v>0</v>
      </c>
      <c r="M844" s="35">
        <f>+J844+L844</f>
        <v>165751</v>
      </c>
      <c r="N844" s="28" t="s">
        <v>1411</v>
      </c>
      <c r="O844" s="29" t="s">
        <v>1412</v>
      </c>
      <c r="P844" s="36" t="s">
        <v>1413</v>
      </c>
      <c r="Q844" s="31">
        <v>29598.01</v>
      </c>
      <c r="R844" s="33">
        <f>+M844/Q844</f>
        <v>5.6000724373023729</v>
      </c>
    </row>
    <row r="845" spans="1:18" ht="15" customHeight="1">
      <c r="A845" s="37" t="s">
        <v>293</v>
      </c>
      <c r="B845" s="26" t="s">
        <v>294</v>
      </c>
      <c r="C845" s="39">
        <v>328</v>
      </c>
      <c r="D845" s="40" t="s">
        <v>1502</v>
      </c>
      <c r="E845" s="38" t="s">
        <v>3</v>
      </c>
      <c r="F845" s="38" t="s">
        <v>15</v>
      </c>
      <c r="G845" s="32">
        <v>3480330</v>
      </c>
      <c r="H845" s="32">
        <v>0</v>
      </c>
      <c r="I845" s="52">
        <v>0</v>
      </c>
      <c r="J845" s="35">
        <f>+G845-H845+I845</f>
        <v>3480330</v>
      </c>
      <c r="K845" s="28">
        <v>0</v>
      </c>
      <c r="L845" s="32">
        <v>0</v>
      </c>
      <c r="M845" s="35">
        <f>+J845+L845</f>
        <v>3480330</v>
      </c>
      <c r="N845" s="28" t="s">
        <v>1411</v>
      </c>
      <c r="O845" s="29" t="s">
        <v>1412</v>
      </c>
      <c r="P845" s="36" t="s">
        <v>1413</v>
      </c>
      <c r="Q845" s="31">
        <v>29598.01</v>
      </c>
      <c r="R845" s="33">
        <f>+M845/Q845</f>
        <v>117.58662153300172</v>
      </c>
    </row>
    <row r="846" spans="1:18" ht="15" customHeight="1">
      <c r="A846" s="37" t="s">
        <v>293</v>
      </c>
      <c r="B846" s="26" t="s">
        <v>294</v>
      </c>
      <c r="C846" s="39">
        <v>327</v>
      </c>
      <c r="D846" s="40" t="s">
        <v>1503</v>
      </c>
      <c r="E846" s="38" t="s">
        <v>3</v>
      </c>
      <c r="F846" s="38" t="s">
        <v>13</v>
      </c>
      <c r="G846" s="32">
        <v>961395</v>
      </c>
      <c r="H846" s="32">
        <v>0</v>
      </c>
      <c r="I846" s="52">
        <v>0</v>
      </c>
      <c r="J846" s="35">
        <f>+G846-H846+I846</f>
        <v>961395</v>
      </c>
      <c r="K846" s="28">
        <v>0</v>
      </c>
      <c r="L846" s="32">
        <v>0</v>
      </c>
      <c r="M846" s="35">
        <f>+J846+L846</f>
        <v>961395</v>
      </c>
      <c r="N846" s="28" t="s">
        <v>1411</v>
      </c>
      <c r="O846" s="29" t="s">
        <v>1412</v>
      </c>
      <c r="P846" s="36" t="s">
        <v>1413</v>
      </c>
      <c r="Q846" s="31">
        <v>29598.01</v>
      </c>
      <c r="R846" s="33">
        <f>+M846/Q846</f>
        <v>32.481744549718037</v>
      </c>
    </row>
    <row r="847" spans="1:18" ht="15" customHeight="1">
      <c r="A847" s="37" t="s">
        <v>293</v>
      </c>
      <c r="B847" s="26" t="s">
        <v>294</v>
      </c>
      <c r="C847" s="39">
        <v>326</v>
      </c>
      <c r="D847" s="40" t="s">
        <v>1504</v>
      </c>
      <c r="E847" s="38" t="s">
        <v>3</v>
      </c>
      <c r="F847" s="38" t="s">
        <v>14</v>
      </c>
      <c r="G847" s="32">
        <v>1519621</v>
      </c>
      <c r="H847" s="32">
        <v>620069</v>
      </c>
      <c r="I847" s="52">
        <v>0</v>
      </c>
      <c r="J847" s="35">
        <f>+G847-H847+I847</f>
        <v>899552</v>
      </c>
      <c r="K847" s="28">
        <v>0</v>
      </c>
      <c r="L847" s="32">
        <v>0</v>
      </c>
      <c r="M847" s="35">
        <f>+J847+L847</f>
        <v>899552</v>
      </c>
      <c r="N847" s="28" t="s">
        <v>1411</v>
      </c>
      <c r="O847" s="29" t="s">
        <v>1412</v>
      </c>
      <c r="P847" s="36" t="s">
        <v>1413</v>
      </c>
      <c r="Q847" s="31">
        <v>29598.01</v>
      </c>
      <c r="R847" s="33">
        <f>+M847/Q847</f>
        <v>30.392313537295244</v>
      </c>
    </row>
    <row r="848" spans="1:18" ht="15" customHeight="1">
      <c r="A848" s="37" t="s">
        <v>293</v>
      </c>
      <c r="B848" s="26" t="s">
        <v>294</v>
      </c>
      <c r="C848" s="39">
        <v>325</v>
      </c>
      <c r="D848" s="40" t="s">
        <v>1505</v>
      </c>
      <c r="E848" s="38" t="s">
        <v>3</v>
      </c>
      <c r="F848" s="38" t="s">
        <v>14</v>
      </c>
      <c r="G848" s="32">
        <v>11720283</v>
      </c>
      <c r="H848" s="32">
        <v>1682562</v>
      </c>
      <c r="I848" s="52">
        <v>0</v>
      </c>
      <c r="J848" s="35">
        <f>+G848-H848+I848</f>
        <v>10037721</v>
      </c>
      <c r="K848" s="28">
        <v>0</v>
      </c>
      <c r="L848" s="32">
        <v>0</v>
      </c>
      <c r="M848" s="35">
        <f>+J848+L848</f>
        <v>10037721</v>
      </c>
      <c r="N848" s="28" t="s">
        <v>1411</v>
      </c>
      <c r="O848" s="29" t="s">
        <v>1412</v>
      </c>
      <c r="P848" s="36" t="s">
        <v>1413</v>
      </c>
      <c r="Q848" s="31">
        <v>29598.01</v>
      </c>
      <c r="R848" s="33">
        <f>+M848/Q848</f>
        <v>339.13499590006222</v>
      </c>
    </row>
    <row r="849" spans="1:18" ht="15" customHeight="1">
      <c r="A849" s="37" t="s">
        <v>293</v>
      </c>
      <c r="B849" s="26" t="s">
        <v>294</v>
      </c>
      <c r="C849" s="39">
        <v>324</v>
      </c>
      <c r="D849" s="40" t="s">
        <v>1506</v>
      </c>
      <c r="E849" s="38" t="s">
        <v>3</v>
      </c>
      <c r="F849" s="38" t="s">
        <v>14</v>
      </c>
      <c r="G849" s="32">
        <v>5322189</v>
      </c>
      <c r="H849" s="32">
        <v>2161873</v>
      </c>
      <c r="I849" s="52">
        <v>0</v>
      </c>
      <c r="J849" s="35">
        <f>+G849-H849+I849</f>
        <v>3160316</v>
      </c>
      <c r="K849" s="28">
        <v>0</v>
      </c>
      <c r="L849" s="32">
        <v>0</v>
      </c>
      <c r="M849" s="35">
        <f>+J849+L849</f>
        <v>3160316</v>
      </c>
      <c r="N849" s="28" t="s">
        <v>1411</v>
      </c>
      <c r="O849" s="29" t="s">
        <v>1412</v>
      </c>
      <c r="P849" s="36" t="s">
        <v>1413</v>
      </c>
      <c r="Q849" s="31">
        <v>29598.01</v>
      </c>
      <c r="R849" s="33">
        <f>+M849/Q849</f>
        <v>106.77461086066259</v>
      </c>
    </row>
    <row r="850" spans="1:18" ht="15" customHeight="1">
      <c r="A850" s="37" t="s">
        <v>293</v>
      </c>
      <c r="B850" s="26" t="s">
        <v>294</v>
      </c>
      <c r="C850" s="39">
        <v>323</v>
      </c>
      <c r="D850" s="40" t="s">
        <v>1507</v>
      </c>
      <c r="E850" s="38" t="s">
        <v>3</v>
      </c>
      <c r="F850" s="38" t="s">
        <v>14</v>
      </c>
      <c r="G850" s="32">
        <v>11945686</v>
      </c>
      <c r="H850" s="32">
        <v>0</v>
      </c>
      <c r="I850" s="52">
        <v>0</v>
      </c>
      <c r="J850" s="35">
        <f>+G850-H850+I850</f>
        <v>11945686</v>
      </c>
      <c r="K850" s="28">
        <v>0</v>
      </c>
      <c r="L850" s="32">
        <v>0</v>
      </c>
      <c r="M850" s="35">
        <f>+J850+L850</f>
        <v>11945686</v>
      </c>
      <c r="N850" s="28" t="s">
        <v>1411</v>
      </c>
      <c r="O850" s="29" t="s">
        <v>1412</v>
      </c>
      <c r="P850" s="36" t="s">
        <v>1413</v>
      </c>
      <c r="Q850" s="31">
        <v>29598.01</v>
      </c>
      <c r="R850" s="33">
        <f>+M850/Q850</f>
        <v>403.59760673099311</v>
      </c>
    </row>
    <row r="851" spans="1:18" ht="15" customHeight="1">
      <c r="A851" s="37" t="s">
        <v>293</v>
      </c>
      <c r="B851" s="26" t="s">
        <v>294</v>
      </c>
      <c r="C851" s="39">
        <v>322</v>
      </c>
      <c r="D851" s="40" t="s">
        <v>1508</v>
      </c>
      <c r="E851" s="38" t="s">
        <v>3</v>
      </c>
      <c r="F851" s="38" t="s">
        <v>15</v>
      </c>
      <c r="G851" s="32">
        <v>5995410</v>
      </c>
      <c r="H851" s="32">
        <v>0</v>
      </c>
      <c r="I851" s="52">
        <v>0</v>
      </c>
      <c r="J851" s="35">
        <f>+G851-H851+I851</f>
        <v>5995410</v>
      </c>
      <c r="K851" s="28">
        <v>0</v>
      </c>
      <c r="L851" s="32">
        <v>0</v>
      </c>
      <c r="M851" s="35">
        <f>+J851+L851</f>
        <v>5995410</v>
      </c>
      <c r="N851" s="28" t="s">
        <v>1411</v>
      </c>
      <c r="O851" s="29" t="s">
        <v>1412</v>
      </c>
      <c r="P851" s="36" t="s">
        <v>1413</v>
      </c>
      <c r="Q851" s="31">
        <v>29598.01</v>
      </c>
      <c r="R851" s="33">
        <f>+M851/Q851</f>
        <v>202.56125327344643</v>
      </c>
    </row>
    <row r="852" spans="1:18" ht="15" customHeight="1">
      <c r="A852" s="37" t="s">
        <v>293</v>
      </c>
      <c r="B852" s="26" t="s">
        <v>294</v>
      </c>
      <c r="C852" s="39">
        <v>321</v>
      </c>
      <c r="D852" s="40" t="s">
        <v>1509</v>
      </c>
      <c r="E852" s="38" t="s">
        <v>3</v>
      </c>
      <c r="F852" s="38" t="s">
        <v>12</v>
      </c>
      <c r="G852" s="32">
        <v>4264698</v>
      </c>
      <c r="H852" s="32">
        <v>593828</v>
      </c>
      <c r="I852" s="52">
        <v>0</v>
      </c>
      <c r="J852" s="35">
        <f>+G852-H852+I852</f>
        <v>3670870</v>
      </c>
      <c r="K852" s="28">
        <v>0</v>
      </c>
      <c r="L852" s="32">
        <v>0</v>
      </c>
      <c r="M852" s="35">
        <f>+J852+L852</f>
        <v>3670870</v>
      </c>
      <c r="N852" s="28" t="s">
        <v>1411</v>
      </c>
      <c r="O852" s="29" t="s">
        <v>1412</v>
      </c>
      <c r="P852" s="36" t="s">
        <v>1413</v>
      </c>
      <c r="Q852" s="31">
        <v>29598.01</v>
      </c>
      <c r="R852" s="33">
        <f>+M852/Q852</f>
        <v>124.02421649293315</v>
      </c>
    </row>
    <row r="853" spans="1:18" ht="15" customHeight="1">
      <c r="A853" s="37" t="s">
        <v>293</v>
      </c>
      <c r="B853" s="26" t="s">
        <v>294</v>
      </c>
      <c r="C853" s="39">
        <v>320</v>
      </c>
      <c r="D853" s="40" t="s">
        <v>1510</v>
      </c>
      <c r="E853" s="38" t="s">
        <v>3</v>
      </c>
      <c r="F853" s="38" t="s">
        <v>12</v>
      </c>
      <c r="G853" s="32">
        <v>6533667</v>
      </c>
      <c r="H853" s="32">
        <v>462538</v>
      </c>
      <c r="I853" s="52">
        <v>0</v>
      </c>
      <c r="J853" s="35">
        <f>+G853-H853+I853</f>
        <v>6071129</v>
      </c>
      <c r="K853" s="28">
        <v>0</v>
      </c>
      <c r="L853" s="32">
        <v>0</v>
      </c>
      <c r="M853" s="35">
        <f>+J853+L853</f>
        <v>6071129</v>
      </c>
      <c r="N853" s="28" t="s">
        <v>1411</v>
      </c>
      <c r="O853" s="29" t="s">
        <v>1412</v>
      </c>
      <c r="P853" s="36" t="s">
        <v>1413</v>
      </c>
      <c r="Q853" s="31">
        <v>29598.01</v>
      </c>
      <c r="R853" s="33">
        <f>+M853/Q853</f>
        <v>205.11949958797908</v>
      </c>
    </row>
    <row r="854" spans="1:18" ht="15" customHeight="1">
      <c r="A854" s="37" t="s">
        <v>874</v>
      </c>
      <c r="B854" s="26" t="s">
        <v>875</v>
      </c>
      <c r="C854" s="39">
        <v>143</v>
      </c>
      <c r="D854" s="40" t="s">
        <v>1511</v>
      </c>
      <c r="E854" s="38" t="s">
        <v>3</v>
      </c>
      <c r="F854" s="38" t="s">
        <v>13</v>
      </c>
      <c r="G854" s="32">
        <v>837904</v>
      </c>
      <c r="H854" s="32">
        <v>311128</v>
      </c>
      <c r="I854" s="32">
        <v>50201</v>
      </c>
      <c r="J854" s="35">
        <f>+G854-H854+I854</f>
        <v>576977</v>
      </c>
      <c r="K854" s="28">
        <v>0</v>
      </c>
      <c r="L854" s="32">
        <v>0</v>
      </c>
      <c r="M854" s="35">
        <f>+J854+L854</f>
        <v>576977</v>
      </c>
      <c r="N854" s="28" t="s">
        <v>1512</v>
      </c>
      <c r="O854" s="29" t="s">
        <v>1513</v>
      </c>
      <c r="P854" s="36">
        <v>44972</v>
      </c>
      <c r="Q854" s="31">
        <v>35378.559999999998</v>
      </c>
      <c r="R854" s="33">
        <f>M854/Q854</f>
        <v>16.308662647660054</v>
      </c>
    </row>
    <row r="855" spans="1:18" ht="15" customHeight="1">
      <c r="A855" s="37" t="s">
        <v>293</v>
      </c>
      <c r="B855" s="26" t="s">
        <v>294</v>
      </c>
      <c r="C855" s="39">
        <v>319</v>
      </c>
      <c r="D855" s="40" t="s">
        <v>1514</v>
      </c>
      <c r="E855" s="38" t="s">
        <v>3</v>
      </c>
      <c r="F855" s="38" t="s">
        <v>13</v>
      </c>
      <c r="G855" s="32">
        <v>2205010</v>
      </c>
      <c r="H855" s="32">
        <v>0</v>
      </c>
      <c r="I855" s="32">
        <v>258987</v>
      </c>
      <c r="J855" s="35">
        <f>+G855-H855+I855</f>
        <v>2463997</v>
      </c>
      <c r="K855" s="28">
        <v>0</v>
      </c>
      <c r="L855" s="32">
        <v>0</v>
      </c>
      <c r="M855" s="35">
        <f>+J855+L855</f>
        <v>2463997</v>
      </c>
      <c r="N855" s="28" t="s">
        <v>1411</v>
      </c>
      <c r="O855" s="29" t="s">
        <v>1412</v>
      </c>
      <c r="P855" s="36" t="s">
        <v>1413</v>
      </c>
      <c r="Q855" s="31">
        <v>29598.01</v>
      </c>
      <c r="R855" s="33">
        <f>+M855/Q855</f>
        <v>83.24873868209383</v>
      </c>
    </row>
    <row r="856" spans="1:18" ht="15" customHeight="1">
      <c r="A856" s="37" t="s">
        <v>52</v>
      </c>
      <c r="B856" s="26" t="s">
        <v>53</v>
      </c>
      <c r="C856" s="39" t="s">
        <v>1515</v>
      </c>
      <c r="D856" s="40" t="s">
        <v>1516</v>
      </c>
      <c r="E856" s="38" t="s">
        <v>6</v>
      </c>
      <c r="F856" s="38" t="s">
        <v>12</v>
      </c>
      <c r="G856" s="32">
        <v>844393.05999999994</v>
      </c>
      <c r="H856" s="32">
        <v>131447.4</v>
      </c>
      <c r="I856" s="32">
        <v>5116072.99</v>
      </c>
      <c r="J856" s="35">
        <f>+G856-H856+I856</f>
        <v>5829018.6500000004</v>
      </c>
      <c r="K856" s="27">
        <v>36</v>
      </c>
      <c r="L856" s="32">
        <v>0</v>
      </c>
      <c r="M856" s="35">
        <f>+J856+L856</f>
        <v>5829018.6500000004</v>
      </c>
      <c r="N856" s="28" t="s">
        <v>56</v>
      </c>
      <c r="O856" s="29" t="s">
        <v>57</v>
      </c>
      <c r="P856" s="36">
        <v>42884</v>
      </c>
      <c r="Q856" s="31">
        <v>26627.55</v>
      </c>
      <c r="R856" s="33">
        <f>M856/Q856</f>
        <v>218.90931197199893</v>
      </c>
    </row>
    <row r="857" spans="1:18" ht="15" customHeight="1">
      <c r="A857" s="37" t="s">
        <v>293</v>
      </c>
      <c r="B857" s="26" t="s">
        <v>294</v>
      </c>
      <c r="C857" s="39">
        <v>318</v>
      </c>
      <c r="D857" s="40" t="s">
        <v>1517</v>
      </c>
      <c r="E857" s="38" t="s">
        <v>3</v>
      </c>
      <c r="F857" s="38" t="s">
        <v>10</v>
      </c>
      <c r="G857" s="32">
        <v>109612</v>
      </c>
      <c r="H857" s="32">
        <v>0</v>
      </c>
      <c r="I857" s="52">
        <v>0</v>
      </c>
      <c r="J857" s="35">
        <f>+G857-H857+I857</f>
        <v>109612</v>
      </c>
      <c r="K857" s="28">
        <v>0</v>
      </c>
      <c r="L857" s="32">
        <v>0</v>
      </c>
      <c r="M857" s="35">
        <f>+J857+L857</f>
        <v>109612</v>
      </c>
      <c r="N857" s="28" t="s">
        <v>1411</v>
      </c>
      <c r="O857" s="29" t="s">
        <v>1412</v>
      </c>
      <c r="P857" s="36" t="s">
        <v>1413</v>
      </c>
      <c r="Q857" s="31">
        <v>29598.01</v>
      </c>
      <c r="R857" s="33">
        <f>+M857/Q857</f>
        <v>3.7033570838039451</v>
      </c>
    </row>
    <row r="858" spans="1:18" ht="15" customHeight="1">
      <c r="A858" s="37" t="s">
        <v>293</v>
      </c>
      <c r="B858" s="26" t="s">
        <v>294</v>
      </c>
      <c r="C858" s="39">
        <v>316</v>
      </c>
      <c r="D858" s="40" t="s">
        <v>1518</v>
      </c>
      <c r="E858" s="38" t="s">
        <v>3</v>
      </c>
      <c r="F858" s="38" t="s">
        <v>11</v>
      </c>
      <c r="G858" s="32">
        <v>11850348</v>
      </c>
      <c r="H858" s="32">
        <v>0</v>
      </c>
      <c r="I858" s="32">
        <v>3082304</v>
      </c>
      <c r="J858" s="35">
        <f>+G858-H858+I858</f>
        <v>14932652</v>
      </c>
      <c r="K858" s="28">
        <v>0</v>
      </c>
      <c r="L858" s="32">
        <v>0</v>
      </c>
      <c r="M858" s="35">
        <f>+J858+L858</f>
        <v>14932652</v>
      </c>
      <c r="N858" s="28" t="s">
        <v>1411</v>
      </c>
      <c r="O858" s="29" t="s">
        <v>1412</v>
      </c>
      <c r="P858" s="36" t="s">
        <v>1413</v>
      </c>
      <c r="Q858" s="31">
        <v>29598.01</v>
      </c>
      <c r="R858" s="33">
        <f>+M858/Q858</f>
        <v>504.5154049208038</v>
      </c>
    </row>
    <row r="859" spans="1:18" ht="15" customHeight="1">
      <c r="A859" s="37" t="s">
        <v>293</v>
      </c>
      <c r="B859" s="26" t="s">
        <v>294</v>
      </c>
      <c r="C859" s="39">
        <v>315</v>
      </c>
      <c r="D859" s="40" t="s">
        <v>1519</v>
      </c>
      <c r="E859" s="38" t="s">
        <v>3</v>
      </c>
      <c r="F859" s="38" t="s">
        <v>11</v>
      </c>
      <c r="G859" s="32">
        <v>12752</v>
      </c>
      <c r="H859" s="32">
        <v>0</v>
      </c>
      <c r="I859" s="32">
        <v>3128618</v>
      </c>
      <c r="J859" s="35">
        <f>+G859-H859+I859</f>
        <v>3141370</v>
      </c>
      <c r="K859" s="28">
        <v>0</v>
      </c>
      <c r="L859" s="32">
        <v>0</v>
      </c>
      <c r="M859" s="35">
        <f>+J859+L859</f>
        <v>3141370</v>
      </c>
      <c r="N859" s="28" t="s">
        <v>1411</v>
      </c>
      <c r="O859" s="29" t="s">
        <v>1412</v>
      </c>
      <c r="P859" s="36" t="s">
        <v>1413</v>
      </c>
      <c r="Q859" s="31">
        <v>29598.01</v>
      </c>
      <c r="R859" s="33">
        <f>+M859/Q859</f>
        <v>106.13450025863226</v>
      </c>
    </row>
    <row r="860" spans="1:18" ht="15" customHeight="1">
      <c r="A860" s="37" t="s">
        <v>293</v>
      </c>
      <c r="B860" s="26" t="s">
        <v>294</v>
      </c>
      <c r="C860" s="39">
        <v>314</v>
      </c>
      <c r="D860" s="40" t="s">
        <v>1520</v>
      </c>
      <c r="E860" s="38" t="s">
        <v>3</v>
      </c>
      <c r="F860" s="38" t="s">
        <v>11</v>
      </c>
      <c r="G860" s="32">
        <v>4878913</v>
      </c>
      <c r="H860" s="32">
        <v>14605637</v>
      </c>
      <c r="I860" s="52">
        <v>0</v>
      </c>
      <c r="J860" s="35">
        <f>+G860-H860+I860</f>
        <v>-9726724</v>
      </c>
      <c r="K860" s="28">
        <v>0</v>
      </c>
      <c r="L860" s="32">
        <v>0</v>
      </c>
      <c r="M860" s="35">
        <f>+J860+L860</f>
        <v>-9726724</v>
      </c>
      <c r="N860" s="28" t="s">
        <v>1377</v>
      </c>
      <c r="O860" s="29" t="s">
        <v>1378</v>
      </c>
      <c r="P860" s="36" t="s">
        <v>1379</v>
      </c>
      <c r="Q860" s="31">
        <v>30683.439999999999</v>
      </c>
      <c r="R860" s="33">
        <f>+M860/Q860</f>
        <v>-317.00239608075236</v>
      </c>
    </row>
    <row r="861" spans="1:18" ht="15" customHeight="1">
      <c r="A861" s="37" t="s">
        <v>293</v>
      </c>
      <c r="B861" s="26" t="s">
        <v>294</v>
      </c>
      <c r="C861" s="39">
        <v>313</v>
      </c>
      <c r="D861" s="40" t="s">
        <v>1521</v>
      </c>
      <c r="E861" s="38" t="s">
        <v>3</v>
      </c>
      <c r="F861" s="38" t="s">
        <v>11</v>
      </c>
      <c r="G861" s="32">
        <v>31560579</v>
      </c>
      <c r="H861" s="32">
        <v>2161379</v>
      </c>
      <c r="I861" s="32">
        <v>6464557</v>
      </c>
      <c r="J861" s="35">
        <f>+G861-H861+I861</f>
        <v>35863757</v>
      </c>
      <c r="K861" s="28">
        <v>0</v>
      </c>
      <c r="L861" s="32">
        <v>0</v>
      </c>
      <c r="M861" s="35">
        <f>+J861+L861</f>
        <v>35863757</v>
      </c>
      <c r="N861" s="28" t="s">
        <v>1411</v>
      </c>
      <c r="O861" s="29" t="s">
        <v>1412</v>
      </c>
      <c r="P861" s="36" t="s">
        <v>1413</v>
      </c>
      <c r="Q861" s="31">
        <v>29598.01</v>
      </c>
      <c r="R861" s="33">
        <f>+M861/Q861</f>
        <v>1211.6948740810617</v>
      </c>
    </row>
    <row r="862" spans="1:18" ht="15" customHeight="1">
      <c r="A862" s="37" t="s">
        <v>293</v>
      </c>
      <c r="B862" s="26" t="s">
        <v>294</v>
      </c>
      <c r="C862" s="39">
        <v>311</v>
      </c>
      <c r="D862" s="40" t="s">
        <v>1522</v>
      </c>
      <c r="E862" s="38" t="s">
        <v>3</v>
      </c>
      <c r="F862" s="38" t="s">
        <v>11</v>
      </c>
      <c r="G862" s="32">
        <v>546506</v>
      </c>
      <c r="H862" s="32">
        <v>0</v>
      </c>
      <c r="I862" s="32">
        <v>6273494</v>
      </c>
      <c r="J862" s="35">
        <f>+G862-H862+I862</f>
        <v>6820000</v>
      </c>
      <c r="K862" s="28">
        <v>0</v>
      </c>
      <c r="L862" s="32">
        <v>0</v>
      </c>
      <c r="M862" s="35">
        <f>+J862+L862</f>
        <v>6820000</v>
      </c>
      <c r="N862" s="28" t="s">
        <v>1411</v>
      </c>
      <c r="O862" s="29" t="s">
        <v>1412</v>
      </c>
      <c r="P862" s="36" t="s">
        <v>1413</v>
      </c>
      <c r="Q862" s="31">
        <v>29598.01</v>
      </c>
      <c r="R862" s="33">
        <f>+M862/Q862</f>
        <v>230.42089654000389</v>
      </c>
    </row>
    <row r="863" spans="1:18" ht="15" customHeight="1">
      <c r="A863" s="37" t="s">
        <v>293</v>
      </c>
      <c r="B863" s="26" t="s">
        <v>294</v>
      </c>
      <c r="C863" s="39">
        <v>310</v>
      </c>
      <c r="D863" s="40" t="s">
        <v>1523</v>
      </c>
      <c r="E863" s="38" t="s">
        <v>3</v>
      </c>
      <c r="F863" s="38" t="s">
        <v>13</v>
      </c>
      <c r="G863" s="32">
        <v>1788920</v>
      </c>
      <c r="H863" s="32">
        <v>0</v>
      </c>
      <c r="I863" s="32">
        <v>5590363</v>
      </c>
      <c r="J863" s="35">
        <f>+G863-H863+I863</f>
        <v>7379283</v>
      </c>
      <c r="K863" s="28">
        <v>0</v>
      </c>
      <c r="L863" s="32">
        <v>0</v>
      </c>
      <c r="M863" s="35">
        <f>+J863+L863</f>
        <v>7379283</v>
      </c>
      <c r="N863" s="28" t="s">
        <v>1411</v>
      </c>
      <c r="O863" s="29" t="s">
        <v>1412</v>
      </c>
      <c r="P863" s="36" t="s">
        <v>1413</v>
      </c>
      <c r="Q863" s="31">
        <v>29598.01</v>
      </c>
      <c r="R863" s="33">
        <f>+M863/Q863</f>
        <v>249.31686285665828</v>
      </c>
    </row>
    <row r="864" spans="1:18" ht="15" customHeight="1">
      <c r="A864" s="37" t="s">
        <v>293</v>
      </c>
      <c r="B864" s="26" t="s">
        <v>294</v>
      </c>
      <c r="C864" s="39">
        <v>572</v>
      </c>
      <c r="D864" s="40" t="s">
        <v>1524</v>
      </c>
      <c r="E864" s="38" t="s">
        <v>4</v>
      </c>
      <c r="F864" s="38" t="s">
        <v>296</v>
      </c>
      <c r="G864" s="32">
        <v>892320</v>
      </c>
      <c r="H864" s="32">
        <v>344560</v>
      </c>
      <c r="I864" s="32">
        <v>2911015</v>
      </c>
      <c r="J864" s="35">
        <f>+G864-H864+I864</f>
        <v>3458775</v>
      </c>
      <c r="K864" s="27" t="s">
        <v>297</v>
      </c>
      <c r="L864" s="32">
        <v>0</v>
      </c>
      <c r="M864" s="35">
        <f>+J864+L864</f>
        <v>3458775</v>
      </c>
      <c r="N864" s="55" t="s">
        <v>298</v>
      </c>
      <c r="O864" s="56" t="s">
        <v>299</v>
      </c>
      <c r="P864" s="56">
        <v>44502</v>
      </c>
      <c r="Q864" s="49">
        <v>30403.919999999998</v>
      </c>
      <c r="R864" s="57">
        <f>+M864/Q864</f>
        <v>113.76082426213462</v>
      </c>
    </row>
    <row r="865" spans="1:18" ht="15" customHeight="1">
      <c r="A865" s="37" t="s">
        <v>293</v>
      </c>
      <c r="B865" s="26" t="s">
        <v>294</v>
      </c>
      <c r="C865" s="39">
        <v>308</v>
      </c>
      <c r="D865" s="40" t="s">
        <v>1525</v>
      </c>
      <c r="E865" s="38" t="s">
        <v>3</v>
      </c>
      <c r="F865" s="38" t="s">
        <v>12</v>
      </c>
      <c r="G865" s="32">
        <v>21871173</v>
      </c>
      <c r="H865" s="32">
        <v>0</v>
      </c>
      <c r="I865" s="32">
        <v>3761955</v>
      </c>
      <c r="J865" s="35">
        <f>+G865-H865+I865</f>
        <v>25633128</v>
      </c>
      <c r="K865" s="28">
        <v>0</v>
      </c>
      <c r="L865" s="32">
        <v>0</v>
      </c>
      <c r="M865" s="35">
        <f>+J865+L865</f>
        <v>25633128</v>
      </c>
      <c r="N865" s="28" t="s">
        <v>1354</v>
      </c>
      <c r="O865" s="29" t="s">
        <v>1355</v>
      </c>
      <c r="P865" s="36">
        <v>44335</v>
      </c>
      <c r="Q865" s="31">
        <v>29567.53</v>
      </c>
      <c r="R865" s="33">
        <f>M865/Q865</f>
        <v>866.93504665421835</v>
      </c>
    </row>
    <row r="866" spans="1:18" ht="15" customHeight="1">
      <c r="A866" s="37" t="s">
        <v>293</v>
      </c>
      <c r="B866" s="26" t="s">
        <v>294</v>
      </c>
      <c r="C866" s="39">
        <v>307</v>
      </c>
      <c r="D866" s="40" t="s">
        <v>1526</v>
      </c>
      <c r="E866" s="38" t="s">
        <v>3</v>
      </c>
      <c r="F866" s="38" t="s">
        <v>11</v>
      </c>
      <c r="G866" s="32">
        <v>0</v>
      </c>
      <c r="H866" s="32">
        <v>0</v>
      </c>
      <c r="I866" s="32">
        <v>3117539</v>
      </c>
      <c r="J866" s="35">
        <f>+G866-H866+I866</f>
        <v>3117539</v>
      </c>
      <c r="K866" s="28">
        <v>0</v>
      </c>
      <c r="L866" s="32">
        <v>0</v>
      </c>
      <c r="M866" s="35">
        <f>+J866+L866</f>
        <v>3117539</v>
      </c>
      <c r="N866" s="28" t="s">
        <v>1411</v>
      </c>
      <c r="O866" s="29" t="s">
        <v>1412</v>
      </c>
      <c r="P866" s="36" t="s">
        <v>1413</v>
      </c>
      <c r="Q866" s="31">
        <v>29598.01</v>
      </c>
      <c r="R866" s="33">
        <f>+M866/Q866</f>
        <v>105.32934477689548</v>
      </c>
    </row>
    <row r="867" spans="1:18" ht="15" customHeight="1">
      <c r="A867" s="37" t="s">
        <v>293</v>
      </c>
      <c r="B867" s="26" t="s">
        <v>294</v>
      </c>
      <c r="C867" s="39">
        <v>306</v>
      </c>
      <c r="D867" s="40" t="s">
        <v>1527</v>
      </c>
      <c r="E867" s="38" t="s">
        <v>3</v>
      </c>
      <c r="F867" s="38" t="s">
        <v>11</v>
      </c>
      <c r="G867" s="32">
        <v>171778</v>
      </c>
      <c r="H867" s="32">
        <v>0</v>
      </c>
      <c r="I867" s="32">
        <v>715229</v>
      </c>
      <c r="J867" s="35">
        <f>+G867-H867+I867</f>
        <v>887007</v>
      </c>
      <c r="K867" s="28">
        <v>0</v>
      </c>
      <c r="L867" s="32">
        <v>0</v>
      </c>
      <c r="M867" s="35">
        <f>+J867+L867</f>
        <v>887007</v>
      </c>
      <c r="N867" s="28" t="s">
        <v>1411</v>
      </c>
      <c r="O867" s="29" t="s">
        <v>1412</v>
      </c>
      <c r="P867" s="36" t="s">
        <v>1413</v>
      </c>
      <c r="Q867" s="31">
        <v>29598.01</v>
      </c>
      <c r="R867" s="33">
        <f>+M867/Q867</f>
        <v>29.968467474671442</v>
      </c>
    </row>
    <row r="868" spans="1:18" ht="15" customHeight="1">
      <c r="A868" s="37" t="s">
        <v>293</v>
      </c>
      <c r="B868" s="26" t="s">
        <v>294</v>
      </c>
      <c r="C868" s="39">
        <v>304</v>
      </c>
      <c r="D868" s="40" t="s">
        <v>1528</v>
      </c>
      <c r="E868" s="38" t="s">
        <v>3</v>
      </c>
      <c r="F868" s="38" t="s">
        <v>12</v>
      </c>
      <c r="G868" s="32">
        <v>8934603</v>
      </c>
      <c r="H868" s="32">
        <v>0</v>
      </c>
      <c r="I868" s="52">
        <v>0</v>
      </c>
      <c r="J868" s="35">
        <f>+G868-H868+I868</f>
        <v>8934603</v>
      </c>
      <c r="K868" s="28">
        <v>0</v>
      </c>
      <c r="L868" s="32">
        <v>0</v>
      </c>
      <c r="M868" s="35">
        <f>+J868+L868</f>
        <v>8934603</v>
      </c>
      <c r="N868" s="28" t="s">
        <v>1411</v>
      </c>
      <c r="O868" s="29" t="s">
        <v>1412</v>
      </c>
      <c r="P868" s="36" t="s">
        <v>1413</v>
      </c>
      <c r="Q868" s="31">
        <v>29598.01</v>
      </c>
      <c r="R868" s="33">
        <f>+M868/Q868</f>
        <v>301.86499024765516</v>
      </c>
    </row>
    <row r="869" spans="1:18" ht="15" customHeight="1">
      <c r="A869" s="37" t="s">
        <v>166</v>
      </c>
      <c r="B869" s="26" t="s">
        <v>167</v>
      </c>
      <c r="C869" s="39" t="s">
        <v>1529</v>
      </c>
      <c r="D869" s="40" t="s">
        <v>1530</v>
      </c>
      <c r="E869" s="38" t="s">
        <v>3</v>
      </c>
      <c r="F869" s="38" t="s">
        <v>18</v>
      </c>
      <c r="G869" s="32">
        <v>923175</v>
      </c>
      <c r="H869" s="32">
        <v>1430232</v>
      </c>
      <c r="I869" s="52">
        <v>0</v>
      </c>
      <c r="J869" s="35">
        <f>+G869-H869+I869</f>
        <v>-507057</v>
      </c>
      <c r="K869" s="27" t="s">
        <v>170</v>
      </c>
      <c r="L869" s="32">
        <v>0</v>
      </c>
      <c r="M869" s="35">
        <f>+J869+L869</f>
        <v>-507057</v>
      </c>
      <c r="N869" s="28" t="s">
        <v>171</v>
      </c>
      <c r="O869" s="29" t="s">
        <v>1531</v>
      </c>
      <c r="P869" s="36">
        <v>44341</v>
      </c>
      <c r="Q869" s="31">
        <v>29513.759999999998</v>
      </c>
      <c r="R869" s="33">
        <v>10</v>
      </c>
    </row>
    <row r="870" spans="1:18" ht="15" customHeight="1">
      <c r="A870" s="37" t="s">
        <v>293</v>
      </c>
      <c r="B870" s="26" t="s">
        <v>294</v>
      </c>
      <c r="C870" s="39">
        <v>303</v>
      </c>
      <c r="D870" s="40" t="s">
        <v>1532</v>
      </c>
      <c r="E870" s="38" t="s">
        <v>3</v>
      </c>
      <c r="F870" s="38" t="s">
        <v>12</v>
      </c>
      <c r="G870" s="32">
        <v>4002175</v>
      </c>
      <c r="H870" s="32">
        <v>0</v>
      </c>
      <c r="I870" s="52">
        <v>0</v>
      </c>
      <c r="J870" s="35">
        <f>+G870-H870+I870</f>
        <v>4002175</v>
      </c>
      <c r="K870" s="28">
        <v>0</v>
      </c>
      <c r="L870" s="32">
        <v>0</v>
      </c>
      <c r="M870" s="35">
        <f>+J870+L870</f>
        <v>4002175</v>
      </c>
      <c r="N870" s="28" t="s">
        <v>1411</v>
      </c>
      <c r="O870" s="29" t="s">
        <v>1412</v>
      </c>
      <c r="P870" s="36" t="s">
        <v>1413</v>
      </c>
      <c r="Q870" s="31">
        <v>29598.01</v>
      </c>
      <c r="R870" s="33">
        <f>+M870/Q870</f>
        <v>135.2177055146613</v>
      </c>
    </row>
    <row r="871" spans="1:18" ht="15" customHeight="1">
      <c r="A871" s="37" t="s">
        <v>293</v>
      </c>
      <c r="B871" s="26" t="s">
        <v>294</v>
      </c>
      <c r="C871" s="39">
        <v>302</v>
      </c>
      <c r="D871" s="40" t="s">
        <v>1533</v>
      </c>
      <c r="E871" s="38" t="s">
        <v>3</v>
      </c>
      <c r="F871" s="38" t="s">
        <v>15</v>
      </c>
      <c r="G871" s="32">
        <v>21234859</v>
      </c>
      <c r="H871" s="32">
        <v>0</v>
      </c>
      <c r="I871" s="52">
        <v>0</v>
      </c>
      <c r="J871" s="35">
        <f>+G871-H871+I871</f>
        <v>21234859</v>
      </c>
      <c r="K871" s="28">
        <v>0</v>
      </c>
      <c r="L871" s="32">
        <v>0</v>
      </c>
      <c r="M871" s="35">
        <f>+J871+L871</f>
        <v>21234859</v>
      </c>
      <c r="N871" s="28" t="s">
        <v>1411</v>
      </c>
      <c r="O871" s="29" t="s">
        <v>1412</v>
      </c>
      <c r="P871" s="36" t="s">
        <v>1413</v>
      </c>
      <c r="Q871" s="31">
        <v>29598.01</v>
      </c>
      <c r="R871" s="33">
        <f>+M871/Q871</f>
        <v>717.44211857486368</v>
      </c>
    </row>
    <row r="872" spans="1:18" ht="15" customHeight="1">
      <c r="A872" s="37" t="s">
        <v>293</v>
      </c>
      <c r="B872" s="26" t="s">
        <v>294</v>
      </c>
      <c r="C872" s="39">
        <v>301</v>
      </c>
      <c r="D872" s="40" t="s">
        <v>1534</v>
      </c>
      <c r="E872" s="38" t="s">
        <v>3</v>
      </c>
      <c r="F872" s="38" t="s">
        <v>10</v>
      </c>
      <c r="G872" s="32">
        <v>1258745</v>
      </c>
      <c r="H872" s="32">
        <v>0</v>
      </c>
      <c r="I872" s="32">
        <v>366329</v>
      </c>
      <c r="J872" s="35">
        <f>+G872-H872+I872</f>
        <v>1625074</v>
      </c>
      <c r="K872" s="28">
        <v>0</v>
      </c>
      <c r="L872" s="32">
        <v>0</v>
      </c>
      <c r="M872" s="35">
        <f>+J872+L872</f>
        <v>1625074</v>
      </c>
      <c r="N872" s="28" t="s">
        <v>1411</v>
      </c>
      <c r="O872" s="29" t="s">
        <v>1412</v>
      </c>
      <c r="P872" s="36" t="s">
        <v>1413</v>
      </c>
      <c r="Q872" s="31">
        <v>29598.01</v>
      </c>
      <c r="R872" s="33">
        <f>+M872/Q872</f>
        <v>54.904839886195056</v>
      </c>
    </row>
    <row r="873" spans="1:18" ht="15" customHeight="1">
      <c r="A873" s="37" t="s">
        <v>293</v>
      </c>
      <c r="B873" s="26" t="s">
        <v>294</v>
      </c>
      <c r="C873" s="39">
        <v>300</v>
      </c>
      <c r="D873" s="40" t="s">
        <v>1535</v>
      </c>
      <c r="E873" s="38" t="s">
        <v>3</v>
      </c>
      <c r="F873" s="38" t="s">
        <v>678</v>
      </c>
      <c r="G873" s="32">
        <v>60655229</v>
      </c>
      <c r="H873" s="32">
        <v>31301824</v>
      </c>
      <c r="I873" s="32">
        <v>2226731</v>
      </c>
      <c r="J873" s="35">
        <f>+G873-H873+I873</f>
        <v>31580136</v>
      </c>
      <c r="K873" s="28">
        <v>0</v>
      </c>
      <c r="L873" s="32">
        <v>0</v>
      </c>
      <c r="M873" s="35">
        <f>+J873+L873</f>
        <v>31580136</v>
      </c>
      <c r="N873" s="28" t="s">
        <v>1248</v>
      </c>
      <c r="O873" s="29" t="s">
        <v>1249</v>
      </c>
      <c r="P873" s="36">
        <v>44993</v>
      </c>
      <c r="Q873" s="31">
        <v>35590.620000000003</v>
      </c>
      <c r="R873" s="33">
        <f>+M873/Q873</f>
        <v>887.31626479111628</v>
      </c>
    </row>
    <row r="874" spans="1:18" ht="15" customHeight="1">
      <c r="A874" s="37" t="s">
        <v>293</v>
      </c>
      <c r="B874" s="26" t="s">
        <v>294</v>
      </c>
      <c r="C874" s="39">
        <v>299</v>
      </c>
      <c r="D874" s="40" t="s">
        <v>1536</v>
      </c>
      <c r="E874" s="38" t="s">
        <v>3</v>
      </c>
      <c r="F874" s="38" t="s">
        <v>18</v>
      </c>
      <c r="G874" s="32">
        <v>30348</v>
      </c>
      <c r="H874" s="32">
        <v>390627</v>
      </c>
      <c r="I874" s="52">
        <v>0</v>
      </c>
      <c r="J874" s="35">
        <f>+G874-H874+I874</f>
        <v>-360279</v>
      </c>
      <c r="K874" s="28">
        <v>0</v>
      </c>
      <c r="L874" s="32">
        <v>0</v>
      </c>
      <c r="M874" s="35">
        <f>+J874+L874</f>
        <v>-360279</v>
      </c>
      <c r="N874" s="28" t="s">
        <v>1537</v>
      </c>
      <c r="O874" s="29" t="s">
        <v>1538</v>
      </c>
      <c r="P874" s="36">
        <v>43914</v>
      </c>
      <c r="Q874" s="31">
        <v>28331.86</v>
      </c>
      <c r="R874" s="33">
        <f>M874/Q874</f>
        <v>-12.716390664079238</v>
      </c>
    </row>
    <row r="875" spans="1:18" ht="15" customHeight="1">
      <c r="A875" s="37" t="s">
        <v>293</v>
      </c>
      <c r="B875" s="26" t="s">
        <v>294</v>
      </c>
      <c r="C875" s="39">
        <v>298</v>
      </c>
      <c r="D875" s="40" t="s">
        <v>1539</v>
      </c>
      <c r="E875" s="38" t="s">
        <v>3</v>
      </c>
      <c r="F875" s="38" t="s">
        <v>18</v>
      </c>
      <c r="G875" s="32">
        <v>58813</v>
      </c>
      <c r="H875" s="32">
        <v>1274653</v>
      </c>
      <c r="I875" s="52">
        <v>0</v>
      </c>
      <c r="J875" s="35">
        <f>+G875-H875+I875</f>
        <v>-1215840</v>
      </c>
      <c r="K875" s="28">
        <v>0</v>
      </c>
      <c r="L875" s="32">
        <v>0</v>
      </c>
      <c r="M875" s="35">
        <f>+J875+L875</f>
        <v>-1215840</v>
      </c>
      <c r="N875" s="28" t="s">
        <v>1537</v>
      </c>
      <c r="O875" s="29" t="s">
        <v>1538</v>
      </c>
      <c r="P875" s="36">
        <v>43914</v>
      </c>
      <c r="Q875" s="31">
        <v>28331.86</v>
      </c>
      <c r="R875" s="33">
        <f>M875/Q875</f>
        <v>-42.914231540040085</v>
      </c>
    </row>
    <row r="876" spans="1:18" ht="15" customHeight="1">
      <c r="A876" s="37" t="s">
        <v>356</v>
      </c>
      <c r="B876" s="26" t="s">
        <v>1540</v>
      </c>
      <c r="C876" s="39">
        <v>298</v>
      </c>
      <c r="D876" s="40" t="s">
        <v>1541</v>
      </c>
      <c r="E876" s="38" t="s">
        <v>3</v>
      </c>
      <c r="F876" s="38" t="s">
        <v>11</v>
      </c>
      <c r="G876" s="32">
        <v>0</v>
      </c>
      <c r="H876" s="32">
        <v>1202851.4396798525</v>
      </c>
      <c r="I876" s="52">
        <v>0</v>
      </c>
      <c r="J876" s="35">
        <f>+G876-H876+I876</f>
        <v>-1202851.4396798525</v>
      </c>
      <c r="K876" s="28">
        <v>0</v>
      </c>
      <c r="L876" s="32">
        <v>0</v>
      </c>
      <c r="M876" s="35">
        <f>+J876+L876</f>
        <v>-1202851.4396798525</v>
      </c>
      <c r="N876" s="28" t="s">
        <v>1542</v>
      </c>
      <c r="O876" s="29" t="s">
        <v>1543</v>
      </c>
      <c r="P876" s="36">
        <v>43427</v>
      </c>
      <c r="Q876" s="31">
        <v>27507.17</v>
      </c>
      <c r="R876" s="33">
        <f>M876/Q876</f>
        <v>-43.728651100053277</v>
      </c>
    </row>
    <row r="877" spans="1:18" ht="15" customHeight="1">
      <c r="A877" s="37" t="s">
        <v>293</v>
      </c>
      <c r="B877" s="26" t="s">
        <v>294</v>
      </c>
      <c r="C877" s="39">
        <v>297</v>
      </c>
      <c r="D877" s="40" t="s">
        <v>1544</v>
      </c>
      <c r="E877" s="38" t="s">
        <v>3</v>
      </c>
      <c r="F877" s="38" t="s">
        <v>15</v>
      </c>
      <c r="G877" s="32">
        <v>8705184</v>
      </c>
      <c r="H877" s="32">
        <v>0</v>
      </c>
      <c r="I877" s="52">
        <v>0</v>
      </c>
      <c r="J877" s="35">
        <f>+G877-H877+I877</f>
        <v>8705184</v>
      </c>
      <c r="K877" s="28">
        <v>0</v>
      </c>
      <c r="L877" s="32">
        <v>0</v>
      </c>
      <c r="M877" s="35">
        <f>+J877+L877</f>
        <v>8705184</v>
      </c>
      <c r="N877" s="28" t="s">
        <v>1411</v>
      </c>
      <c r="O877" s="29" t="s">
        <v>1412</v>
      </c>
      <c r="P877" s="36" t="s">
        <v>1413</v>
      </c>
      <c r="Q877" s="31">
        <v>29598.01</v>
      </c>
      <c r="R877" s="33">
        <f>+M877/Q877</f>
        <v>294.1138272471697</v>
      </c>
    </row>
    <row r="878" spans="1:18" ht="15" customHeight="1">
      <c r="A878" s="37" t="s">
        <v>293</v>
      </c>
      <c r="B878" s="26" t="s">
        <v>294</v>
      </c>
      <c r="C878" s="39">
        <v>296</v>
      </c>
      <c r="D878" s="40" t="s">
        <v>1545</v>
      </c>
      <c r="E878" s="38" t="s">
        <v>198</v>
      </c>
      <c r="F878" s="38" t="s">
        <v>11</v>
      </c>
      <c r="G878" s="32">
        <v>0</v>
      </c>
      <c r="H878" s="32">
        <v>0</v>
      </c>
      <c r="I878" s="32">
        <v>12615161</v>
      </c>
      <c r="J878" s="35">
        <f>+G878-H878+I878</f>
        <v>12615161</v>
      </c>
      <c r="K878" s="28">
        <v>0</v>
      </c>
      <c r="L878" s="32">
        <v>0</v>
      </c>
      <c r="M878" s="35">
        <f>+J878+L878</f>
        <v>12615161</v>
      </c>
      <c r="N878" s="55" t="s">
        <v>1336</v>
      </c>
      <c r="O878" s="56" t="s">
        <v>1337</v>
      </c>
      <c r="P878" s="56">
        <v>44484</v>
      </c>
      <c r="Q878" s="49">
        <v>30194.06</v>
      </c>
      <c r="R878" s="57">
        <f>M878/Q878</f>
        <v>417.8027400091276</v>
      </c>
    </row>
    <row r="879" spans="1:18" ht="15" customHeight="1">
      <c r="A879" s="37" t="s">
        <v>293</v>
      </c>
      <c r="B879" s="26" t="s">
        <v>294</v>
      </c>
      <c r="C879" s="39">
        <v>295</v>
      </c>
      <c r="D879" s="40" t="s">
        <v>1546</v>
      </c>
      <c r="E879" s="38" t="s">
        <v>6</v>
      </c>
      <c r="F879" s="38" t="s">
        <v>18</v>
      </c>
      <c r="G879" s="32">
        <v>4763778</v>
      </c>
      <c r="H879" s="32">
        <v>0</v>
      </c>
      <c r="I879" s="32">
        <v>12104853</v>
      </c>
      <c r="J879" s="35">
        <f>+G879-H879+I879</f>
        <v>16868631</v>
      </c>
      <c r="K879" s="28">
        <v>0</v>
      </c>
      <c r="L879" s="32">
        <v>0</v>
      </c>
      <c r="M879" s="35">
        <f>+J879+L879</f>
        <v>16868631</v>
      </c>
      <c r="N879" s="28" t="s">
        <v>1537</v>
      </c>
      <c r="O879" s="29" t="s">
        <v>1538</v>
      </c>
      <c r="P879" s="36">
        <v>43914</v>
      </c>
      <c r="Q879" s="31">
        <v>28331.86</v>
      </c>
      <c r="R879" s="33">
        <f>M879/Q879</f>
        <v>595.39440756801707</v>
      </c>
    </row>
    <row r="880" spans="1:18" ht="15" customHeight="1">
      <c r="A880" s="37" t="s">
        <v>356</v>
      </c>
      <c r="B880" s="26" t="s">
        <v>1540</v>
      </c>
      <c r="C880" s="39">
        <v>295</v>
      </c>
      <c r="D880" s="40" t="s">
        <v>1547</v>
      </c>
      <c r="E880" s="38" t="s">
        <v>4</v>
      </c>
      <c r="F880" s="38" t="s">
        <v>11</v>
      </c>
      <c r="G880" s="32">
        <v>2715090</v>
      </c>
      <c r="H880" s="32">
        <v>350391</v>
      </c>
      <c r="I880" s="52">
        <v>0</v>
      </c>
      <c r="J880" s="35">
        <f>+G880-H880+I880</f>
        <v>2364699</v>
      </c>
      <c r="K880" s="28">
        <v>0</v>
      </c>
      <c r="L880" s="32">
        <v>0</v>
      </c>
      <c r="M880" s="35">
        <f>+J880+L880</f>
        <v>2364699</v>
      </c>
      <c r="N880" s="28" t="s">
        <v>1542</v>
      </c>
      <c r="O880" s="29" t="s">
        <v>1543</v>
      </c>
      <c r="P880" s="36">
        <v>43427</v>
      </c>
      <c r="Q880" s="31">
        <v>27507.17</v>
      </c>
      <c r="R880" s="33">
        <f>M880/Q880</f>
        <v>85.966640697679921</v>
      </c>
    </row>
    <row r="881" spans="1:18" ht="15" customHeight="1">
      <c r="A881" s="37" t="s">
        <v>293</v>
      </c>
      <c r="B881" s="26" t="s">
        <v>294</v>
      </c>
      <c r="C881" s="39">
        <v>294</v>
      </c>
      <c r="D881" s="40" t="s">
        <v>1548</v>
      </c>
      <c r="E881" s="38" t="s">
        <v>6</v>
      </c>
      <c r="F881" s="38" t="s">
        <v>11</v>
      </c>
      <c r="G881" s="32">
        <v>186688995</v>
      </c>
      <c r="H881" s="32">
        <v>335191</v>
      </c>
      <c r="I881" s="32">
        <v>1411820</v>
      </c>
      <c r="J881" s="35">
        <f>+G881-H881+I881</f>
        <v>187765624</v>
      </c>
      <c r="K881" s="28">
        <v>0</v>
      </c>
      <c r="L881" s="32">
        <v>0</v>
      </c>
      <c r="M881" s="35">
        <f>+J881+L881</f>
        <v>187765624</v>
      </c>
      <c r="N881" s="28" t="s">
        <v>1411</v>
      </c>
      <c r="O881" s="29" t="s">
        <v>1412</v>
      </c>
      <c r="P881" s="36" t="s">
        <v>1413</v>
      </c>
      <c r="Q881" s="31">
        <v>29598.01</v>
      </c>
      <c r="R881" s="33">
        <f>+M881/Q881</f>
        <v>6343.8597392189549</v>
      </c>
    </row>
    <row r="882" spans="1:18" ht="15" customHeight="1">
      <c r="A882" s="37" t="s">
        <v>293</v>
      </c>
      <c r="B882" s="26" t="s">
        <v>294</v>
      </c>
      <c r="C882" s="39">
        <v>293</v>
      </c>
      <c r="D882" s="40" t="s">
        <v>1549</v>
      </c>
      <c r="E882" s="38" t="s">
        <v>3</v>
      </c>
      <c r="F882" s="38" t="s">
        <v>11</v>
      </c>
      <c r="G882" s="32">
        <v>0</v>
      </c>
      <c r="H882" s="32">
        <v>92072878</v>
      </c>
      <c r="I882" s="32">
        <v>75930714</v>
      </c>
      <c r="J882" s="35">
        <f>+G882-H882+I882</f>
        <v>-16142164</v>
      </c>
      <c r="K882" s="28">
        <v>0</v>
      </c>
      <c r="L882" s="32">
        <v>0</v>
      </c>
      <c r="M882" s="35">
        <f>+J882+L882</f>
        <v>-16142164</v>
      </c>
      <c r="N882" s="28" t="s">
        <v>1411</v>
      </c>
      <c r="O882" s="29" t="s">
        <v>1412</v>
      </c>
      <c r="P882" s="36" t="s">
        <v>1413</v>
      </c>
      <c r="Q882" s="31">
        <v>29598.01</v>
      </c>
      <c r="R882" s="33">
        <f>+M882/Q882</f>
        <v>-545.38004413134536</v>
      </c>
    </row>
    <row r="883" spans="1:18" ht="15" customHeight="1">
      <c r="A883" s="37" t="s">
        <v>293</v>
      </c>
      <c r="B883" s="26" t="s">
        <v>294</v>
      </c>
      <c r="C883" s="39">
        <v>292</v>
      </c>
      <c r="D883" s="40" t="s">
        <v>1550</v>
      </c>
      <c r="E883" s="38" t="s">
        <v>3</v>
      </c>
      <c r="F883" s="38" t="s">
        <v>11</v>
      </c>
      <c r="G883" s="32">
        <v>13084800</v>
      </c>
      <c r="H883" s="32">
        <v>0</v>
      </c>
      <c r="I883" s="32">
        <v>176145027</v>
      </c>
      <c r="J883" s="35">
        <f>+G883-H883+I883</f>
        <v>189229827</v>
      </c>
      <c r="K883" s="28">
        <v>0</v>
      </c>
      <c r="L883" s="32">
        <v>0</v>
      </c>
      <c r="M883" s="35">
        <f>+J883+L883</f>
        <v>189229827</v>
      </c>
      <c r="N883" s="28" t="s">
        <v>1411</v>
      </c>
      <c r="O883" s="29" t="s">
        <v>1412</v>
      </c>
      <c r="P883" s="36" t="s">
        <v>1413</v>
      </c>
      <c r="Q883" s="31">
        <v>29598.01</v>
      </c>
      <c r="R883" s="33">
        <f>+M883/Q883</f>
        <v>6393.3293826172776</v>
      </c>
    </row>
    <row r="884" spans="1:18" ht="15" customHeight="1">
      <c r="A884" s="37" t="s">
        <v>293</v>
      </c>
      <c r="B884" s="26" t="s">
        <v>294</v>
      </c>
      <c r="C884" s="39">
        <v>291</v>
      </c>
      <c r="D884" s="40" t="s">
        <v>1551</v>
      </c>
      <c r="E884" s="38" t="s">
        <v>3</v>
      </c>
      <c r="F884" s="38" t="s">
        <v>11</v>
      </c>
      <c r="G884" s="32">
        <v>1093359</v>
      </c>
      <c r="H884" s="32">
        <v>567495</v>
      </c>
      <c r="I884" s="52">
        <v>0</v>
      </c>
      <c r="J884" s="35">
        <f>+G884-H884+I884</f>
        <v>525864</v>
      </c>
      <c r="K884" s="28">
        <v>0</v>
      </c>
      <c r="L884" s="32">
        <v>0</v>
      </c>
      <c r="M884" s="35">
        <f>+J884+L884</f>
        <v>525864</v>
      </c>
      <c r="N884" s="28" t="s">
        <v>1537</v>
      </c>
      <c r="O884" s="29" t="s">
        <v>1538</v>
      </c>
      <c r="P884" s="36">
        <v>43914</v>
      </c>
      <c r="Q884" s="31">
        <v>28331.86</v>
      </c>
      <c r="R884" s="33">
        <f>M884/Q884</f>
        <v>18.560871047647417</v>
      </c>
    </row>
    <row r="885" spans="1:18" ht="15" customHeight="1">
      <c r="A885" s="37" t="s">
        <v>356</v>
      </c>
      <c r="B885" s="26" t="s">
        <v>1540</v>
      </c>
      <c r="C885" s="39">
        <v>291</v>
      </c>
      <c r="D885" s="40" t="s">
        <v>1552</v>
      </c>
      <c r="E885" s="38" t="s">
        <v>4</v>
      </c>
      <c r="F885" s="38" t="s">
        <v>11</v>
      </c>
      <c r="G885" s="32">
        <v>0</v>
      </c>
      <c r="H885" s="32">
        <v>0</v>
      </c>
      <c r="I885" s="32">
        <v>3831145.5000299676</v>
      </c>
      <c r="J885" s="35">
        <f>+G885-H885+I885</f>
        <v>3831145.5000299676</v>
      </c>
      <c r="K885" s="28">
        <v>0</v>
      </c>
      <c r="L885" s="32">
        <v>0</v>
      </c>
      <c r="M885" s="35">
        <f>+J885+L885</f>
        <v>3831145.5000299676</v>
      </c>
      <c r="N885" s="28" t="s">
        <v>1542</v>
      </c>
      <c r="O885" s="29" t="s">
        <v>1543</v>
      </c>
      <c r="P885" s="36">
        <v>43427</v>
      </c>
      <c r="Q885" s="31">
        <v>27507.17</v>
      </c>
      <c r="R885" s="33">
        <f>M885/Q885</f>
        <v>139.27806822839165</v>
      </c>
    </row>
    <row r="886" spans="1:18" ht="15" customHeight="1">
      <c r="A886" s="37" t="s">
        <v>874</v>
      </c>
      <c r="B886" s="26" t="s">
        <v>875</v>
      </c>
      <c r="C886" s="39">
        <v>86</v>
      </c>
      <c r="D886" s="40" t="s">
        <v>1553</v>
      </c>
      <c r="E886" s="38" t="s">
        <v>3</v>
      </c>
      <c r="F886" s="38" t="s">
        <v>11</v>
      </c>
      <c r="G886" s="32">
        <v>959050</v>
      </c>
      <c r="H886" s="32">
        <v>35781543</v>
      </c>
      <c r="I886" s="32">
        <v>55409982</v>
      </c>
      <c r="J886" s="35">
        <f>+G886-H886+I886</f>
        <v>20587489</v>
      </c>
      <c r="K886" s="27">
        <v>135</v>
      </c>
      <c r="L886" s="32">
        <v>0</v>
      </c>
      <c r="M886" s="35">
        <f>+J886+L886</f>
        <v>20587489</v>
      </c>
      <c r="N886" s="28" t="s">
        <v>877</v>
      </c>
      <c r="O886" s="29" t="s">
        <v>878</v>
      </c>
      <c r="P886" s="36">
        <v>44902</v>
      </c>
      <c r="Q886" s="31">
        <v>34852.33</v>
      </c>
      <c r="R886" s="33">
        <f>M886/Q886</f>
        <v>590.70624546479382</v>
      </c>
    </row>
    <row r="887" spans="1:18" ht="15" customHeight="1">
      <c r="A887" s="37" t="s">
        <v>293</v>
      </c>
      <c r="B887" s="26" t="s">
        <v>294</v>
      </c>
      <c r="C887" s="39">
        <v>290</v>
      </c>
      <c r="D887" s="40" t="s">
        <v>1554</v>
      </c>
      <c r="E887" s="38" t="s">
        <v>3</v>
      </c>
      <c r="F887" s="38" t="s">
        <v>10</v>
      </c>
      <c r="G887" s="32">
        <v>47439922</v>
      </c>
      <c r="H887" s="32">
        <v>0</v>
      </c>
      <c r="I887" s="52">
        <v>0</v>
      </c>
      <c r="J887" s="35">
        <f>+G887-H887+I887</f>
        <v>47439922</v>
      </c>
      <c r="K887" s="28">
        <v>0</v>
      </c>
      <c r="L887" s="32">
        <v>0</v>
      </c>
      <c r="M887" s="35">
        <f>+J887+L887</f>
        <v>47439922</v>
      </c>
      <c r="N887" s="28" t="s">
        <v>1411</v>
      </c>
      <c r="O887" s="29" t="s">
        <v>1412</v>
      </c>
      <c r="P887" s="36" t="s">
        <v>1413</v>
      </c>
      <c r="Q887" s="31">
        <v>29598.01</v>
      </c>
      <c r="R887" s="33">
        <f>+M887/Q887</f>
        <v>1602.8078239043775</v>
      </c>
    </row>
    <row r="888" spans="1:18" ht="15" customHeight="1">
      <c r="A888" s="37" t="s">
        <v>356</v>
      </c>
      <c r="B888" s="26" t="s">
        <v>1540</v>
      </c>
      <c r="C888" s="39">
        <v>290</v>
      </c>
      <c r="D888" s="40" t="s">
        <v>1555</v>
      </c>
      <c r="E888" s="38" t="s">
        <v>3</v>
      </c>
      <c r="F888" s="38" t="s">
        <v>11</v>
      </c>
      <c r="G888" s="32">
        <v>0</v>
      </c>
      <c r="H888" s="32">
        <v>0</v>
      </c>
      <c r="I888" s="32">
        <v>16179811.557126563</v>
      </c>
      <c r="J888" s="35">
        <f>+G888-H888+I888</f>
        <v>16179811.557126563</v>
      </c>
      <c r="K888" s="28">
        <v>0</v>
      </c>
      <c r="L888" s="32">
        <v>0</v>
      </c>
      <c r="M888" s="35">
        <f>+J888+L888</f>
        <v>16179811.557126563</v>
      </c>
      <c r="N888" s="28" t="s">
        <v>1542</v>
      </c>
      <c r="O888" s="29" t="s">
        <v>1543</v>
      </c>
      <c r="P888" s="36">
        <v>43427</v>
      </c>
      <c r="Q888" s="31">
        <v>27507.17</v>
      </c>
      <c r="R888" s="33">
        <f>M888/Q888</f>
        <v>588.20342322116608</v>
      </c>
    </row>
    <row r="889" spans="1:18" ht="15" customHeight="1">
      <c r="A889" s="37" t="s">
        <v>293</v>
      </c>
      <c r="B889" s="26" t="s">
        <v>294</v>
      </c>
      <c r="C889" s="39">
        <v>289</v>
      </c>
      <c r="D889" s="40" t="s">
        <v>1556</v>
      </c>
      <c r="E889" s="38" t="s">
        <v>3</v>
      </c>
      <c r="F889" s="38" t="s">
        <v>10</v>
      </c>
      <c r="G889" s="32">
        <v>1198318</v>
      </c>
      <c r="H889" s="32">
        <v>1086276</v>
      </c>
      <c r="I889" s="52">
        <v>0</v>
      </c>
      <c r="J889" s="35">
        <f>+G889-H889+I889</f>
        <v>112042</v>
      </c>
      <c r="K889" s="28">
        <v>0</v>
      </c>
      <c r="L889" s="32">
        <v>0</v>
      </c>
      <c r="M889" s="35">
        <f>+J889+L889</f>
        <v>112042</v>
      </c>
      <c r="N889" s="28" t="s">
        <v>1537</v>
      </c>
      <c r="O889" s="29" t="s">
        <v>1538</v>
      </c>
      <c r="P889" s="36">
        <v>43914</v>
      </c>
      <c r="Q889" s="31">
        <v>28331.86</v>
      </c>
      <c r="R889" s="33">
        <f>M889/Q889</f>
        <v>3.9546291701286114</v>
      </c>
    </row>
    <row r="890" spans="1:18" ht="15" customHeight="1">
      <c r="A890" s="37" t="s">
        <v>293</v>
      </c>
      <c r="B890" s="26" t="s">
        <v>294</v>
      </c>
      <c r="C890" s="39">
        <v>287</v>
      </c>
      <c r="D890" s="40" t="s">
        <v>1557</v>
      </c>
      <c r="E890" s="38" t="s">
        <v>3</v>
      </c>
      <c r="F890" s="38" t="s">
        <v>13</v>
      </c>
      <c r="G890" s="32">
        <v>875070</v>
      </c>
      <c r="H890" s="32">
        <v>490156</v>
      </c>
      <c r="I890" s="32">
        <v>187825</v>
      </c>
      <c r="J890" s="35">
        <f>+G890-H890+I890</f>
        <v>572739</v>
      </c>
      <c r="K890" s="28">
        <v>0</v>
      </c>
      <c r="L890" s="32">
        <v>0</v>
      </c>
      <c r="M890" s="35">
        <f>+J890+L890</f>
        <v>572739</v>
      </c>
      <c r="N890" s="28" t="s">
        <v>1537</v>
      </c>
      <c r="O890" s="29" t="s">
        <v>1538</v>
      </c>
      <c r="P890" s="36">
        <v>43914</v>
      </c>
      <c r="Q890" s="31">
        <v>28331.86</v>
      </c>
      <c r="R890" s="33">
        <f>M890/Q890</f>
        <v>20.215368846238828</v>
      </c>
    </row>
    <row r="891" spans="1:18" ht="15" customHeight="1">
      <c r="A891" s="37" t="s">
        <v>293</v>
      </c>
      <c r="B891" s="26" t="s">
        <v>294</v>
      </c>
      <c r="C891" s="39">
        <v>283</v>
      </c>
      <c r="D891" s="40" t="s">
        <v>1558</v>
      </c>
      <c r="E891" s="38" t="s">
        <v>3</v>
      </c>
      <c r="F891" s="38" t="s">
        <v>18</v>
      </c>
      <c r="G891" s="32">
        <v>285346</v>
      </c>
      <c r="H891" s="32">
        <v>50176</v>
      </c>
      <c r="I891" s="52">
        <v>0</v>
      </c>
      <c r="J891" s="35">
        <f>+G891-H891+I891</f>
        <v>235170</v>
      </c>
      <c r="K891" s="28">
        <v>0</v>
      </c>
      <c r="L891" s="32">
        <v>0</v>
      </c>
      <c r="M891" s="35">
        <f>+J891+L891</f>
        <v>235170</v>
      </c>
      <c r="N891" s="28" t="s">
        <v>1537</v>
      </c>
      <c r="O891" s="29" t="s">
        <v>1538</v>
      </c>
      <c r="P891" s="36">
        <v>43914</v>
      </c>
      <c r="Q891" s="31">
        <v>28331.86</v>
      </c>
      <c r="R891" s="33">
        <f>M891/Q891</f>
        <v>8.3005492756211563</v>
      </c>
    </row>
    <row r="892" spans="1:18" ht="15" customHeight="1">
      <c r="A892" s="37" t="s">
        <v>293</v>
      </c>
      <c r="B892" s="26" t="s">
        <v>294</v>
      </c>
      <c r="C892" s="39">
        <v>282</v>
      </c>
      <c r="D892" s="40" t="s">
        <v>1559</v>
      </c>
      <c r="E892" s="38" t="s">
        <v>3</v>
      </c>
      <c r="F892" s="38" t="s">
        <v>18</v>
      </c>
      <c r="G892" s="32">
        <v>236786</v>
      </c>
      <c r="H892" s="32">
        <v>267067</v>
      </c>
      <c r="I892" s="52">
        <v>0</v>
      </c>
      <c r="J892" s="35">
        <f>+G892-H892+I892</f>
        <v>-30281</v>
      </c>
      <c r="K892" s="28">
        <v>0</v>
      </c>
      <c r="L892" s="32">
        <v>0</v>
      </c>
      <c r="M892" s="35">
        <f>+J892+L892</f>
        <v>-30281</v>
      </c>
      <c r="N892" s="28" t="s">
        <v>1537</v>
      </c>
      <c r="O892" s="29" t="s">
        <v>1538</v>
      </c>
      <c r="P892" s="36">
        <v>43914</v>
      </c>
      <c r="Q892" s="31">
        <v>28331.86</v>
      </c>
      <c r="R892" s="33">
        <f>M892/Q892</f>
        <v>-1.0687967539017911</v>
      </c>
    </row>
    <row r="893" spans="1:18" ht="15" customHeight="1">
      <c r="A893" s="37" t="s">
        <v>293</v>
      </c>
      <c r="B893" s="26" t="s">
        <v>294</v>
      </c>
      <c r="C893" s="39">
        <v>281</v>
      </c>
      <c r="D893" s="40" t="s">
        <v>1560</v>
      </c>
      <c r="E893" s="38" t="s">
        <v>3</v>
      </c>
      <c r="F893" s="38" t="s">
        <v>18</v>
      </c>
      <c r="G893" s="32">
        <v>105348</v>
      </c>
      <c r="H893" s="32">
        <v>50176</v>
      </c>
      <c r="I893" s="52">
        <v>0</v>
      </c>
      <c r="J893" s="35">
        <f>+G893-H893+I893</f>
        <v>55172</v>
      </c>
      <c r="K893" s="28">
        <v>0</v>
      </c>
      <c r="L893" s="32">
        <v>0</v>
      </c>
      <c r="M893" s="35">
        <f>+J893+L893</f>
        <v>55172</v>
      </c>
      <c r="N893" s="28" t="s">
        <v>1537</v>
      </c>
      <c r="O893" s="29" t="s">
        <v>1538</v>
      </c>
      <c r="P893" s="36">
        <v>43914</v>
      </c>
      <c r="Q893" s="31">
        <v>28331.86</v>
      </c>
      <c r="R893" s="33">
        <f>M893/Q893</f>
        <v>1.9473483209362181</v>
      </c>
    </row>
    <row r="894" spans="1:18" ht="15" customHeight="1">
      <c r="A894" s="37" t="s">
        <v>52</v>
      </c>
      <c r="B894" s="26" t="s">
        <v>195</v>
      </c>
      <c r="C894" s="65" t="s">
        <v>354</v>
      </c>
      <c r="D894" s="51" t="s">
        <v>1561</v>
      </c>
      <c r="E894" s="38" t="s">
        <v>3</v>
      </c>
      <c r="F894" s="38" t="s">
        <v>13</v>
      </c>
      <c r="G894" s="52">
        <v>977193</v>
      </c>
      <c r="H894" s="52">
        <v>5556230</v>
      </c>
      <c r="I894" s="52">
        <v>219291177</v>
      </c>
      <c r="J894" s="53">
        <f>+G894-H894+I894</f>
        <v>214712140</v>
      </c>
      <c r="K894" s="54">
        <v>39</v>
      </c>
      <c r="L894" s="52"/>
      <c r="M894" s="53">
        <f>+J894+L894</f>
        <v>214712140</v>
      </c>
      <c r="N894" s="55" t="s">
        <v>385</v>
      </c>
      <c r="O894" s="29" t="s">
        <v>386</v>
      </c>
      <c r="P894" s="36">
        <v>44727</v>
      </c>
      <c r="Q894" s="49">
        <v>33086.83</v>
      </c>
      <c r="R894" s="33">
        <f>M894/Q894</f>
        <v>6489.353618947478</v>
      </c>
    </row>
    <row r="895" spans="1:18" ht="15" customHeight="1">
      <c r="A895" s="37" t="s">
        <v>293</v>
      </c>
      <c r="B895" s="26" t="s">
        <v>294</v>
      </c>
      <c r="C895" s="39">
        <v>280</v>
      </c>
      <c r="D895" s="40" t="s">
        <v>1562</v>
      </c>
      <c r="E895" s="38" t="s">
        <v>3</v>
      </c>
      <c r="F895" s="38" t="s">
        <v>18</v>
      </c>
      <c r="G895" s="32">
        <v>299795</v>
      </c>
      <c r="H895" s="32">
        <v>0</v>
      </c>
      <c r="I895" s="52">
        <v>0</v>
      </c>
      <c r="J895" s="35">
        <f>+G895-H895+I895</f>
        <v>299795</v>
      </c>
      <c r="K895" s="28">
        <v>0</v>
      </c>
      <c r="L895" s="32">
        <v>0</v>
      </c>
      <c r="M895" s="35">
        <f>+J895+L895</f>
        <v>299795</v>
      </c>
      <c r="N895" s="28" t="s">
        <v>1537</v>
      </c>
      <c r="O895" s="29" t="s">
        <v>1538</v>
      </c>
      <c r="P895" s="36">
        <v>43914</v>
      </c>
      <c r="Q895" s="31">
        <v>28331.86</v>
      </c>
      <c r="R895" s="33">
        <f>M895/Q895</f>
        <v>10.581550240612511</v>
      </c>
    </row>
    <row r="896" spans="1:18" ht="15" customHeight="1">
      <c r="A896" s="37" t="s">
        <v>293</v>
      </c>
      <c r="B896" s="26" t="s">
        <v>294</v>
      </c>
      <c r="C896" s="39">
        <v>279</v>
      </c>
      <c r="D896" s="40" t="s">
        <v>1563</v>
      </c>
      <c r="E896" s="38" t="s">
        <v>3</v>
      </c>
      <c r="F896" s="38" t="s">
        <v>18</v>
      </c>
      <c r="G896" s="32">
        <v>149469</v>
      </c>
      <c r="H896" s="32">
        <v>0</v>
      </c>
      <c r="I896" s="32">
        <v>672492</v>
      </c>
      <c r="J896" s="35">
        <f>+G896-H896+I896</f>
        <v>821961</v>
      </c>
      <c r="K896" s="28">
        <v>0</v>
      </c>
      <c r="L896" s="32">
        <v>0</v>
      </c>
      <c r="M896" s="35">
        <f>+J896+L896</f>
        <v>821961</v>
      </c>
      <c r="N896" s="28" t="s">
        <v>1537</v>
      </c>
      <c r="O896" s="29" t="s">
        <v>1538</v>
      </c>
      <c r="P896" s="36">
        <v>43914</v>
      </c>
      <c r="Q896" s="31">
        <v>28331.86</v>
      </c>
      <c r="R896" s="33">
        <f>M896/Q896</f>
        <v>29.011896853930523</v>
      </c>
    </row>
    <row r="897" spans="1:18" ht="15" customHeight="1">
      <c r="A897" s="37" t="s">
        <v>293</v>
      </c>
      <c r="B897" s="26" t="s">
        <v>294</v>
      </c>
      <c r="C897" s="39">
        <v>278</v>
      </c>
      <c r="D897" s="40" t="s">
        <v>1564</v>
      </c>
      <c r="E897" s="38" t="s">
        <v>3</v>
      </c>
      <c r="F897" s="38" t="s">
        <v>18</v>
      </c>
      <c r="G897" s="32">
        <v>149469</v>
      </c>
      <c r="H897" s="32">
        <v>0</v>
      </c>
      <c r="I897" s="32">
        <v>672492</v>
      </c>
      <c r="J897" s="35">
        <f>+G897-H897+I897</f>
        <v>821961</v>
      </c>
      <c r="K897" s="28">
        <v>0</v>
      </c>
      <c r="L897" s="32">
        <v>0</v>
      </c>
      <c r="M897" s="35">
        <f>+J897+L897</f>
        <v>821961</v>
      </c>
      <c r="N897" s="28" t="s">
        <v>1537</v>
      </c>
      <c r="O897" s="29" t="s">
        <v>1538</v>
      </c>
      <c r="P897" s="36">
        <v>43914</v>
      </c>
      <c r="Q897" s="31">
        <v>28331.86</v>
      </c>
      <c r="R897" s="33">
        <f>M897/Q897</f>
        <v>29.011896853930523</v>
      </c>
    </row>
    <row r="898" spans="1:18" ht="15" customHeight="1">
      <c r="A898" s="37" t="s">
        <v>293</v>
      </c>
      <c r="B898" s="26" t="s">
        <v>294</v>
      </c>
      <c r="C898" s="39">
        <v>277</v>
      </c>
      <c r="D898" s="40" t="s">
        <v>1565</v>
      </c>
      <c r="E898" s="38" t="s">
        <v>3</v>
      </c>
      <c r="F898" s="38" t="s">
        <v>18</v>
      </c>
      <c r="G898" s="32">
        <v>546979</v>
      </c>
      <c r="H898" s="32">
        <v>0</v>
      </c>
      <c r="I898" s="52">
        <v>0</v>
      </c>
      <c r="J898" s="35">
        <f>+G898-H898+I898</f>
        <v>546979</v>
      </c>
      <c r="K898" s="28">
        <v>0</v>
      </c>
      <c r="L898" s="32">
        <v>0</v>
      </c>
      <c r="M898" s="35">
        <f>+J898+L898</f>
        <v>546979</v>
      </c>
      <c r="N898" s="28" t="s">
        <v>1537</v>
      </c>
      <c r="O898" s="29" t="s">
        <v>1538</v>
      </c>
      <c r="P898" s="36">
        <v>43914</v>
      </c>
      <c r="Q898" s="31">
        <v>28331.86</v>
      </c>
      <c r="R898" s="33">
        <f>M898/Q898</f>
        <v>19.30614509601558</v>
      </c>
    </row>
    <row r="899" spans="1:18" ht="15" customHeight="1">
      <c r="A899" s="37" t="s">
        <v>293</v>
      </c>
      <c r="B899" s="26" t="s">
        <v>294</v>
      </c>
      <c r="C899" s="39">
        <v>276</v>
      </c>
      <c r="D899" s="40" t="s">
        <v>1566</v>
      </c>
      <c r="E899" s="38" t="s">
        <v>3</v>
      </c>
      <c r="F899" s="38" t="s">
        <v>18</v>
      </c>
      <c r="G899" s="32">
        <v>50582</v>
      </c>
      <c r="H899" s="32">
        <v>0</v>
      </c>
      <c r="I899" s="52">
        <v>0</v>
      </c>
      <c r="J899" s="35">
        <f>+G899-H899+I899</f>
        <v>50582</v>
      </c>
      <c r="K899" s="28">
        <v>0</v>
      </c>
      <c r="L899" s="32">
        <v>0</v>
      </c>
      <c r="M899" s="35">
        <f>+J899+L899</f>
        <v>50582</v>
      </c>
      <c r="N899" s="28" t="s">
        <v>1567</v>
      </c>
      <c r="O899" s="29" t="s">
        <v>1568</v>
      </c>
      <c r="P899" s="36">
        <v>43886</v>
      </c>
      <c r="Q899" s="31">
        <v>28440.19</v>
      </c>
      <c r="R899" s="33">
        <f>M899/Q899</f>
        <v>1.7785394542019586</v>
      </c>
    </row>
    <row r="900" spans="1:18" ht="15" customHeight="1">
      <c r="A900" s="37" t="s">
        <v>293</v>
      </c>
      <c r="B900" s="26" t="s">
        <v>294</v>
      </c>
      <c r="C900" s="39">
        <v>275</v>
      </c>
      <c r="D900" s="40" t="s">
        <v>1569</v>
      </c>
      <c r="E900" s="38" t="s">
        <v>6</v>
      </c>
      <c r="F900" s="38" t="s">
        <v>11</v>
      </c>
      <c r="G900" s="32">
        <v>50199432</v>
      </c>
      <c r="H900" s="32">
        <v>50387619</v>
      </c>
      <c r="I900" s="52">
        <v>0</v>
      </c>
      <c r="J900" s="35">
        <f>+G900-H900+I900</f>
        <v>-188187</v>
      </c>
      <c r="K900" s="28">
        <v>0</v>
      </c>
      <c r="L900" s="32">
        <v>0</v>
      </c>
      <c r="M900" s="35">
        <f>+J900+L900</f>
        <v>-188187</v>
      </c>
      <c r="N900" s="28" t="s">
        <v>1537</v>
      </c>
      <c r="O900" s="29" t="s">
        <v>1538</v>
      </c>
      <c r="P900" s="36">
        <v>43914</v>
      </c>
      <c r="Q900" s="31">
        <v>28331.86</v>
      </c>
      <c r="R900" s="33">
        <f>M900/Q900</f>
        <v>-6.6422395141017923</v>
      </c>
    </row>
    <row r="901" spans="1:18" ht="15" customHeight="1">
      <c r="A901" s="37" t="s">
        <v>293</v>
      </c>
      <c r="B901" s="26" t="s">
        <v>294</v>
      </c>
      <c r="C901" s="39">
        <v>274</v>
      </c>
      <c r="D901" s="40" t="s">
        <v>1570</v>
      </c>
      <c r="E901" s="38" t="s">
        <v>6</v>
      </c>
      <c r="F901" s="38" t="s">
        <v>11</v>
      </c>
      <c r="G901" s="32">
        <v>49619674</v>
      </c>
      <c r="H901" s="32">
        <v>51187196</v>
      </c>
      <c r="I901" s="52">
        <v>0</v>
      </c>
      <c r="J901" s="35">
        <f>+G901-H901+I901</f>
        <v>-1567522</v>
      </c>
      <c r="K901" s="28">
        <v>0</v>
      </c>
      <c r="L901" s="32">
        <v>0</v>
      </c>
      <c r="M901" s="35">
        <f>+J901+L901</f>
        <v>-1567522</v>
      </c>
      <c r="N901" s="28" t="s">
        <v>1537</v>
      </c>
      <c r="O901" s="29" t="s">
        <v>1538</v>
      </c>
      <c r="P901" s="36">
        <v>43914</v>
      </c>
      <c r="Q901" s="31">
        <v>28331.86</v>
      </c>
      <c r="R901" s="33">
        <f>M901/Q901</f>
        <v>-55.327182895863523</v>
      </c>
    </row>
    <row r="902" spans="1:18" ht="15" customHeight="1">
      <c r="A902" s="37" t="s">
        <v>293</v>
      </c>
      <c r="B902" s="26" t="s">
        <v>294</v>
      </c>
      <c r="C902" s="39">
        <v>273</v>
      </c>
      <c r="D902" s="40" t="s">
        <v>1571</v>
      </c>
      <c r="E902" s="38" t="s">
        <v>3</v>
      </c>
      <c r="F902" s="38" t="s">
        <v>15</v>
      </c>
      <c r="G902" s="32">
        <v>11747192</v>
      </c>
      <c r="H902" s="32">
        <v>0</v>
      </c>
      <c r="I902" s="52">
        <v>0</v>
      </c>
      <c r="J902" s="35">
        <f>+G902-H902+I902</f>
        <v>11747192</v>
      </c>
      <c r="K902" s="28">
        <v>0</v>
      </c>
      <c r="L902" s="32">
        <v>0</v>
      </c>
      <c r="M902" s="35">
        <f>+J902+L902</f>
        <v>11747192</v>
      </c>
      <c r="N902" s="28" t="s">
        <v>1537</v>
      </c>
      <c r="O902" s="29" t="s">
        <v>1538</v>
      </c>
      <c r="P902" s="36">
        <v>43914</v>
      </c>
      <c r="Q902" s="31">
        <v>28331.86</v>
      </c>
      <c r="R902" s="33">
        <f>M902/Q902</f>
        <v>414.62833714411971</v>
      </c>
    </row>
    <row r="903" spans="1:18" ht="15" customHeight="1">
      <c r="A903" s="37" t="s">
        <v>293</v>
      </c>
      <c r="B903" s="26" t="s">
        <v>294</v>
      </c>
      <c r="C903" s="39">
        <v>272</v>
      </c>
      <c r="D903" s="40" t="s">
        <v>1572</v>
      </c>
      <c r="E903" s="38" t="s">
        <v>3</v>
      </c>
      <c r="F903" s="38" t="s">
        <v>10</v>
      </c>
      <c r="G903" s="32">
        <v>16636687</v>
      </c>
      <c r="H903" s="32">
        <v>15222393</v>
      </c>
      <c r="I903" s="52">
        <v>0</v>
      </c>
      <c r="J903" s="35">
        <f>+G903-H903+I903</f>
        <v>1414294</v>
      </c>
      <c r="K903" s="28">
        <v>0</v>
      </c>
      <c r="L903" s="32">
        <v>0</v>
      </c>
      <c r="M903" s="35">
        <f>+J903+L903</f>
        <v>1414294</v>
      </c>
      <c r="N903" s="28" t="s">
        <v>1537</v>
      </c>
      <c r="O903" s="29" t="s">
        <v>1538</v>
      </c>
      <c r="P903" s="36">
        <v>43914</v>
      </c>
      <c r="Q903" s="31">
        <v>28331.86</v>
      </c>
      <c r="R903" s="33">
        <f>M903/Q903</f>
        <v>49.918854603968818</v>
      </c>
    </row>
    <row r="904" spans="1:18" ht="15" customHeight="1">
      <c r="A904" s="37" t="s">
        <v>293</v>
      </c>
      <c r="B904" s="26" t="s">
        <v>294</v>
      </c>
      <c r="C904" s="39">
        <v>271</v>
      </c>
      <c r="D904" s="40" t="s">
        <v>1573</v>
      </c>
      <c r="E904" s="38" t="s">
        <v>3</v>
      </c>
      <c r="F904" s="38" t="s">
        <v>10</v>
      </c>
      <c r="G904" s="32">
        <v>7263072</v>
      </c>
      <c r="H904" s="32">
        <v>1680080</v>
      </c>
      <c r="I904" s="52">
        <v>0</v>
      </c>
      <c r="J904" s="35">
        <f>+G904-H904+I904</f>
        <v>5582992</v>
      </c>
      <c r="K904" s="28">
        <v>0</v>
      </c>
      <c r="L904" s="32">
        <v>0</v>
      </c>
      <c r="M904" s="35">
        <f>+J904+L904</f>
        <v>5582992</v>
      </c>
      <c r="N904" s="28" t="s">
        <v>1537</v>
      </c>
      <c r="O904" s="29" t="s">
        <v>1538</v>
      </c>
      <c r="P904" s="36">
        <v>43914</v>
      </c>
      <c r="Q904" s="31">
        <v>28331.86</v>
      </c>
      <c r="R904" s="33">
        <f>M904/Q904</f>
        <v>197.05702343580688</v>
      </c>
    </row>
    <row r="905" spans="1:18" ht="15" customHeight="1">
      <c r="A905" s="37" t="s">
        <v>356</v>
      </c>
      <c r="B905" s="26" t="s">
        <v>1540</v>
      </c>
      <c r="C905" s="39">
        <v>269</v>
      </c>
      <c r="D905" s="40" t="s">
        <v>1574</v>
      </c>
      <c r="E905" s="38" t="s">
        <v>198</v>
      </c>
      <c r="F905" s="38" t="s">
        <v>11</v>
      </c>
      <c r="G905" s="32">
        <v>0</v>
      </c>
      <c r="H905" s="32">
        <v>0</v>
      </c>
      <c r="I905" s="32">
        <v>5966932.7956466749</v>
      </c>
      <c r="J905" s="35">
        <f>+G905-H905+I905</f>
        <v>5966932.7956466749</v>
      </c>
      <c r="K905" s="28">
        <v>0</v>
      </c>
      <c r="L905" s="32">
        <v>0</v>
      </c>
      <c r="M905" s="35">
        <f>+J905+L905</f>
        <v>5966932.7956466749</v>
      </c>
      <c r="N905" s="28" t="s">
        <v>1542</v>
      </c>
      <c r="O905" s="29" t="s">
        <v>1543</v>
      </c>
      <c r="P905" s="36">
        <v>43427</v>
      </c>
      <c r="Q905" s="31">
        <v>27507.17</v>
      </c>
      <c r="R905" s="33">
        <f>M905/Q905</f>
        <v>216.92281669276321</v>
      </c>
    </row>
    <row r="906" spans="1:18" ht="15" customHeight="1">
      <c r="A906" s="37" t="s">
        <v>293</v>
      </c>
      <c r="B906" s="26" t="s">
        <v>294</v>
      </c>
      <c r="C906" s="39">
        <v>268</v>
      </c>
      <c r="D906" s="40" t="s">
        <v>1575</v>
      </c>
      <c r="E906" s="38" t="s">
        <v>3</v>
      </c>
      <c r="F906" s="38" t="s">
        <v>12</v>
      </c>
      <c r="G906" s="32">
        <v>6165395</v>
      </c>
      <c r="H906" s="32">
        <v>6666327</v>
      </c>
      <c r="I906" s="52">
        <v>0</v>
      </c>
      <c r="J906" s="35">
        <f>+G906-H906+I906</f>
        <v>-500932</v>
      </c>
      <c r="K906" s="28">
        <v>0</v>
      </c>
      <c r="L906" s="32">
        <v>0</v>
      </c>
      <c r="M906" s="35">
        <f>+J906+L906</f>
        <v>-500932</v>
      </c>
      <c r="N906" s="28" t="s">
        <v>1537</v>
      </c>
      <c r="O906" s="29" t="s">
        <v>1538</v>
      </c>
      <c r="P906" s="36">
        <v>43914</v>
      </c>
      <c r="Q906" s="31">
        <v>28331.86</v>
      </c>
      <c r="R906" s="33">
        <f>M906/Q906</f>
        <v>-17.680872346538489</v>
      </c>
    </row>
    <row r="907" spans="1:18" ht="15" customHeight="1">
      <c r="A907" s="37" t="s">
        <v>356</v>
      </c>
      <c r="B907" s="26" t="s">
        <v>1540</v>
      </c>
      <c r="C907" s="39">
        <v>268</v>
      </c>
      <c r="D907" s="40" t="s">
        <v>1576</v>
      </c>
      <c r="E907" s="38" t="s">
        <v>4</v>
      </c>
      <c r="F907" s="38" t="s">
        <v>18</v>
      </c>
      <c r="G907" s="32">
        <v>476221.97822850058</v>
      </c>
      <c r="H907" s="32">
        <v>0</v>
      </c>
      <c r="I907" s="32">
        <v>677956.33395530318</v>
      </c>
      <c r="J907" s="35">
        <f>+G907-H907+I907</f>
        <v>1154178.3121838039</v>
      </c>
      <c r="K907" s="28">
        <v>0</v>
      </c>
      <c r="L907" s="32">
        <v>0</v>
      </c>
      <c r="M907" s="35">
        <f>+J907+L907</f>
        <v>1154178.3121838039</v>
      </c>
      <c r="N907" s="28" t="s">
        <v>1542</v>
      </c>
      <c r="O907" s="29" t="s">
        <v>1543</v>
      </c>
      <c r="P907" s="36">
        <v>43427</v>
      </c>
      <c r="Q907" s="31">
        <v>27507.17</v>
      </c>
      <c r="R907" s="33">
        <f>M907/Q907</f>
        <v>41.959180540339261</v>
      </c>
    </row>
    <row r="908" spans="1:18" ht="15" customHeight="1">
      <c r="A908" s="37" t="s">
        <v>293</v>
      </c>
      <c r="B908" s="26" t="s">
        <v>294</v>
      </c>
      <c r="C908" s="39">
        <v>267</v>
      </c>
      <c r="D908" s="40" t="s">
        <v>1577</v>
      </c>
      <c r="E908" s="38" t="s">
        <v>3</v>
      </c>
      <c r="F908" s="38" t="s">
        <v>12</v>
      </c>
      <c r="G908" s="32">
        <v>3794103</v>
      </c>
      <c r="H908" s="32">
        <v>0</v>
      </c>
      <c r="I908" s="52">
        <v>0</v>
      </c>
      <c r="J908" s="35">
        <f>+G908-H908+I908</f>
        <v>3794103</v>
      </c>
      <c r="K908" s="28">
        <v>0</v>
      </c>
      <c r="L908" s="32">
        <v>0</v>
      </c>
      <c r="M908" s="35">
        <f>+J908+L908</f>
        <v>3794103</v>
      </c>
      <c r="N908" s="28" t="s">
        <v>1537</v>
      </c>
      <c r="O908" s="29" t="s">
        <v>1538</v>
      </c>
      <c r="P908" s="36">
        <v>43914</v>
      </c>
      <c r="Q908" s="31">
        <v>28331.86</v>
      </c>
      <c r="R908" s="33">
        <f>M908/Q908</f>
        <v>133.91648130408663</v>
      </c>
    </row>
    <row r="909" spans="1:18" ht="15" customHeight="1">
      <c r="A909" s="37" t="s">
        <v>356</v>
      </c>
      <c r="B909" s="26" t="s">
        <v>1540</v>
      </c>
      <c r="C909" s="39">
        <v>267</v>
      </c>
      <c r="D909" s="40" t="s">
        <v>1578</v>
      </c>
      <c r="E909" s="38" t="s">
        <v>198</v>
      </c>
      <c r="F909" s="38" t="s">
        <v>21</v>
      </c>
      <c r="G909" s="32">
        <v>164358</v>
      </c>
      <c r="H909" s="32">
        <v>37353</v>
      </c>
      <c r="I909" s="32">
        <v>1144178</v>
      </c>
      <c r="J909" s="35">
        <f>+G909-H909+I909</f>
        <v>1271183</v>
      </c>
      <c r="K909" s="28">
        <v>0</v>
      </c>
      <c r="L909" s="32">
        <v>0</v>
      </c>
      <c r="M909" s="35">
        <f>+J909+L909</f>
        <v>1271183</v>
      </c>
      <c r="N909" s="28" t="s">
        <v>1579</v>
      </c>
      <c r="O909" s="29" t="s">
        <v>1543</v>
      </c>
      <c r="P909" s="36">
        <v>43427</v>
      </c>
      <c r="Q909" s="31">
        <v>27507.17</v>
      </c>
      <c r="R909" s="33">
        <f>M909/Q909</f>
        <v>46.212787429604724</v>
      </c>
    </row>
    <row r="910" spans="1:18" ht="15" customHeight="1">
      <c r="A910" s="37" t="s">
        <v>293</v>
      </c>
      <c r="B910" s="26" t="s">
        <v>294</v>
      </c>
      <c r="C910" s="39">
        <v>266</v>
      </c>
      <c r="D910" s="40" t="s">
        <v>1580</v>
      </c>
      <c r="E910" s="38" t="s">
        <v>3</v>
      </c>
      <c r="F910" s="38" t="s">
        <v>12</v>
      </c>
      <c r="G910" s="32">
        <v>5590132</v>
      </c>
      <c r="H910" s="32">
        <v>0</v>
      </c>
      <c r="I910" s="52">
        <v>0</v>
      </c>
      <c r="J910" s="35">
        <f>+G910-H910+I910</f>
        <v>5590132</v>
      </c>
      <c r="K910" s="28">
        <v>0</v>
      </c>
      <c r="L910" s="32">
        <v>0</v>
      </c>
      <c r="M910" s="35">
        <f>+J910+L910</f>
        <v>5590132</v>
      </c>
      <c r="N910" s="28" t="s">
        <v>1537</v>
      </c>
      <c r="O910" s="29" t="s">
        <v>1538</v>
      </c>
      <c r="P910" s="36">
        <v>43914</v>
      </c>
      <c r="Q910" s="31">
        <v>28331.86</v>
      </c>
      <c r="R910" s="33">
        <f>M910/Q910</f>
        <v>197.30903654048834</v>
      </c>
    </row>
    <row r="911" spans="1:18" ht="15" customHeight="1">
      <c r="A911" s="37" t="s">
        <v>356</v>
      </c>
      <c r="B911" s="26" t="s">
        <v>1540</v>
      </c>
      <c r="C911" s="39">
        <v>266</v>
      </c>
      <c r="D911" s="40" t="s">
        <v>1581</v>
      </c>
      <c r="E911" s="38" t="s">
        <v>4</v>
      </c>
      <c r="F911" s="38" t="s">
        <v>11</v>
      </c>
      <c r="G911" s="32">
        <v>0</v>
      </c>
      <c r="H911" s="32">
        <v>0</v>
      </c>
      <c r="I911" s="32">
        <v>710311.00000555627</v>
      </c>
      <c r="J911" s="35">
        <f>+G911-H911+I911</f>
        <v>710311.00000555627</v>
      </c>
      <c r="K911" s="28">
        <v>0</v>
      </c>
      <c r="L911" s="32">
        <v>0</v>
      </c>
      <c r="M911" s="35">
        <f>+J911+L911</f>
        <v>710311.00000555627</v>
      </c>
      <c r="N911" s="28" t="s">
        <v>1542</v>
      </c>
      <c r="O911" s="29" t="s">
        <v>1543</v>
      </c>
      <c r="P911" s="36">
        <v>43427</v>
      </c>
      <c r="Q911" s="31">
        <v>27507.17</v>
      </c>
      <c r="R911" s="33">
        <f>M911/Q911</f>
        <v>25.822758211970054</v>
      </c>
    </row>
    <row r="912" spans="1:18" ht="15" customHeight="1">
      <c r="A912" s="37" t="s">
        <v>293</v>
      </c>
      <c r="B912" s="26" t="s">
        <v>294</v>
      </c>
      <c r="C912" s="39">
        <v>265</v>
      </c>
      <c r="D912" s="40" t="s">
        <v>1582</v>
      </c>
      <c r="E912" s="38" t="s">
        <v>3</v>
      </c>
      <c r="F912" s="38" t="s">
        <v>12</v>
      </c>
      <c r="G912" s="32">
        <v>3971962</v>
      </c>
      <c r="H912" s="32">
        <v>0</v>
      </c>
      <c r="I912" s="52">
        <v>0</v>
      </c>
      <c r="J912" s="35">
        <f>+G912-H912+I912</f>
        <v>3971962</v>
      </c>
      <c r="K912" s="28">
        <v>0</v>
      </c>
      <c r="L912" s="32">
        <v>0</v>
      </c>
      <c r="M912" s="35">
        <f>+J912+L912</f>
        <v>3971962</v>
      </c>
      <c r="N912" s="28" t="s">
        <v>1537</v>
      </c>
      <c r="O912" s="29" t="s">
        <v>1538</v>
      </c>
      <c r="P912" s="36">
        <v>43914</v>
      </c>
      <c r="Q912" s="31">
        <v>28331.86</v>
      </c>
      <c r="R912" s="33">
        <f>M912/Q912</f>
        <v>140.19418421522624</v>
      </c>
    </row>
    <row r="913" spans="1:18" ht="15" customHeight="1">
      <c r="A913" s="37" t="s">
        <v>293</v>
      </c>
      <c r="B913" s="26" t="s">
        <v>294</v>
      </c>
      <c r="C913" s="39">
        <v>264</v>
      </c>
      <c r="D913" s="40" t="s">
        <v>1583</v>
      </c>
      <c r="E913" s="38" t="s">
        <v>3</v>
      </c>
      <c r="F913" s="38" t="s">
        <v>12</v>
      </c>
      <c r="G913" s="32">
        <v>6320228</v>
      </c>
      <c r="H913" s="32">
        <v>0</v>
      </c>
      <c r="I913" s="52">
        <v>0</v>
      </c>
      <c r="J913" s="35">
        <f>+G913-H913+I913</f>
        <v>6320228</v>
      </c>
      <c r="K913" s="28">
        <v>0</v>
      </c>
      <c r="L913" s="32">
        <v>0</v>
      </c>
      <c r="M913" s="35">
        <f>+J913+L913</f>
        <v>6320228</v>
      </c>
      <c r="N913" s="28" t="s">
        <v>1537</v>
      </c>
      <c r="O913" s="29" t="s">
        <v>1538</v>
      </c>
      <c r="P913" s="36">
        <v>43914</v>
      </c>
      <c r="Q913" s="31">
        <v>28331.86</v>
      </c>
      <c r="R913" s="33">
        <f>M913/Q913</f>
        <v>223.07847066871005</v>
      </c>
    </row>
    <row r="914" spans="1:18" ht="15" customHeight="1">
      <c r="A914" s="37" t="s">
        <v>293</v>
      </c>
      <c r="B914" s="26" t="s">
        <v>294</v>
      </c>
      <c r="C914" s="39">
        <v>263</v>
      </c>
      <c r="D914" s="40" t="s">
        <v>1584</v>
      </c>
      <c r="E914" s="38" t="s">
        <v>3</v>
      </c>
      <c r="F914" s="38" t="s">
        <v>12</v>
      </c>
      <c r="G914" s="32">
        <v>6668234</v>
      </c>
      <c r="H914" s="32">
        <v>2983739</v>
      </c>
      <c r="I914" s="32">
        <v>29862</v>
      </c>
      <c r="J914" s="35">
        <f>+G914-H914+I914</f>
        <v>3714357</v>
      </c>
      <c r="K914" s="28">
        <v>0</v>
      </c>
      <c r="L914" s="32">
        <v>0</v>
      </c>
      <c r="M914" s="35">
        <f>+J914+L914</f>
        <v>3714357</v>
      </c>
      <c r="N914" s="28" t="s">
        <v>1537</v>
      </c>
      <c r="O914" s="29" t="s">
        <v>1538</v>
      </c>
      <c r="P914" s="36">
        <v>43914</v>
      </c>
      <c r="Q914" s="31">
        <v>28331.86</v>
      </c>
      <c r="R914" s="33">
        <f>M914/Q914</f>
        <v>131.10177023322859</v>
      </c>
    </row>
    <row r="915" spans="1:18" ht="15" customHeight="1">
      <c r="A915" s="37" t="s">
        <v>356</v>
      </c>
      <c r="B915" s="26" t="s">
        <v>1540</v>
      </c>
      <c r="C915" s="39">
        <v>263</v>
      </c>
      <c r="D915" s="40" t="s">
        <v>1585</v>
      </c>
      <c r="E915" s="38" t="s">
        <v>3</v>
      </c>
      <c r="F915" s="38" t="s">
        <v>11</v>
      </c>
      <c r="G915" s="32">
        <v>23612600</v>
      </c>
      <c r="H915" s="32">
        <v>7948854</v>
      </c>
      <c r="I915" s="52">
        <v>0</v>
      </c>
      <c r="J915" s="35">
        <f>+G915-H915+I915</f>
        <v>15663746</v>
      </c>
      <c r="K915" s="28">
        <v>0</v>
      </c>
      <c r="L915" s="32">
        <v>0</v>
      </c>
      <c r="M915" s="35">
        <f>+J915+L915</f>
        <v>15663746</v>
      </c>
      <c r="N915" s="28" t="s">
        <v>1542</v>
      </c>
      <c r="O915" s="29" t="s">
        <v>1543</v>
      </c>
      <c r="P915" s="36">
        <v>43427</v>
      </c>
      <c r="Q915" s="31">
        <v>27507.17</v>
      </c>
      <c r="R915" s="33">
        <f>M915/Q915</f>
        <v>569.44229449994316</v>
      </c>
    </row>
    <row r="916" spans="1:18" ht="15" customHeight="1">
      <c r="A916" s="37" t="s">
        <v>293</v>
      </c>
      <c r="B916" s="26" t="s">
        <v>294</v>
      </c>
      <c r="C916" s="39">
        <v>262</v>
      </c>
      <c r="D916" s="40" t="s">
        <v>1586</v>
      </c>
      <c r="E916" s="38" t="s">
        <v>3</v>
      </c>
      <c r="F916" s="38" t="s">
        <v>12</v>
      </c>
      <c r="G916" s="32">
        <v>1818343</v>
      </c>
      <c r="H916" s="32">
        <v>1618776</v>
      </c>
      <c r="I916" s="32">
        <v>1135486</v>
      </c>
      <c r="J916" s="35">
        <f>+G916-H916+I916</f>
        <v>1335053</v>
      </c>
      <c r="K916" s="28">
        <v>0</v>
      </c>
      <c r="L916" s="32">
        <v>0</v>
      </c>
      <c r="M916" s="35">
        <f>+J916+L916</f>
        <v>1335053</v>
      </c>
      <c r="N916" s="28" t="s">
        <v>1537</v>
      </c>
      <c r="O916" s="29" t="s">
        <v>1538</v>
      </c>
      <c r="P916" s="36">
        <v>43914</v>
      </c>
      <c r="Q916" s="31">
        <v>28331.86</v>
      </c>
      <c r="R916" s="33">
        <f>M916/Q916</f>
        <v>47.121967989394271</v>
      </c>
    </row>
    <row r="917" spans="1:18" ht="15" customHeight="1">
      <c r="A917" s="37" t="s">
        <v>293</v>
      </c>
      <c r="B917" s="26" t="s">
        <v>294</v>
      </c>
      <c r="C917" s="39">
        <v>261</v>
      </c>
      <c r="D917" s="40" t="s">
        <v>1587</v>
      </c>
      <c r="E917" s="38" t="s">
        <v>3</v>
      </c>
      <c r="F917" s="38" t="s">
        <v>15</v>
      </c>
      <c r="G917" s="32">
        <v>3412802</v>
      </c>
      <c r="H917" s="32">
        <v>0</v>
      </c>
      <c r="I917" s="52">
        <v>0</v>
      </c>
      <c r="J917" s="35">
        <f>+G917-H917+I917</f>
        <v>3412802</v>
      </c>
      <c r="K917" s="28">
        <v>0</v>
      </c>
      <c r="L917" s="32">
        <v>0</v>
      </c>
      <c r="M917" s="35">
        <f>+J917+L917</f>
        <v>3412802</v>
      </c>
      <c r="N917" s="28" t="s">
        <v>1537</v>
      </c>
      <c r="O917" s="29" t="s">
        <v>1538</v>
      </c>
      <c r="P917" s="36">
        <v>43914</v>
      </c>
      <c r="Q917" s="31">
        <v>28331.86</v>
      </c>
      <c r="R917" s="33">
        <f>M917/Q917</f>
        <v>120.45809911527164</v>
      </c>
    </row>
    <row r="918" spans="1:18" ht="15" customHeight="1">
      <c r="A918" s="37" t="s">
        <v>293</v>
      </c>
      <c r="B918" s="26" t="s">
        <v>294</v>
      </c>
      <c r="C918" s="39">
        <v>260</v>
      </c>
      <c r="D918" s="40" t="s">
        <v>1588</v>
      </c>
      <c r="E918" s="38" t="s">
        <v>3</v>
      </c>
      <c r="F918" s="38" t="s">
        <v>12</v>
      </c>
      <c r="G918" s="32">
        <v>2510422</v>
      </c>
      <c r="H918" s="32">
        <v>0</v>
      </c>
      <c r="I918" s="52">
        <v>0</v>
      </c>
      <c r="J918" s="35">
        <f>+G918-H918+I918</f>
        <v>2510422</v>
      </c>
      <c r="K918" s="28">
        <v>0</v>
      </c>
      <c r="L918" s="32">
        <v>0</v>
      </c>
      <c r="M918" s="35">
        <f>+J918+L918</f>
        <v>2510422</v>
      </c>
      <c r="N918" s="28" t="s">
        <v>1567</v>
      </c>
      <c r="O918" s="29" t="s">
        <v>1568</v>
      </c>
      <c r="P918" s="36">
        <v>43886</v>
      </c>
      <c r="Q918" s="31">
        <v>28440.19</v>
      </c>
      <c r="R918" s="33">
        <f>M918/Q918</f>
        <v>88.270226042793666</v>
      </c>
    </row>
    <row r="919" spans="1:18" ht="15" customHeight="1">
      <c r="A919" s="37" t="s">
        <v>356</v>
      </c>
      <c r="B919" s="26" t="s">
        <v>1540</v>
      </c>
      <c r="C919" s="39">
        <v>260</v>
      </c>
      <c r="D919" s="40" t="s">
        <v>1589</v>
      </c>
      <c r="E919" s="38" t="s">
        <v>198</v>
      </c>
      <c r="F919" s="38" t="s">
        <v>21</v>
      </c>
      <c r="G919" s="32">
        <v>0</v>
      </c>
      <c r="H919" s="32">
        <v>0</v>
      </c>
      <c r="I919" s="32">
        <v>13882403</v>
      </c>
      <c r="J919" s="35">
        <f>+G919-H919+I919</f>
        <v>13882403</v>
      </c>
      <c r="K919" s="28">
        <v>0</v>
      </c>
      <c r="L919" s="32">
        <v>0</v>
      </c>
      <c r="M919" s="35">
        <f>+J919+L919</f>
        <v>13882403</v>
      </c>
      <c r="N919" s="28" t="s">
        <v>1579</v>
      </c>
      <c r="O919" s="29" t="s">
        <v>1543</v>
      </c>
      <c r="P919" s="36">
        <v>43427</v>
      </c>
      <c r="Q919" s="31">
        <v>27507.17</v>
      </c>
      <c r="R919" s="33">
        <f>M919/Q919</f>
        <v>504.68306990504658</v>
      </c>
    </row>
    <row r="920" spans="1:18" ht="15" customHeight="1">
      <c r="A920" s="37" t="s">
        <v>293</v>
      </c>
      <c r="B920" s="26" t="s">
        <v>294</v>
      </c>
      <c r="C920" s="39">
        <v>259</v>
      </c>
      <c r="D920" s="40" t="s">
        <v>1590</v>
      </c>
      <c r="E920" s="38" t="s">
        <v>3</v>
      </c>
      <c r="F920" s="38" t="s">
        <v>13</v>
      </c>
      <c r="G920" s="32">
        <v>220085</v>
      </c>
      <c r="H920" s="32">
        <v>257311</v>
      </c>
      <c r="I920" s="52">
        <v>0</v>
      </c>
      <c r="J920" s="35">
        <f>+G920-H920+I920</f>
        <v>-37226</v>
      </c>
      <c r="K920" s="28">
        <v>0</v>
      </c>
      <c r="L920" s="32">
        <v>0</v>
      </c>
      <c r="M920" s="35">
        <f>+J920+L920</f>
        <v>-37226</v>
      </c>
      <c r="N920" s="28" t="s">
        <v>1567</v>
      </c>
      <c r="O920" s="29" t="s">
        <v>1568</v>
      </c>
      <c r="P920" s="36">
        <v>43886</v>
      </c>
      <c r="Q920" s="31">
        <v>28440.19</v>
      </c>
      <c r="R920" s="33">
        <f>M920/Q920</f>
        <v>-1.3089223384231963</v>
      </c>
    </row>
    <row r="921" spans="1:18" ht="15" customHeight="1">
      <c r="A921" s="37" t="s">
        <v>293</v>
      </c>
      <c r="B921" s="26" t="s">
        <v>294</v>
      </c>
      <c r="C921" s="39">
        <v>258</v>
      </c>
      <c r="D921" s="40" t="s">
        <v>1591</v>
      </c>
      <c r="E921" s="38" t="s">
        <v>3</v>
      </c>
      <c r="F921" s="38" t="s">
        <v>13</v>
      </c>
      <c r="G921" s="32">
        <v>324714</v>
      </c>
      <c r="H921" s="32">
        <v>794798</v>
      </c>
      <c r="I921" s="52">
        <v>0</v>
      </c>
      <c r="J921" s="35">
        <f>+G921-H921+I921</f>
        <v>-470084</v>
      </c>
      <c r="K921" s="28">
        <v>0</v>
      </c>
      <c r="L921" s="32">
        <v>0</v>
      </c>
      <c r="M921" s="35">
        <f>+J921+L921</f>
        <v>-470084</v>
      </c>
      <c r="N921" s="28" t="s">
        <v>1567</v>
      </c>
      <c r="O921" s="29" t="s">
        <v>1568</v>
      </c>
      <c r="P921" s="36">
        <v>43886</v>
      </c>
      <c r="Q921" s="31">
        <v>28440.19</v>
      </c>
      <c r="R921" s="33">
        <f>M921/Q921</f>
        <v>-16.528862852182073</v>
      </c>
    </row>
    <row r="922" spans="1:18" ht="15" customHeight="1">
      <c r="A922" s="37" t="s">
        <v>293</v>
      </c>
      <c r="B922" s="26" t="s">
        <v>294</v>
      </c>
      <c r="C922" s="39">
        <v>256</v>
      </c>
      <c r="D922" s="40" t="s">
        <v>1592</v>
      </c>
      <c r="E922" s="38" t="s">
        <v>3</v>
      </c>
      <c r="F922" s="38" t="s">
        <v>15</v>
      </c>
      <c r="G922" s="32">
        <v>55060382</v>
      </c>
      <c r="H922" s="32">
        <v>803146</v>
      </c>
      <c r="I922" s="52">
        <v>0</v>
      </c>
      <c r="J922" s="35">
        <f>+G922-H922+I922</f>
        <v>54257236</v>
      </c>
      <c r="K922" s="28">
        <v>0</v>
      </c>
      <c r="L922" s="32">
        <v>0</v>
      </c>
      <c r="M922" s="35">
        <f>+J922+L922</f>
        <v>54257236</v>
      </c>
      <c r="N922" s="28" t="s">
        <v>1567</v>
      </c>
      <c r="O922" s="29" t="s">
        <v>1568</v>
      </c>
      <c r="P922" s="36">
        <v>43886</v>
      </c>
      <c r="Q922" s="31">
        <v>28440.19</v>
      </c>
      <c r="R922" s="33">
        <f>M922/Q922</f>
        <v>1907.7662983264177</v>
      </c>
    </row>
    <row r="923" spans="1:18" ht="15" customHeight="1">
      <c r="A923" s="37" t="s">
        <v>293</v>
      </c>
      <c r="B923" s="26" t="s">
        <v>294</v>
      </c>
      <c r="C923" s="39">
        <v>255</v>
      </c>
      <c r="D923" s="40" t="s">
        <v>1593</v>
      </c>
      <c r="E923" s="38" t="s">
        <v>3</v>
      </c>
      <c r="F923" s="38" t="s">
        <v>15</v>
      </c>
      <c r="G923" s="32">
        <v>14180301</v>
      </c>
      <c r="H923" s="32">
        <v>0</v>
      </c>
      <c r="I923" s="32">
        <v>464892</v>
      </c>
      <c r="J923" s="35">
        <f>+G923-H923+I923</f>
        <v>14645193</v>
      </c>
      <c r="K923" s="28">
        <v>0</v>
      </c>
      <c r="L923" s="32">
        <v>0</v>
      </c>
      <c r="M923" s="35">
        <f>+J923+L923</f>
        <v>14645193</v>
      </c>
      <c r="N923" s="28" t="s">
        <v>1411</v>
      </c>
      <c r="O923" s="29" t="s">
        <v>1412</v>
      </c>
      <c r="P923" s="36" t="s">
        <v>1413</v>
      </c>
      <c r="Q923" s="31">
        <v>29598.01</v>
      </c>
      <c r="R923" s="33">
        <f>+M923/Q923</f>
        <v>494.80329927586348</v>
      </c>
    </row>
    <row r="924" spans="1:18" ht="15" customHeight="1">
      <c r="A924" s="37" t="s">
        <v>391</v>
      </c>
      <c r="B924" s="26" t="s">
        <v>392</v>
      </c>
      <c r="C924" s="39">
        <v>156</v>
      </c>
      <c r="D924" s="40" t="s">
        <v>1594</v>
      </c>
      <c r="E924" s="38" t="s">
        <v>3</v>
      </c>
      <c r="F924" s="38" t="s">
        <v>10</v>
      </c>
      <c r="G924" s="32">
        <v>1113334</v>
      </c>
      <c r="H924" s="32">
        <v>0</v>
      </c>
      <c r="I924" s="32">
        <v>4102222</v>
      </c>
      <c r="J924" s="35">
        <f>+G924-H924+I924</f>
        <v>5215556</v>
      </c>
      <c r="K924" s="27"/>
      <c r="L924" s="32">
        <v>0</v>
      </c>
      <c r="M924" s="35">
        <f>+J924+L924</f>
        <v>5215556</v>
      </c>
      <c r="N924" s="28" t="s">
        <v>765</v>
      </c>
      <c r="O924" s="29" t="s">
        <v>766</v>
      </c>
      <c r="P924" s="36">
        <v>44140</v>
      </c>
      <c r="Q924" s="31">
        <v>28866.47</v>
      </c>
      <c r="R924" s="33">
        <f>M924/Q924</f>
        <v>180.67869053611335</v>
      </c>
    </row>
    <row r="925" spans="1:18" ht="15" customHeight="1">
      <c r="A925" s="37" t="s">
        <v>356</v>
      </c>
      <c r="B925" s="26" t="s">
        <v>1540</v>
      </c>
      <c r="C925" s="39">
        <v>255</v>
      </c>
      <c r="D925" s="40" t="s">
        <v>1595</v>
      </c>
      <c r="E925" s="38" t="s">
        <v>3</v>
      </c>
      <c r="F925" s="38" t="s">
        <v>11</v>
      </c>
      <c r="G925" s="32">
        <v>4590041</v>
      </c>
      <c r="H925" s="32">
        <v>861404</v>
      </c>
      <c r="I925" s="32">
        <v>835499</v>
      </c>
      <c r="J925" s="35">
        <f>+G925-H925+I925</f>
        <v>4564136</v>
      </c>
      <c r="K925" s="28">
        <v>0</v>
      </c>
      <c r="L925" s="32">
        <v>0</v>
      </c>
      <c r="M925" s="35">
        <f>+J925+L925</f>
        <v>4564136</v>
      </c>
      <c r="N925" s="28" t="s">
        <v>1579</v>
      </c>
      <c r="O925" s="29" t="s">
        <v>1543</v>
      </c>
      <c r="P925" s="36">
        <v>43427</v>
      </c>
      <c r="Q925" s="31">
        <v>27507.17</v>
      </c>
      <c r="R925" s="33">
        <f>M925/Q925</f>
        <v>165.92532056187534</v>
      </c>
    </row>
    <row r="926" spans="1:18" ht="15" customHeight="1">
      <c r="A926" s="37" t="s">
        <v>293</v>
      </c>
      <c r="B926" s="26" t="s">
        <v>294</v>
      </c>
      <c r="C926" s="39">
        <v>252</v>
      </c>
      <c r="D926" s="40" t="s">
        <v>1596</v>
      </c>
      <c r="E926" s="38" t="s">
        <v>3</v>
      </c>
      <c r="F926" s="38" t="s">
        <v>12</v>
      </c>
      <c r="G926" s="32">
        <v>31270920</v>
      </c>
      <c r="H926" s="32">
        <v>0</v>
      </c>
      <c r="I926" s="52">
        <v>0</v>
      </c>
      <c r="J926" s="35">
        <f>+G926-H926+I926</f>
        <v>31270920</v>
      </c>
      <c r="K926" s="28">
        <v>0</v>
      </c>
      <c r="L926" s="32">
        <v>0</v>
      </c>
      <c r="M926" s="35">
        <f>+J926+L926</f>
        <v>31270920</v>
      </c>
      <c r="N926" s="28" t="s">
        <v>1537</v>
      </c>
      <c r="O926" s="29" t="s">
        <v>1538</v>
      </c>
      <c r="P926" s="36">
        <v>43914</v>
      </c>
      <c r="Q926" s="31">
        <v>28331.86</v>
      </c>
      <c r="R926" s="33">
        <f>M926/Q926</f>
        <v>1103.7369237317987</v>
      </c>
    </row>
    <row r="927" spans="1:18" ht="15" customHeight="1">
      <c r="A927" s="37" t="s">
        <v>293</v>
      </c>
      <c r="B927" s="26" t="s">
        <v>294</v>
      </c>
      <c r="C927" s="39">
        <v>250</v>
      </c>
      <c r="D927" s="40" t="s">
        <v>1597</v>
      </c>
      <c r="E927" s="38" t="s">
        <v>3</v>
      </c>
      <c r="F927" s="38" t="s">
        <v>18</v>
      </c>
      <c r="G927" s="32">
        <v>151862</v>
      </c>
      <c r="H927" s="32">
        <v>785692</v>
      </c>
      <c r="I927" s="52">
        <v>0</v>
      </c>
      <c r="J927" s="35">
        <f>+G927-H927+I927</f>
        <v>-633830</v>
      </c>
      <c r="K927" s="28">
        <v>0</v>
      </c>
      <c r="L927" s="32">
        <v>0</v>
      </c>
      <c r="M927" s="35">
        <f>+J927+L927</f>
        <v>-633830</v>
      </c>
      <c r="N927" s="28" t="s">
        <v>1537</v>
      </c>
      <c r="O927" s="29" t="s">
        <v>1538</v>
      </c>
      <c r="P927" s="36">
        <v>43914</v>
      </c>
      <c r="Q927" s="31">
        <v>28331.86</v>
      </c>
      <c r="R927" s="33">
        <f>M927/Q927</f>
        <v>-22.371633913198782</v>
      </c>
    </row>
    <row r="928" spans="1:18" ht="15" customHeight="1">
      <c r="A928" s="37" t="s">
        <v>293</v>
      </c>
      <c r="B928" s="26" t="s">
        <v>294</v>
      </c>
      <c r="C928" s="39">
        <v>249</v>
      </c>
      <c r="D928" s="40" t="s">
        <v>1598</v>
      </c>
      <c r="E928" s="38" t="s">
        <v>3</v>
      </c>
      <c r="F928" s="38" t="s">
        <v>18</v>
      </c>
      <c r="G928" s="32">
        <v>1673823</v>
      </c>
      <c r="H928" s="32">
        <v>1320262</v>
      </c>
      <c r="I928" s="52">
        <v>0</v>
      </c>
      <c r="J928" s="35">
        <f>+G928-H928+I928</f>
        <v>353561</v>
      </c>
      <c r="K928" s="28">
        <v>0</v>
      </c>
      <c r="L928" s="32">
        <v>0</v>
      </c>
      <c r="M928" s="35">
        <f>+J928+L928</f>
        <v>353561</v>
      </c>
      <c r="N928" s="28" t="s">
        <v>1537</v>
      </c>
      <c r="O928" s="29" t="s">
        <v>1538</v>
      </c>
      <c r="P928" s="36">
        <v>43914</v>
      </c>
      <c r="Q928" s="31">
        <v>28331.86</v>
      </c>
      <c r="R928" s="33">
        <f>M928/Q928</f>
        <v>12.479272451579247</v>
      </c>
    </row>
    <row r="929" spans="1:18" ht="15" customHeight="1">
      <c r="A929" s="37" t="s">
        <v>356</v>
      </c>
      <c r="B929" s="26" t="s">
        <v>1540</v>
      </c>
      <c r="C929" s="39">
        <v>249</v>
      </c>
      <c r="D929" s="40" t="s">
        <v>1599</v>
      </c>
      <c r="E929" s="38" t="s">
        <v>3</v>
      </c>
      <c r="F929" s="38" t="s">
        <v>21</v>
      </c>
      <c r="G929" s="32">
        <v>737116</v>
      </c>
      <c r="H929" s="32">
        <v>0</v>
      </c>
      <c r="I929" s="52">
        <v>0</v>
      </c>
      <c r="J929" s="35">
        <f>+G929-H929+I929</f>
        <v>737116</v>
      </c>
      <c r="K929" s="28">
        <v>0</v>
      </c>
      <c r="L929" s="32">
        <v>0</v>
      </c>
      <c r="M929" s="35">
        <f>+J929+L929</f>
        <v>737116</v>
      </c>
      <c r="N929" s="28" t="s">
        <v>1542</v>
      </c>
      <c r="O929" s="29" t="s">
        <v>1543</v>
      </c>
      <c r="P929" s="36">
        <v>43427</v>
      </c>
      <c r="Q929" s="31">
        <v>27507.17</v>
      </c>
      <c r="R929" s="33">
        <f>M929/Q929</f>
        <v>26.797231412755295</v>
      </c>
    </row>
    <row r="930" spans="1:18" ht="15" customHeight="1">
      <c r="A930" s="37" t="s">
        <v>293</v>
      </c>
      <c r="B930" s="26" t="s">
        <v>294</v>
      </c>
      <c r="C930" s="39">
        <v>248</v>
      </c>
      <c r="D930" s="40" t="s">
        <v>1600</v>
      </c>
      <c r="E930" s="38" t="s">
        <v>3</v>
      </c>
      <c r="F930" s="38" t="s">
        <v>13</v>
      </c>
      <c r="G930" s="32">
        <v>6260548</v>
      </c>
      <c r="H930" s="32">
        <v>3965188</v>
      </c>
      <c r="I930" s="52">
        <v>0</v>
      </c>
      <c r="J930" s="35">
        <f>+G930-H930+I930</f>
        <v>2295360</v>
      </c>
      <c r="K930" s="28">
        <v>0</v>
      </c>
      <c r="L930" s="32">
        <v>0</v>
      </c>
      <c r="M930" s="35">
        <f>+J930+L930</f>
        <v>2295360</v>
      </c>
      <c r="N930" s="28" t="s">
        <v>1567</v>
      </c>
      <c r="O930" s="29" t="s">
        <v>1568</v>
      </c>
      <c r="P930" s="36">
        <v>43886</v>
      </c>
      <c r="Q930" s="31">
        <v>28440.19</v>
      </c>
      <c r="R930" s="33">
        <f>M930/Q930</f>
        <v>80.708321568878418</v>
      </c>
    </row>
    <row r="931" spans="1:18" ht="15" customHeight="1">
      <c r="A931" s="37" t="s">
        <v>293</v>
      </c>
      <c r="B931" s="26" t="s">
        <v>294</v>
      </c>
      <c r="C931" s="39">
        <v>247</v>
      </c>
      <c r="D931" s="40" t="s">
        <v>1601</v>
      </c>
      <c r="E931" s="38" t="s">
        <v>3</v>
      </c>
      <c r="F931" s="38" t="s">
        <v>13</v>
      </c>
      <c r="G931" s="32">
        <v>432974</v>
      </c>
      <c r="H931" s="32">
        <v>0</v>
      </c>
      <c r="I931" s="52">
        <v>0</v>
      </c>
      <c r="J931" s="35">
        <f>+G931-H931+I931</f>
        <v>432974</v>
      </c>
      <c r="K931" s="28">
        <v>0</v>
      </c>
      <c r="L931" s="32">
        <v>0</v>
      </c>
      <c r="M931" s="35">
        <f>+J931+L931</f>
        <v>432974</v>
      </c>
      <c r="N931" s="28" t="s">
        <v>1567</v>
      </c>
      <c r="O931" s="29" t="s">
        <v>1568</v>
      </c>
      <c r="P931" s="36">
        <v>43886</v>
      </c>
      <c r="Q931" s="31">
        <v>28440.19</v>
      </c>
      <c r="R931" s="33">
        <f>M931/Q931</f>
        <v>15.224019248816552</v>
      </c>
    </row>
    <row r="932" spans="1:18" ht="15" customHeight="1">
      <c r="A932" s="37" t="s">
        <v>356</v>
      </c>
      <c r="B932" s="26" t="s">
        <v>1540</v>
      </c>
      <c r="C932" s="39">
        <v>247</v>
      </c>
      <c r="D932" s="40" t="s">
        <v>1602</v>
      </c>
      <c r="E932" s="38" t="s">
        <v>3</v>
      </c>
      <c r="F932" s="38" t="s">
        <v>15</v>
      </c>
      <c r="G932" s="32">
        <v>0</v>
      </c>
      <c r="H932" s="32">
        <v>0</v>
      </c>
      <c r="I932" s="32">
        <v>320216</v>
      </c>
      <c r="J932" s="35">
        <f>+G932-H932+I932</f>
        <v>320216</v>
      </c>
      <c r="K932" s="28">
        <v>0</v>
      </c>
      <c r="L932" s="32">
        <v>0</v>
      </c>
      <c r="M932" s="35">
        <f>+J932+L932</f>
        <v>320216</v>
      </c>
      <c r="N932" s="28" t="s">
        <v>1603</v>
      </c>
      <c r="O932" s="29" t="s">
        <v>1543</v>
      </c>
      <c r="P932" s="36">
        <v>43384</v>
      </c>
      <c r="Q932" s="31">
        <v>27379.14</v>
      </c>
      <c r="R932" s="33">
        <f>M932/Q932</f>
        <v>11.695619365692275</v>
      </c>
    </row>
    <row r="933" spans="1:18" ht="15" customHeight="1">
      <c r="A933" s="37" t="s">
        <v>293</v>
      </c>
      <c r="B933" s="26" t="s">
        <v>294</v>
      </c>
      <c r="C933" s="39">
        <v>246</v>
      </c>
      <c r="D933" s="40" t="s">
        <v>1604</v>
      </c>
      <c r="E933" s="38" t="s">
        <v>3</v>
      </c>
      <c r="F933" s="38" t="s">
        <v>13</v>
      </c>
      <c r="G933" s="32">
        <v>947384</v>
      </c>
      <c r="H933" s="32">
        <v>1936529</v>
      </c>
      <c r="I933" s="52">
        <v>0</v>
      </c>
      <c r="J933" s="35">
        <f>+G933-H933+I933</f>
        <v>-989145</v>
      </c>
      <c r="K933" s="28">
        <v>0</v>
      </c>
      <c r="L933" s="32">
        <v>0</v>
      </c>
      <c r="M933" s="35">
        <f>+J933+L933</f>
        <v>-989145</v>
      </c>
      <c r="N933" s="28" t="s">
        <v>1567</v>
      </c>
      <c r="O933" s="29" t="s">
        <v>1568</v>
      </c>
      <c r="P933" s="36">
        <v>43886</v>
      </c>
      <c r="Q933" s="31">
        <v>28440.19</v>
      </c>
      <c r="R933" s="33">
        <f>M933/Q933</f>
        <v>-34.779830936431864</v>
      </c>
    </row>
    <row r="934" spans="1:18" s="30" customFormat="1" ht="15" customHeight="1">
      <c r="A934" s="37" t="s">
        <v>356</v>
      </c>
      <c r="B934" s="26" t="s">
        <v>1540</v>
      </c>
      <c r="C934" s="39">
        <v>246</v>
      </c>
      <c r="D934" s="40" t="s">
        <v>1605</v>
      </c>
      <c r="E934" s="38" t="s">
        <v>4</v>
      </c>
      <c r="F934" s="38" t="s">
        <v>21</v>
      </c>
      <c r="G934" s="32">
        <v>637572</v>
      </c>
      <c r="H934" s="32">
        <v>0</v>
      </c>
      <c r="I934" s="52">
        <v>0</v>
      </c>
      <c r="J934" s="35">
        <f>+G934-H934+I934</f>
        <v>637572</v>
      </c>
      <c r="K934" s="28">
        <v>0</v>
      </c>
      <c r="L934" s="32">
        <v>0</v>
      </c>
      <c r="M934" s="35">
        <f>+J934+L934</f>
        <v>637572</v>
      </c>
      <c r="N934" s="28" t="s">
        <v>1542</v>
      </c>
      <c r="O934" s="29" t="s">
        <v>1543</v>
      </c>
      <c r="P934" s="36">
        <v>43427</v>
      </c>
      <c r="Q934" s="31">
        <v>27507.17</v>
      </c>
      <c r="R934" s="33">
        <f>M934/Q934</f>
        <v>23.178393124410835</v>
      </c>
    </row>
    <row r="935" spans="1:18" s="30" customFormat="1" ht="15" customHeight="1">
      <c r="A935" s="37" t="s">
        <v>293</v>
      </c>
      <c r="B935" s="26" t="s">
        <v>294</v>
      </c>
      <c r="C935" s="39">
        <v>245</v>
      </c>
      <c r="D935" s="40" t="s">
        <v>1606</v>
      </c>
      <c r="E935" s="38" t="s">
        <v>3</v>
      </c>
      <c r="F935" s="38" t="s">
        <v>13</v>
      </c>
      <c r="G935" s="32">
        <v>86460</v>
      </c>
      <c r="H935" s="32">
        <v>187115</v>
      </c>
      <c r="I935" s="32">
        <v>56330</v>
      </c>
      <c r="J935" s="35">
        <f>+G935-H935+I935</f>
        <v>-44325</v>
      </c>
      <c r="K935" s="28">
        <v>0</v>
      </c>
      <c r="L935" s="32">
        <v>0</v>
      </c>
      <c r="M935" s="35">
        <f>+J935+L935</f>
        <v>-44325</v>
      </c>
      <c r="N935" s="28" t="s">
        <v>1567</v>
      </c>
      <c r="O935" s="29" t="s">
        <v>1568</v>
      </c>
      <c r="P935" s="36">
        <v>43886</v>
      </c>
      <c r="Q935" s="31">
        <v>28440.19</v>
      </c>
      <c r="R935" s="33">
        <f>M935/Q935</f>
        <v>-1.5585338916512161</v>
      </c>
    </row>
    <row r="936" spans="1:18" s="30" customFormat="1" ht="15" customHeight="1">
      <c r="A936" s="37" t="s">
        <v>356</v>
      </c>
      <c r="B936" s="26" t="s">
        <v>1540</v>
      </c>
      <c r="C936" s="39">
        <v>245</v>
      </c>
      <c r="D936" s="40" t="s">
        <v>1607</v>
      </c>
      <c r="E936" s="38" t="s">
        <v>4</v>
      </c>
      <c r="F936" s="38" t="s">
        <v>21</v>
      </c>
      <c r="G936" s="32">
        <v>747356</v>
      </c>
      <c r="H936" s="32">
        <v>0</v>
      </c>
      <c r="I936" s="52">
        <v>0</v>
      </c>
      <c r="J936" s="35">
        <f>+G936-H936+I936</f>
        <v>747356</v>
      </c>
      <c r="K936" s="28">
        <v>0</v>
      </c>
      <c r="L936" s="32">
        <v>0</v>
      </c>
      <c r="M936" s="35">
        <f>+J936+L936</f>
        <v>747356</v>
      </c>
      <c r="N936" s="28" t="s">
        <v>1542</v>
      </c>
      <c r="O936" s="29" t="s">
        <v>1543</v>
      </c>
      <c r="P936" s="36">
        <v>43427</v>
      </c>
      <c r="Q936" s="31">
        <v>27507.17</v>
      </c>
      <c r="R936" s="33">
        <f>M936/Q936</f>
        <v>27.169497989069761</v>
      </c>
    </row>
    <row r="937" spans="1:18" s="30" customFormat="1" ht="15" customHeight="1">
      <c r="A937" s="37" t="s">
        <v>293</v>
      </c>
      <c r="B937" s="26" t="s">
        <v>294</v>
      </c>
      <c r="C937" s="39">
        <v>244</v>
      </c>
      <c r="D937" s="40" t="s">
        <v>1608</v>
      </c>
      <c r="E937" s="38" t="s">
        <v>3</v>
      </c>
      <c r="F937" s="38" t="s">
        <v>15</v>
      </c>
      <c r="G937" s="32">
        <v>46641902</v>
      </c>
      <c r="H937" s="32">
        <v>42089430</v>
      </c>
      <c r="I937" s="52">
        <v>0</v>
      </c>
      <c r="J937" s="35">
        <f>+G937-H937+I937</f>
        <v>4552472</v>
      </c>
      <c r="K937" s="28">
        <v>0</v>
      </c>
      <c r="L937" s="32">
        <v>0</v>
      </c>
      <c r="M937" s="35">
        <f>+J937+L937</f>
        <v>4552472</v>
      </c>
      <c r="N937" s="28" t="s">
        <v>1567</v>
      </c>
      <c r="O937" s="29" t="s">
        <v>1568</v>
      </c>
      <c r="P937" s="36">
        <v>43886</v>
      </c>
      <c r="Q937" s="31">
        <v>28440.19</v>
      </c>
      <c r="R937" s="33">
        <f>M937/Q937</f>
        <v>160.07178573701512</v>
      </c>
    </row>
    <row r="938" spans="1:18" s="30" customFormat="1" ht="15" customHeight="1">
      <c r="A938" s="37" t="s">
        <v>356</v>
      </c>
      <c r="B938" s="26" t="s">
        <v>1540</v>
      </c>
      <c r="C938" s="39">
        <v>244</v>
      </c>
      <c r="D938" s="40" t="s">
        <v>1609</v>
      </c>
      <c r="E938" s="38" t="s">
        <v>3</v>
      </c>
      <c r="F938" s="38" t="s">
        <v>21</v>
      </c>
      <c r="G938" s="32">
        <v>932727</v>
      </c>
      <c r="H938" s="32">
        <v>0</v>
      </c>
      <c r="I938" s="52">
        <v>0</v>
      </c>
      <c r="J938" s="35">
        <f>+G938-H938+I938</f>
        <v>932727</v>
      </c>
      <c r="K938" s="28">
        <v>0</v>
      </c>
      <c r="L938" s="32">
        <v>0</v>
      </c>
      <c r="M938" s="35">
        <f>+J938+L938</f>
        <v>932727</v>
      </c>
      <c r="N938" s="28" t="s">
        <v>1603</v>
      </c>
      <c r="O938" s="29" t="s">
        <v>1543</v>
      </c>
      <c r="P938" s="36">
        <v>43384</v>
      </c>
      <c r="Q938" s="31">
        <v>27379.14</v>
      </c>
      <c r="R938" s="33">
        <f>M938/Q938</f>
        <v>34.067067117520857</v>
      </c>
    </row>
    <row r="939" spans="1:18" s="30" customFormat="1" ht="15" customHeight="1">
      <c r="A939" s="37" t="s">
        <v>293</v>
      </c>
      <c r="B939" s="26" t="s">
        <v>294</v>
      </c>
      <c r="C939" s="39">
        <v>243</v>
      </c>
      <c r="D939" s="40" t="s">
        <v>1610</v>
      </c>
      <c r="E939" s="38" t="s">
        <v>3</v>
      </c>
      <c r="F939" s="38" t="s">
        <v>15</v>
      </c>
      <c r="G939" s="32">
        <v>57860569</v>
      </c>
      <c r="H939" s="32">
        <v>0</v>
      </c>
      <c r="I939" s="52">
        <v>0</v>
      </c>
      <c r="J939" s="35">
        <f>+G939-H939+I939</f>
        <v>57860569</v>
      </c>
      <c r="K939" s="28">
        <v>0</v>
      </c>
      <c r="L939" s="32">
        <v>0</v>
      </c>
      <c r="M939" s="35">
        <f>+J939+L939</f>
        <v>57860569</v>
      </c>
      <c r="N939" s="28" t="s">
        <v>1567</v>
      </c>
      <c r="O939" s="29" t="s">
        <v>1568</v>
      </c>
      <c r="P939" s="36">
        <v>43886</v>
      </c>
      <c r="Q939" s="31">
        <v>28440.19</v>
      </c>
      <c r="R939" s="33">
        <f>M939/Q939</f>
        <v>2034.464924460772</v>
      </c>
    </row>
    <row r="940" spans="1:18" s="30" customFormat="1" ht="15" customHeight="1">
      <c r="A940" s="37" t="s">
        <v>293</v>
      </c>
      <c r="B940" s="26" t="s">
        <v>294</v>
      </c>
      <c r="C940" s="39">
        <v>242</v>
      </c>
      <c r="D940" s="40" t="s">
        <v>1611</v>
      </c>
      <c r="E940" s="38" t="s">
        <v>3</v>
      </c>
      <c r="F940" s="38" t="s">
        <v>18</v>
      </c>
      <c r="G940" s="32">
        <v>149469</v>
      </c>
      <c r="H940" s="32">
        <v>0</v>
      </c>
      <c r="I940" s="32">
        <v>672492</v>
      </c>
      <c r="J940" s="35">
        <f>+G940-H940+I940</f>
        <v>821961</v>
      </c>
      <c r="K940" s="28">
        <v>0</v>
      </c>
      <c r="L940" s="32">
        <v>0</v>
      </c>
      <c r="M940" s="35">
        <f>+J940+L940</f>
        <v>821961</v>
      </c>
      <c r="N940" s="28" t="s">
        <v>1537</v>
      </c>
      <c r="O940" s="29" t="s">
        <v>1538</v>
      </c>
      <c r="P940" s="36">
        <v>43914</v>
      </c>
      <c r="Q940" s="31">
        <v>28331.86</v>
      </c>
      <c r="R940" s="33">
        <f>M940/Q940</f>
        <v>29.011896853930523</v>
      </c>
    </row>
    <row r="941" spans="1:18" s="30" customFormat="1" ht="15" customHeight="1">
      <c r="A941" s="37" t="s">
        <v>293</v>
      </c>
      <c r="B941" s="26" t="s">
        <v>294</v>
      </c>
      <c r="C941" s="39">
        <v>241</v>
      </c>
      <c r="D941" s="40" t="s">
        <v>1612</v>
      </c>
      <c r="E941" s="38" t="s">
        <v>3</v>
      </c>
      <c r="F941" s="38" t="s">
        <v>18</v>
      </c>
      <c r="G941" s="32">
        <v>298938</v>
      </c>
      <c r="H941" s="32">
        <v>0</v>
      </c>
      <c r="I941" s="32">
        <v>1344984</v>
      </c>
      <c r="J941" s="35">
        <f>+G941-H941+I941</f>
        <v>1643922</v>
      </c>
      <c r="K941" s="28">
        <v>0</v>
      </c>
      <c r="L941" s="32">
        <v>0</v>
      </c>
      <c r="M941" s="35">
        <f>+J941+L941</f>
        <v>1643922</v>
      </c>
      <c r="N941" s="28" t="s">
        <v>1537</v>
      </c>
      <c r="O941" s="29" t="s">
        <v>1538</v>
      </c>
      <c r="P941" s="36">
        <v>43914</v>
      </c>
      <c r="Q941" s="31">
        <v>28331.86</v>
      </c>
      <c r="R941" s="33">
        <f>M941/Q941</f>
        <v>58.023793707861046</v>
      </c>
    </row>
    <row r="942" spans="1:18" s="30" customFormat="1" ht="15" customHeight="1">
      <c r="A942" s="37" t="s">
        <v>293</v>
      </c>
      <c r="B942" s="26" t="s">
        <v>294</v>
      </c>
      <c r="C942" s="39">
        <v>240</v>
      </c>
      <c r="D942" s="40" t="s">
        <v>1613</v>
      </c>
      <c r="E942" s="38" t="s">
        <v>3</v>
      </c>
      <c r="F942" s="38" t="s">
        <v>18</v>
      </c>
      <c r="G942" s="32">
        <v>597876</v>
      </c>
      <c r="H942" s="32">
        <v>0</v>
      </c>
      <c r="I942" s="32">
        <v>2689967</v>
      </c>
      <c r="J942" s="35">
        <f>+G942-H942+I942</f>
        <v>3287843</v>
      </c>
      <c r="K942" s="28">
        <v>0</v>
      </c>
      <c r="L942" s="32">
        <v>0</v>
      </c>
      <c r="M942" s="35">
        <f>+J942+L942</f>
        <v>3287843</v>
      </c>
      <c r="N942" s="28" t="s">
        <v>1537</v>
      </c>
      <c r="O942" s="29" t="s">
        <v>1538</v>
      </c>
      <c r="P942" s="36">
        <v>43914</v>
      </c>
      <c r="Q942" s="31">
        <v>28331.86</v>
      </c>
      <c r="R942" s="33">
        <f>M942/Q942</f>
        <v>116.04755211976905</v>
      </c>
    </row>
    <row r="943" spans="1:18" s="30" customFormat="1" ht="15" customHeight="1">
      <c r="A943" s="37" t="s">
        <v>356</v>
      </c>
      <c r="B943" s="26" t="s">
        <v>1540</v>
      </c>
      <c r="C943" s="39">
        <v>240</v>
      </c>
      <c r="D943" s="40" t="s">
        <v>1614</v>
      </c>
      <c r="E943" s="38" t="s">
        <v>3</v>
      </c>
      <c r="F943" s="38" t="s">
        <v>11</v>
      </c>
      <c r="G943" s="32">
        <v>0</v>
      </c>
      <c r="H943" s="32">
        <v>0</v>
      </c>
      <c r="I943" s="32">
        <v>1570822</v>
      </c>
      <c r="J943" s="35">
        <f>+G943-H943+I943</f>
        <v>1570822</v>
      </c>
      <c r="K943" s="28">
        <v>0</v>
      </c>
      <c r="L943" s="32">
        <v>0</v>
      </c>
      <c r="M943" s="35">
        <f>+J943+L943</f>
        <v>1570822</v>
      </c>
      <c r="N943" s="28" t="s">
        <v>1603</v>
      </c>
      <c r="O943" s="29" t="s">
        <v>1543</v>
      </c>
      <c r="P943" s="36">
        <v>43384</v>
      </c>
      <c r="Q943" s="31">
        <v>27379.14</v>
      </c>
      <c r="R943" s="33">
        <f>M943/Q943</f>
        <v>57.372948894669449</v>
      </c>
    </row>
    <row r="944" spans="1:18" s="30" customFormat="1" ht="15" customHeight="1">
      <c r="A944" s="37" t="s">
        <v>293</v>
      </c>
      <c r="B944" s="26" t="s">
        <v>294</v>
      </c>
      <c r="C944" s="39">
        <v>239</v>
      </c>
      <c r="D944" s="40" t="s">
        <v>1615</v>
      </c>
      <c r="E944" s="38" t="s">
        <v>3</v>
      </c>
      <c r="F944" s="38" t="s">
        <v>18</v>
      </c>
      <c r="G944" s="32">
        <v>298938</v>
      </c>
      <c r="H944" s="32">
        <v>1700147</v>
      </c>
      <c r="I944" s="32">
        <v>1344984</v>
      </c>
      <c r="J944" s="35">
        <f>+G944-H944+I944</f>
        <v>-56225</v>
      </c>
      <c r="K944" s="28">
        <v>0</v>
      </c>
      <c r="L944" s="32">
        <v>0</v>
      </c>
      <c r="M944" s="35">
        <f>+J944+L944</f>
        <v>-56225</v>
      </c>
      <c r="N944" s="28" t="s">
        <v>1537</v>
      </c>
      <c r="O944" s="29" t="s">
        <v>1538</v>
      </c>
      <c r="P944" s="36">
        <v>43914</v>
      </c>
      <c r="Q944" s="31">
        <v>28331.86</v>
      </c>
      <c r="R944" s="33">
        <f>M944/Q944</f>
        <v>-1.9845149594837754</v>
      </c>
    </row>
    <row r="945" spans="1:18" s="30" customFormat="1" ht="15" customHeight="1">
      <c r="A945" s="37" t="s">
        <v>293</v>
      </c>
      <c r="B945" s="26" t="s">
        <v>294</v>
      </c>
      <c r="C945" s="39">
        <v>238</v>
      </c>
      <c r="D945" s="40" t="s">
        <v>1616</v>
      </c>
      <c r="E945" s="38" t="s">
        <v>3</v>
      </c>
      <c r="F945" s="38" t="s">
        <v>20</v>
      </c>
      <c r="G945" s="32">
        <v>13118319</v>
      </c>
      <c r="H945" s="32">
        <v>0</v>
      </c>
      <c r="I945" s="52">
        <v>0</v>
      </c>
      <c r="J945" s="35">
        <f>+G945-H945+I945</f>
        <v>13118319</v>
      </c>
      <c r="K945" s="28">
        <v>0</v>
      </c>
      <c r="L945" s="32">
        <v>0</v>
      </c>
      <c r="M945" s="35">
        <f>+J945+L945</f>
        <v>13118319</v>
      </c>
      <c r="N945" s="28" t="s">
        <v>1537</v>
      </c>
      <c r="O945" s="29" t="s">
        <v>1538</v>
      </c>
      <c r="P945" s="36">
        <v>43914</v>
      </c>
      <c r="Q945" s="31">
        <v>28331.86</v>
      </c>
      <c r="R945" s="33">
        <f>M945/Q945</f>
        <v>463.02357134335688</v>
      </c>
    </row>
    <row r="946" spans="1:18" s="30" customFormat="1" ht="15" customHeight="1">
      <c r="A946" s="37" t="s">
        <v>356</v>
      </c>
      <c r="B946" s="26" t="s">
        <v>1540</v>
      </c>
      <c r="C946" s="39">
        <v>238</v>
      </c>
      <c r="D946" s="40" t="s">
        <v>1617</v>
      </c>
      <c r="E946" s="38" t="s">
        <v>3</v>
      </c>
      <c r="F946" s="38" t="s">
        <v>11</v>
      </c>
      <c r="G946" s="32">
        <v>841855</v>
      </c>
      <c r="H946" s="32">
        <v>0</v>
      </c>
      <c r="I946" s="52">
        <v>0</v>
      </c>
      <c r="J946" s="35">
        <f>+G946-H946+I946</f>
        <v>841855</v>
      </c>
      <c r="K946" s="28">
        <v>0</v>
      </c>
      <c r="L946" s="32">
        <v>0</v>
      </c>
      <c r="M946" s="35">
        <f>+J946+L946</f>
        <v>841855</v>
      </c>
      <c r="N946" s="28" t="s">
        <v>1603</v>
      </c>
      <c r="O946" s="29" t="s">
        <v>1543</v>
      </c>
      <c r="P946" s="36">
        <v>43384</v>
      </c>
      <c r="Q946" s="31">
        <v>27379.14</v>
      </c>
      <c r="R946" s="33">
        <f>M946/Q946</f>
        <v>30.748043948787288</v>
      </c>
    </row>
    <row r="947" spans="1:18" s="30" customFormat="1" ht="15" customHeight="1">
      <c r="A947" s="37" t="s">
        <v>293</v>
      </c>
      <c r="B947" s="26" t="s">
        <v>294</v>
      </c>
      <c r="C947" s="39">
        <v>237</v>
      </c>
      <c r="D947" s="40" t="s">
        <v>1618</v>
      </c>
      <c r="E947" s="38" t="s">
        <v>3</v>
      </c>
      <c r="F947" s="38" t="s">
        <v>20</v>
      </c>
      <c r="G947" s="32">
        <v>3356729</v>
      </c>
      <c r="H947" s="32">
        <v>0</v>
      </c>
      <c r="I947" s="52">
        <v>0</v>
      </c>
      <c r="J947" s="35">
        <f>+G947-H947+I947</f>
        <v>3356729</v>
      </c>
      <c r="K947" s="28">
        <v>0</v>
      </c>
      <c r="L947" s="32">
        <v>0</v>
      </c>
      <c r="M947" s="35">
        <f>+J947+L947</f>
        <v>3356729</v>
      </c>
      <c r="N947" s="28" t="s">
        <v>1537</v>
      </c>
      <c r="O947" s="29" t="s">
        <v>1538</v>
      </c>
      <c r="P947" s="36">
        <v>43914</v>
      </c>
      <c r="Q947" s="31">
        <v>28331.86</v>
      </c>
      <c r="R947" s="33">
        <f>M947/Q947</f>
        <v>118.47894914064943</v>
      </c>
    </row>
    <row r="948" spans="1:18" s="30" customFormat="1" ht="15" customHeight="1">
      <c r="A948" s="37" t="s">
        <v>293</v>
      </c>
      <c r="B948" s="26" t="s">
        <v>294</v>
      </c>
      <c r="C948" s="39">
        <v>236</v>
      </c>
      <c r="D948" s="40" t="s">
        <v>1619</v>
      </c>
      <c r="E948" s="38" t="s">
        <v>3</v>
      </c>
      <c r="F948" s="38" t="s">
        <v>20</v>
      </c>
      <c r="G948" s="32">
        <v>17182920</v>
      </c>
      <c r="H948" s="32">
        <v>72561</v>
      </c>
      <c r="I948" s="52">
        <v>0</v>
      </c>
      <c r="J948" s="35">
        <f>+G948-H948+I948</f>
        <v>17110359</v>
      </c>
      <c r="K948" s="28">
        <v>0</v>
      </c>
      <c r="L948" s="32">
        <v>0</v>
      </c>
      <c r="M948" s="35">
        <f>+J948+L948</f>
        <v>17110359</v>
      </c>
      <c r="N948" s="28" t="s">
        <v>1537</v>
      </c>
      <c r="O948" s="29" t="s">
        <v>1538</v>
      </c>
      <c r="P948" s="36">
        <v>43914</v>
      </c>
      <c r="Q948" s="31">
        <v>28331.86</v>
      </c>
      <c r="R948" s="33">
        <f>M948/Q948</f>
        <v>603.92642770365239</v>
      </c>
    </row>
    <row r="949" spans="1:18" s="30" customFormat="1" ht="15" customHeight="1">
      <c r="A949" s="37" t="s">
        <v>293</v>
      </c>
      <c r="B949" s="26" t="s">
        <v>294</v>
      </c>
      <c r="C949" s="39">
        <v>235</v>
      </c>
      <c r="D949" s="40" t="s">
        <v>1620</v>
      </c>
      <c r="E949" s="38" t="s">
        <v>3</v>
      </c>
      <c r="F949" s="38" t="s">
        <v>20</v>
      </c>
      <c r="G949" s="32">
        <v>4240732</v>
      </c>
      <c r="H949" s="32">
        <v>0</v>
      </c>
      <c r="I949" s="52">
        <v>0</v>
      </c>
      <c r="J949" s="35">
        <f>+G949-H949+I949</f>
        <v>4240732</v>
      </c>
      <c r="K949" s="28">
        <v>0</v>
      </c>
      <c r="L949" s="32">
        <v>0</v>
      </c>
      <c r="M949" s="35">
        <f>+J949+L949</f>
        <v>4240732</v>
      </c>
      <c r="N949" s="28" t="s">
        <v>1537</v>
      </c>
      <c r="O949" s="29" t="s">
        <v>1538</v>
      </c>
      <c r="P949" s="36">
        <v>43914</v>
      </c>
      <c r="Q949" s="31">
        <v>28331.86</v>
      </c>
      <c r="R949" s="33">
        <f>M949/Q949</f>
        <v>149.68067751287774</v>
      </c>
    </row>
    <row r="950" spans="1:18" s="30" customFormat="1" ht="15" customHeight="1">
      <c r="A950" s="37" t="s">
        <v>391</v>
      </c>
      <c r="B950" s="26" t="s">
        <v>392</v>
      </c>
      <c r="C950" s="39">
        <v>134</v>
      </c>
      <c r="D950" s="40" t="s">
        <v>1621</v>
      </c>
      <c r="E950" s="38" t="s">
        <v>4</v>
      </c>
      <c r="F950" s="38" t="s">
        <v>13</v>
      </c>
      <c r="G950" s="32">
        <v>1230495</v>
      </c>
      <c r="H950" s="32">
        <v>0</v>
      </c>
      <c r="I950" s="32">
        <v>535275</v>
      </c>
      <c r="J950" s="35">
        <f>+G950-H950+I950</f>
        <v>1765770</v>
      </c>
      <c r="K950" s="27"/>
      <c r="L950" s="32">
        <v>0</v>
      </c>
      <c r="M950" s="35">
        <f>+J950+L950</f>
        <v>1765770</v>
      </c>
      <c r="N950" s="28" t="s">
        <v>481</v>
      </c>
      <c r="O950" s="29" t="s">
        <v>482</v>
      </c>
      <c r="P950" s="36">
        <v>44130</v>
      </c>
      <c r="Q950" s="31">
        <v>28810.82</v>
      </c>
      <c r="R950" s="33">
        <f>M950/Q950</f>
        <v>61.288432609693167</v>
      </c>
    </row>
    <row r="951" spans="1:18" s="30" customFormat="1" ht="15" customHeight="1">
      <c r="A951" s="37" t="s">
        <v>356</v>
      </c>
      <c r="B951" s="26" t="s">
        <v>1540</v>
      </c>
      <c r="C951" s="39">
        <v>235</v>
      </c>
      <c r="D951" s="40" t="s">
        <v>1622</v>
      </c>
      <c r="E951" s="38" t="s">
        <v>3</v>
      </c>
      <c r="F951" s="38" t="s">
        <v>13</v>
      </c>
      <c r="G951" s="32">
        <v>439522.69808431284</v>
      </c>
      <c r="H951" s="32">
        <v>0</v>
      </c>
      <c r="I951" s="32">
        <v>381096.96450298105</v>
      </c>
      <c r="J951" s="35">
        <f>+G951-H951+I951</f>
        <v>820619.66258729389</v>
      </c>
      <c r="K951" s="28">
        <v>0</v>
      </c>
      <c r="L951" s="32">
        <v>0</v>
      </c>
      <c r="M951" s="35">
        <f>+J951+L951</f>
        <v>820619.66258729389</v>
      </c>
      <c r="N951" s="28" t="s">
        <v>1542</v>
      </c>
      <c r="O951" s="29" t="s">
        <v>1543</v>
      </c>
      <c r="P951" s="36">
        <v>43427</v>
      </c>
      <c r="Q951" s="31">
        <v>27507.17</v>
      </c>
      <c r="R951" s="33">
        <f>M951/Q951</f>
        <v>29.832936742939893</v>
      </c>
    </row>
    <row r="952" spans="1:18" s="30" customFormat="1" ht="15" customHeight="1">
      <c r="A952" s="37" t="s">
        <v>356</v>
      </c>
      <c r="B952" s="26" t="s">
        <v>1540</v>
      </c>
      <c r="C952" s="39">
        <v>234</v>
      </c>
      <c r="D952" s="40" t="s">
        <v>1623</v>
      </c>
      <c r="E952" s="38" t="s">
        <v>3</v>
      </c>
      <c r="F952" s="38" t="s">
        <v>13</v>
      </c>
      <c r="G952" s="32">
        <v>569127</v>
      </c>
      <c r="H952" s="32">
        <v>0</v>
      </c>
      <c r="I952" s="52">
        <v>0</v>
      </c>
      <c r="J952" s="35">
        <f>+G952-H952+I952</f>
        <v>569127</v>
      </c>
      <c r="K952" s="28">
        <v>0</v>
      </c>
      <c r="L952" s="32">
        <v>0</v>
      </c>
      <c r="M952" s="35">
        <f>+J952+L952</f>
        <v>569127</v>
      </c>
      <c r="N952" s="28" t="s">
        <v>1579</v>
      </c>
      <c r="O952" s="29" t="s">
        <v>1543</v>
      </c>
      <c r="P952" s="36">
        <v>43427</v>
      </c>
      <c r="Q952" s="31">
        <v>27507.17</v>
      </c>
      <c r="R952" s="33">
        <f>M952/Q952</f>
        <v>20.690132790832354</v>
      </c>
    </row>
    <row r="953" spans="1:18" s="30" customFormat="1" ht="15" customHeight="1">
      <c r="A953" s="37" t="s">
        <v>356</v>
      </c>
      <c r="B953" s="26" t="s">
        <v>1540</v>
      </c>
      <c r="C953" s="39">
        <v>233</v>
      </c>
      <c r="D953" s="40" t="s">
        <v>1624</v>
      </c>
      <c r="E953" s="38" t="s">
        <v>3</v>
      </c>
      <c r="F953" s="38" t="s">
        <v>11</v>
      </c>
      <c r="G953" s="32">
        <v>3345503</v>
      </c>
      <c r="H953" s="32">
        <v>1618689</v>
      </c>
      <c r="I953" s="52">
        <v>0</v>
      </c>
      <c r="J953" s="35">
        <f>+G953-H953+I953</f>
        <v>1726814</v>
      </c>
      <c r="K953" s="28">
        <v>0</v>
      </c>
      <c r="L953" s="32">
        <v>0</v>
      </c>
      <c r="M953" s="35">
        <f>+J953+L953</f>
        <v>1726814</v>
      </c>
      <c r="N953" s="28" t="s">
        <v>1603</v>
      </c>
      <c r="O953" s="29" t="s">
        <v>1543</v>
      </c>
      <c r="P953" s="36">
        <v>43384</v>
      </c>
      <c r="Q953" s="31">
        <v>27379.14</v>
      </c>
      <c r="R953" s="33">
        <f>M953/Q953</f>
        <v>63.070425148488958</v>
      </c>
    </row>
    <row r="954" spans="1:18" s="30" customFormat="1" ht="15" customHeight="1">
      <c r="A954" s="37" t="s">
        <v>293</v>
      </c>
      <c r="B954" s="26" t="s">
        <v>294</v>
      </c>
      <c r="C954" s="39">
        <v>232</v>
      </c>
      <c r="D954" s="40" t="s">
        <v>1625</v>
      </c>
      <c r="E954" s="38" t="s">
        <v>3</v>
      </c>
      <c r="F954" s="38" t="s">
        <v>11</v>
      </c>
      <c r="G954" s="32">
        <v>17975195</v>
      </c>
      <c r="H954" s="32">
        <v>0</v>
      </c>
      <c r="I954" s="32">
        <v>59216233</v>
      </c>
      <c r="J954" s="35">
        <f>+G954-H954+I954</f>
        <v>77191428</v>
      </c>
      <c r="K954" s="28">
        <v>0</v>
      </c>
      <c r="L954" s="32">
        <v>0</v>
      </c>
      <c r="M954" s="35">
        <f>+J954+L954</f>
        <v>77191428</v>
      </c>
      <c r="N954" s="28" t="s">
        <v>1626</v>
      </c>
      <c r="O954" s="29" t="s">
        <v>1627</v>
      </c>
      <c r="P954" s="36">
        <v>43886</v>
      </c>
      <c r="Q954" s="31">
        <v>28440.19</v>
      </c>
      <c r="R954" s="33">
        <f>M954/Q954</f>
        <v>2714.1670994462415</v>
      </c>
    </row>
    <row r="955" spans="1:18" s="30" customFormat="1" ht="15" customHeight="1">
      <c r="A955" s="37" t="s">
        <v>293</v>
      </c>
      <c r="B955" s="26" t="s">
        <v>294</v>
      </c>
      <c r="C955" s="39">
        <v>230</v>
      </c>
      <c r="D955" s="40" t="s">
        <v>1628</v>
      </c>
      <c r="E955" s="38" t="s">
        <v>3</v>
      </c>
      <c r="F955" s="38" t="s">
        <v>18</v>
      </c>
      <c r="G955" s="32">
        <v>0</v>
      </c>
      <c r="H955" s="32">
        <v>605259</v>
      </c>
      <c r="I955" s="52">
        <v>0</v>
      </c>
      <c r="J955" s="35">
        <f>+G955-H955+I955</f>
        <v>-605259</v>
      </c>
      <c r="K955" s="28">
        <v>0</v>
      </c>
      <c r="L955" s="32">
        <v>0</v>
      </c>
      <c r="M955" s="35">
        <f>+J955+L955</f>
        <v>-605259</v>
      </c>
      <c r="N955" s="28" t="s">
        <v>1567</v>
      </c>
      <c r="O955" s="29" t="s">
        <v>1568</v>
      </c>
      <c r="P955" s="36">
        <v>43886</v>
      </c>
      <c r="Q955" s="31">
        <v>28440.19</v>
      </c>
      <c r="R955" s="33">
        <f>M955/Q955</f>
        <v>-21.281819847195116</v>
      </c>
    </row>
    <row r="956" spans="1:18" s="30" customFormat="1" ht="15" customHeight="1">
      <c r="A956" s="37" t="s">
        <v>293</v>
      </c>
      <c r="B956" s="26" t="s">
        <v>294</v>
      </c>
      <c r="C956" s="39">
        <v>229</v>
      </c>
      <c r="D956" s="40" t="s">
        <v>1629</v>
      </c>
      <c r="E956" s="38" t="s">
        <v>3</v>
      </c>
      <c r="F956" s="38" t="s">
        <v>14</v>
      </c>
      <c r="G956" s="32">
        <v>23601567</v>
      </c>
      <c r="H956" s="32">
        <v>681740</v>
      </c>
      <c r="I956" s="52">
        <v>0</v>
      </c>
      <c r="J956" s="35">
        <f>+G956-H956+I956</f>
        <v>22919827</v>
      </c>
      <c r="K956" s="28">
        <v>0</v>
      </c>
      <c r="L956" s="32">
        <v>0</v>
      </c>
      <c r="M956" s="35">
        <f>+J956+L956</f>
        <v>22919827</v>
      </c>
      <c r="N956" s="28" t="s">
        <v>1567</v>
      </c>
      <c r="O956" s="29" t="s">
        <v>1568</v>
      </c>
      <c r="P956" s="36">
        <v>43886</v>
      </c>
      <c r="Q956" s="31">
        <v>28440.19</v>
      </c>
      <c r="R956" s="33">
        <f>M956/Q956</f>
        <v>805.89570604134508</v>
      </c>
    </row>
    <row r="957" spans="1:18" s="30" customFormat="1" ht="15" customHeight="1">
      <c r="A957" s="37" t="s">
        <v>293</v>
      </c>
      <c r="B957" s="26" t="s">
        <v>294</v>
      </c>
      <c r="C957" s="39">
        <v>228</v>
      </c>
      <c r="D957" s="40" t="s">
        <v>1630</v>
      </c>
      <c r="E957" s="38" t="s">
        <v>3</v>
      </c>
      <c r="F957" s="38" t="s">
        <v>13</v>
      </c>
      <c r="G957" s="32">
        <v>934364</v>
      </c>
      <c r="H957" s="32">
        <v>1891060</v>
      </c>
      <c r="I957" s="52">
        <v>0</v>
      </c>
      <c r="J957" s="35">
        <f>+G957-H957+I957</f>
        <v>-956696</v>
      </c>
      <c r="K957" s="28">
        <v>0</v>
      </c>
      <c r="L957" s="32">
        <v>0</v>
      </c>
      <c r="M957" s="35">
        <f>+J957+L957</f>
        <v>-956696</v>
      </c>
      <c r="N957" s="28" t="s">
        <v>1567</v>
      </c>
      <c r="O957" s="29" t="s">
        <v>1568</v>
      </c>
      <c r="P957" s="36">
        <v>43886</v>
      </c>
      <c r="Q957" s="31">
        <v>28440.19</v>
      </c>
      <c r="R957" s="33">
        <f>M957/Q957</f>
        <v>-33.638875127064907</v>
      </c>
    </row>
    <row r="958" spans="1:18" s="30" customFormat="1" ht="15" customHeight="1">
      <c r="A958" s="37" t="s">
        <v>356</v>
      </c>
      <c r="B958" s="26" t="s">
        <v>1540</v>
      </c>
      <c r="C958" s="39">
        <v>228</v>
      </c>
      <c r="D958" s="40" t="s">
        <v>1631</v>
      </c>
      <c r="E958" s="38" t="s">
        <v>3</v>
      </c>
      <c r="F958" s="38" t="s">
        <v>11</v>
      </c>
      <c r="G958" s="32">
        <v>2838293</v>
      </c>
      <c r="H958" s="32">
        <v>0</v>
      </c>
      <c r="I958" s="32">
        <v>226695</v>
      </c>
      <c r="J958" s="35">
        <f>+G958-H958+I958</f>
        <v>3064988</v>
      </c>
      <c r="K958" s="28">
        <v>0</v>
      </c>
      <c r="L958" s="32">
        <v>0</v>
      </c>
      <c r="M958" s="35">
        <f>+J958+L958</f>
        <v>3064988</v>
      </c>
      <c r="N958" s="28" t="s">
        <v>1632</v>
      </c>
      <c r="O958" s="29" t="s">
        <v>1543</v>
      </c>
      <c r="P958" s="36">
        <v>43336</v>
      </c>
      <c r="Q958" s="31">
        <v>27262.98</v>
      </c>
      <c r="R958" s="33">
        <f>M958/Q958</f>
        <v>112.42307333974496</v>
      </c>
    </row>
    <row r="959" spans="1:18" s="30" customFormat="1" ht="15" customHeight="1">
      <c r="A959" s="37" t="s">
        <v>293</v>
      </c>
      <c r="B959" s="26" t="s">
        <v>294</v>
      </c>
      <c r="C959" s="39">
        <v>227</v>
      </c>
      <c r="D959" s="40" t="s">
        <v>1633</v>
      </c>
      <c r="E959" s="38" t="s">
        <v>3</v>
      </c>
      <c r="F959" s="38" t="s">
        <v>12</v>
      </c>
      <c r="G959" s="32">
        <v>250989</v>
      </c>
      <c r="H959" s="32">
        <v>0</v>
      </c>
      <c r="I959" s="32">
        <v>1845165</v>
      </c>
      <c r="J959" s="35">
        <f>+G959-H959+I959</f>
        <v>2096154</v>
      </c>
      <c r="K959" s="28">
        <v>0</v>
      </c>
      <c r="L959" s="32">
        <v>0</v>
      </c>
      <c r="M959" s="35">
        <f>+J959+L959</f>
        <v>2096154</v>
      </c>
      <c r="N959" s="28" t="s">
        <v>1537</v>
      </c>
      <c r="O959" s="29" t="s">
        <v>1538</v>
      </c>
      <c r="P959" s="36">
        <v>43914</v>
      </c>
      <c r="Q959" s="31">
        <v>28331.86</v>
      </c>
      <c r="R959" s="33">
        <f>M959/Q959</f>
        <v>73.985753141516298</v>
      </c>
    </row>
    <row r="960" spans="1:18" s="30" customFormat="1" ht="15" customHeight="1">
      <c r="A960" s="37" t="s">
        <v>356</v>
      </c>
      <c r="B960" s="26" t="s">
        <v>1540</v>
      </c>
      <c r="C960" s="39">
        <v>227</v>
      </c>
      <c r="D960" s="40" t="s">
        <v>1634</v>
      </c>
      <c r="E960" s="38" t="s">
        <v>3</v>
      </c>
      <c r="F960" s="38" t="s">
        <v>11</v>
      </c>
      <c r="G960" s="32">
        <v>8095381</v>
      </c>
      <c r="H960" s="32">
        <v>40104</v>
      </c>
      <c r="I960" s="52">
        <v>0</v>
      </c>
      <c r="J960" s="35">
        <f>+G960-H960+I960</f>
        <v>8055277</v>
      </c>
      <c r="K960" s="28">
        <v>0</v>
      </c>
      <c r="L960" s="32">
        <v>0</v>
      </c>
      <c r="M960" s="35">
        <f>+J960+L960</f>
        <v>8055277</v>
      </c>
      <c r="N960" s="28" t="s">
        <v>1603</v>
      </c>
      <c r="O960" s="29" t="s">
        <v>1543</v>
      </c>
      <c r="P960" s="36">
        <v>43384</v>
      </c>
      <c r="Q960" s="31">
        <v>27379.14</v>
      </c>
      <c r="R960" s="33">
        <f>M960/Q960</f>
        <v>294.21219950663169</v>
      </c>
    </row>
    <row r="961" spans="1:18" s="30" customFormat="1" ht="15" customHeight="1">
      <c r="A961" s="37" t="s">
        <v>293</v>
      </c>
      <c r="B961" s="26" t="s">
        <v>294</v>
      </c>
      <c r="C961" s="39">
        <v>226</v>
      </c>
      <c r="D961" s="40" t="s">
        <v>1635</v>
      </c>
      <c r="E961" s="38" t="s">
        <v>3</v>
      </c>
      <c r="F961" s="38" t="s">
        <v>12</v>
      </c>
      <c r="G961" s="32">
        <v>604945</v>
      </c>
      <c r="H961" s="32">
        <v>0</v>
      </c>
      <c r="I961" s="32">
        <v>1561294</v>
      </c>
      <c r="J961" s="35">
        <f>+G961-H961+I961</f>
        <v>2166239</v>
      </c>
      <c r="K961" s="28">
        <v>0</v>
      </c>
      <c r="L961" s="32">
        <v>0</v>
      </c>
      <c r="M961" s="35">
        <f>+J961+L961</f>
        <v>2166239</v>
      </c>
      <c r="N961" s="28" t="s">
        <v>1537</v>
      </c>
      <c r="O961" s="29" t="s">
        <v>1538</v>
      </c>
      <c r="P961" s="36">
        <v>43914</v>
      </c>
      <c r="Q961" s="31">
        <v>28331.86</v>
      </c>
      <c r="R961" s="33">
        <f>M961/Q961</f>
        <v>76.459470010087585</v>
      </c>
    </row>
    <row r="962" spans="1:18" s="30" customFormat="1" ht="15" customHeight="1">
      <c r="A962" s="37" t="s">
        <v>293</v>
      </c>
      <c r="B962" s="26" t="s">
        <v>294</v>
      </c>
      <c r="C962" s="39">
        <v>225</v>
      </c>
      <c r="D962" s="40" t="s">
        <v>1636</v>
      </c>
      <c r="E962" s="38" t="s">
        <v>3</v>
      </c>
      <c r="F962" s="38" t="s">
        <v>12</v>
      </c>
      <c r="G962" s="32">
        <v>203661</v>
      </c>
      <c r="H962" s="32">
        <v>0</v>
      </c>
      <c r="I962" s="32">
        <v>1667745</v>
      </c>
      <c r="J962" s="35">
        <f>+G962-H962+I962</f>
        <v>1871406</v>
      </c>
      <c r="K962" s="28">
        <v>0</v>
      </c>
      <c r="L962" s="32">
        <v>0</v>
      </c>
      <c r="M962" s="35">
        <f>+J962+L962</f>
        <v>1871406</v>
      </c>
      <c r="N962" s="28" t="s">
        <v>1537</v>
      </c>
      <c r="O962" s="29" t="s">
        <v>1538</v>
      </c>
      <c r="P962" s="36">
        <v>43914</v>
      </c>
      <c r="Q962" s="31">
        <v>28331.86</v>
      </c>
      <c r="R962" s="33">
        <f>M962/Q962</f>
        <v>66.053058288442756</v>
      </c>
    </row>
    <row r="963" spans="1:18" s="30" customFormat="1" ht="15" customHeight="1">
      <c r="A963" s="37" t="s">
        <v>293</v>
      </c>
      <c r="B963" s="26" t="s">
        <v>294</v>
      </c>
      <c r="C963" s="39">
        <v>224</v>
      </c>
      <c r="D963" s="40" t="s">
        <v>1637</v>
      </c>
      <c r="E963" s="38" t="s">
        <v>3</v>
      </c>
      <c r="F963" s="38" t="s">
        <v>12</v>
      </c>
      <c r="G963" s="32">
        <v>304100</v>
      </c>
      <c r="H963" s="32">
        <v>0</v>
      </c>
      <c r="I963" s="32">
        <v>1809681</v>
      </c>
      <c r="J963" s="35">
        <f>+G963-H963+I963</f>
        <v>2113781</v>
      </c>
      <c r="K963" s="28">
        <v>0</v>
      </c>
      <c r="L963" s="32">
        <v>0</v>
      </c>
      <c r="M963" s="35">
        <f>+J963+L963</f>
        <v>2113781</v>
      </c>
      <c r="N963" s="28" t="s">
        <v>1537</v>
      </c>
      <c r="O963" s="29" t="s">
        <v>1538</v>
      </c>
      <c r="P963" s="36">
        <v>43914</v>
      </c>
      <c r="Q963" s="31">
        <v>28331.86</v>
      </c>
      <c r="R963" s="33">
        <f>M963/Q963</f>
        <v>74.607914905692738</v>
      </c>
    </row>
    <row r="964" spans="1:18" s="30" customFormat="1" ht="15" customHeight="1">
      <c r="A964" s="37" t="s">
        <v>356</v>
      </c>
      <c r="B964" s="26" t="s">
        <v>1540</v>
      </c>
      <c r="C964" s="39">
        <v>224</v>
      </c>
      <c r="D964" s="40" t="s">
        <v>1638</v>
      </c>
      <c r="E964" s="38" t="s">
        <v>198</v>
      </c>
      <c r="F964" s="38" t="s">
        <v>11</v>
      </c>
      <c r="G964" s="32">
        <v>8521480</v>
      </c>
      <c r="H964" s="32">
        <v>56063</v>
      </c>
      <c r="I964" s="52">
        <v>0</v>
      </c>
      <c r="J964" s="35">
        <f>+G964-H964+I964</f>
        <v>8465417</v>
      </c>
      <c r="K964" s="28">
        <v>0</v>
      </c>
      <c r="L964" s="32">
        <v>0</v>
      </c>
      <c r="M964" s="35">
        <f>+J964+L964</f>
        <v>8465417</v>
      </c>
      <c r="N964" s="28" t="s">
        <v>1632</v>
      </c>
      <c r="O964" s="29" t="s">
        <v>1543</v>
      </c>
      <c r="P964" s="36">
        <v>43336</v>
      </c>
      <c r="Q964" s="31">
        <v>27262.98</v>
      </c>
      <c r="R964" s="33">
        <f>M964/Q964</f>
        <v>310.50959946418186</v>
      </c>
    </row>
    <row r="965" spans="1:18" s="30" customFormat="1" ht="15" customHeight="1">
      <c r="A965" s="37" t="s">
        <v>293</v>
      </c>
      <c r="B965" s="26" t="s">
        <v>294</v>
      </c>
      <c r="C965" s="39">
        <v>223</v>
      </c>
      <c r="D965" s="40" t="s">
        <v>1639</v>
      </c>
      <c r="E965" s="38" t="s">
        <v>3</v>
      </c>
      <c r="F965" s="38" t="s">
        <v>12</v>
      </c>
      <c r="G965" s="32">
        <v>1301075</v>
      </c>
      <c r="H965" s="32">
        <v>2376565</v>
      </c>
      <c r="I965" s="52">
        <v>0</v>
      </c>
      <c r="J965" s="35">
        <f>+G965-H965+I965</f>
        <v>-1075490</v>
      </c>
      <c r="K965" s="28">
        <v>0</v>
      </c>
      <c r="L965" s="32">
        <v>0</v>
      </c>
      <c r="M965" s="35">
        <f>+J965+L965</f>
        <v>-1075490</v>
      </c>
      <c r="N965" s="28" t="s">
        <v>1537</v>
      </c>
      <c r="O965" s="29" t="s">
        <v>1538</v>
      </c>
      <c r="P965" s="36">
        <v>43914</v>
      </c>
      <c r="Q965" s="31">
        <v>28331.86</v>
      </c>
      <c r="R965" s="33">
        <f>M965/Q965</f>
        <v>-37.960444531350923</v>
      </c>
    </row>
    <row r="966" spans="1:18" s="30" customFormat="1" ht="15" customHeight="1">
      <c r="A966" s="37" t="s">
        <v>356</v>
      </c>
      <c r="B966" s="26" t="s">
        <v>1540</v>
      </c>
      <c r="C966" s="39">
        <v>223</v>
      </c>
      <c r="D966" s="40" t="s">
        <v>1640</v>
      </c>
      <c r="E966" s="38" t="s">
        <v>198</v>
      </c>
      <c r="F966" s="38" t="s">
        <v>21</v>
      </c>
      <c r="G966" s="32">
        <v>3922711</v>
      </c>
      <c r="H966" s="32">
        <v>0</v>
      </c>
      <c r="I966" s="52">
        <v>0</v>
      </c>
      <c r="J966" s="35">
        <f>+G966-H966+I966</f>
        <v>3922711</v>
      </c>
      <c r="K966" s="28">
        <v>0</v>
      </c>
      <c r="L966" s="32">
        <v>0</v>
      </c>
      <c r="M966" s="35">
        <f>+J966+L966</f>
        <v>3922711</v>
      </c>
      <c r="N966" s="28" t="s">
        <v>1632</v>
      </c>
      <c r="O966" s="29" t="s">
        <v>1543</v>
      </c>
      <c r="P966" s="36">
        <v>43336</v>
      </c>
      <c r="Q966" s="31">
        <v>27262.98</v>
      </c>
      <c r="R966" s="33">
        <f>M966/Q966</f>
        <v>143.88416086576009</v>
      </c>
    </row>
    <row r="967" spans="1:18" s="30" customFormat="1" ht="15" customHeight="1">
      <c r="A967" s="37" t="s">
        <v>293</v>
      </c>
      <c r="B967" s="26" t="s">
        <v>294</v>
      </c>
      <c r="C967" s="39">
        <v>602</v>
      </c>
      <c r="D967" s="40" t="s">
        <v>1641</v>
      </c>
      <c r="E967" s="38" t="s">
        <v>3</v>
      </c>
      <c r="F967" s="38" t="s">
        <v>678</v>
      </c>
      <c r="G967" s="32">
        <v>1324036</v>
      </c>
      <c r="H967" s="32">
        <v>216753</v>
      </c>
      <c r="I967" s="32">
        <v>428688</v>
      </c>
      <c r="J967" s="35">
        <f>+G967-H967+I967</f>
        <v>1535971</v>
      </c>
      <c r="K967" s="27" t="s">
        <v>401</v>
      </c>
      <c r="L967" s="32">
        <v>0</v>
      </c>
      <c r="M967" s="35">
        <f>+J967+L967</f>
        <v>1535971</v>
      </c>
      <c r="N967" s="55" t="s">
        <v>402</v>
      </c>
      <c r="O967" s="56" t="s">
        <v>403</v>
      </c>
      <c r="P967" s="56">
        <v>44524</v>
      </c>
      <c r="Q967" s="49">
        <v>30683.439999999999</v>
      </c>
      <c r="R967" s="57">
        <f>+M967/Q967</f>
        <v>50.058630974884174</v>
      </c>
    </row>
    <row r="968" spans="1:18" ht="15" customHeight="1">
      <c r="A968" s="37" t="s">
        <v>293</v>
      </c>
      <c r="B968" s="26" t="s">
        <v>294</v>
      </c>
      <c r="C968" s="39">
        <v>222</v>
      </c>
      <c r="D968" s="40" t="s">
        <v>1642</v>
      </c>
      <c r="E968" s="38" t="s">
        <v>3</v>
      </c>
      <c r="F968" s="38" t="s">
        <v>13</v>
      </c>
      <c r="G968" s="32">
        <v>3880208</v>
      </c>
      <c r="H968" s="32">
        <v>0</v>
      </c>
      <c r="I968" s="52">
        <v>0</v>
      </c>
      <c r="J968" s="35">
        <f>+G968-H968+I968</f>
        <v>3880208</v>
      </c>
      <c r="K968" s="28">
        <v>0</v>
      </c>
      <c r="L968" s="32">
        <v>0</v>
      </c>
      <c r="M968" s="35">
        <f>+J968+L968</f>
        <v>3880208</v>
      </c>
      <c r="N968" s="28" t="s">
        <v>1567</v>
      </c>
      <c r="O968" s="29" t="s">
        <v>1568</v>
      </c>
      <c r="P968" s="36">
        <v>43886</v>
      </c>
      <c r="Q968" s="31">
        <v>28440.19</v>
      </c>
      <c r="R968" s="33">
        <f>M968/Q968</f>
        <v>136.43396897137467</v>
      </c>
    </row>
    <row r="969" spans="1:18" ht="15" customHeight="1">
      <c r="A969" s="37" t="s">
        <v>293</v>
      </c>
      <c r="B969" s="26" t="s">
        <v>294</v>
      </c>
      <c r="C969" s="39">
        <v>220</v>
      </c>
      <c r="D969" s="40" t="s">
        <v>1643</v>
      </c>
      <c r="E969" s="38" t="s">
        <v>3</v>
      </c>
      <c r="F969" s="38" t="s">
        <v>13</v>
      </c>
      <c r="G969" s="32">
        <v>612083</v>
      </c>
      <c r="H969" s="32">
        <v>139126</v>
      </c>
      <c r="I969" s="52">
        <v>0</v>
      </c>
      <c r="J969" s="35">
        <f>+G969-H969+I969</f>
        <v>472957</v>
      </c>
      <c r="K969" s="28">
        <v>0</v>
      </c>
      <c r="L969" s="32">
        <v>0</v>
      </c>
      <c r="M969" s="35">
        <f>+J969+L969</f>
        <v>472957</v>
      </c>
      <c r="N969" s="28" t="s">
        <v>1567</v>
      </c>
      <c r="O969" s="29" t="s">
        <v>1568</v>
      </c>
      <c r="P969" s="36">
        <v>43886</v>
      </c>
      <c r="Q969" s="31">
        <v>28440.19</v>
      </c>
      <c r="R969" s="33">
        <f>M969/Q969</f>
        <v>16.629881867877817</v>
      </c>
    </row>
    <row r="970" spans="1:18" ht="15" customHeight="1">
      <c r="A970" s="37" t="s">
        <v>356</v>
      </c>
      <c r="B970" s="26" t="s">
        <v>1540</v>
      </c>
      <c r="C970" s="39">
        <v>220</v>
      </c>
      <c r="D970" s="40" t="s">
        <v>1644</v>
      </c>
      <c r="E970" s="38" t="s">
        <v>198</v>
      </c>
      <c r="F970" s="38" t="s">
        <v>11</v>
      </c>
      <c r="G970" s="32">
        <v>1186473</v>
      </c>
      <c r="H970" s="32">
        <v>0</v>
      </c>
      <c r="I970" s="52">
        <v>0</v>
      </c>
      <c r="J970" s="35">
        <f>+G970-H970+I970</f>
        <v>1186473</v>
      </c>
      <c r="K970" s="28">
        <v>0</v>
      </c>
      <c r="L970" s="32">
        <v>0</v>
      </c>
      <c r="M970" s="35">
        <f>+J970+L970</f>
        <v>1186473</v>
      </c>
      <c r="N970" s="28" t="s">
        <v>1632</v>
      </c>
      <c r="O970" s="29" t="s">
        <v>1543</v>
      </c>
      <c r="P970" s="36">
        <v>43336</v>
      </c>
      <c r="Q970" s="31">
        <v>27262.98</v>
      </c>
      <c r="R970" s="33">
        <f>M970/Q970</f>
        <v>43.519563892135047</v>
      </c>
    </row>
    <row r="971" spans="1:18" ht="15" customHeight="1">
      <c r="A971" s="37" t="s">
        <v>293</v>
      </c>
      <c r="B971" s="26" t="s">
        <v>294</v>
      </c>
      <c r="C971" s="39">
        <v>219</v>
      </c>
      <c r="D971" s="40" t="s">
        <v>1645</v>
      </c>
      <c r="E971" s="38" t="s">
        <v>3</v>
      </c>
      <c r="F971" s="38" t="s">
        <v>13</v>
      </c>
      <c r="G971" s="32">
        <v>612083</v>
      </c>
      <c r="H971" s="32">
        <v>139126</v>
      </c>
      <c r="I971" s="52">
        <v>0</v>
      </c>
      <c r="J971" s="35">
        <f>+G971-H971+I971</f>
        <v>472957</v>
      </c>
      <c r="K971" s="28">
        <v>0</v>
      </c>
      <c r="L971" s="32">
        <v>0</v>
      </c>
      <c r="M971" s="35">
        <f>+J971+L971</f>
        <v>472957</v>
      </c>
      <c r="N971" s="28" t="s">
        <v>1567</v>
      </c>
      <c r="O971" s="29" t="s">
        <v>1568</v>
      </c>
      <c r="P971" s="36">
        <v>43886</v>
      </c>
      <c r="Q971" s="31">
        <v>28440.19</v>
      </c>
      <c r="R971" s="33">
        <f>M971/Q971</f>
        <v>16.629881867877817</v>
      </c>
    </row>
    <row r="972" spans="1:18" ht="15" customHeight="1">
      <c r="A972" s="37" t="s">
        <v>293</v>
      </c>
      <c r="B972" s="26" t="s">
        <v>294</v>
      </c>
      <c r="C972" s="39">
        <v>218</v>
      </c>
      <c r="D972" s="40" t="s">
        <v>1646</v>
      </c>
      <c r="E972" s="38" t="s">
        <v>3</v>
      </c>
      <c r="F972" s="38" t="s">
        <v>13</v>
      </c>
      <c r="G972" s="32">
        <v>10668145</v>
      </c>
      <c r="H972" s="32">
        <v>0</v>
      </c>
      <c r="I972" s="52">
        <v>0</v>
      </c>
      <c r="J972" s="35">
        <f>+G972-H972+I972</f>
        <v>10668145</v>
      </c>
      <c r="K972" s="28">
        <v>0</v>
      </c>
      <c r="L972" s="32">
        <v>0</v>
      </c>
      <c r="M972" s="35">
        <f>+J972+L972</f>
        <v>10668145</v>
      </c>
      <c r="N972" s="28" t="s">
        <v>1567</v>
      </c>
      <c r="O972" s="29" t="s">
        <v>1568</v>
      </c>
      <c r="P972" s="36">
        <v>43886</v>
      </c>
      <c r="Q972" s="31">
        <v>28440.19</v>
      </c>
      <c r="R972" s="33">
        <f>M972/Q972</f>
        <v>375.10807768865118</v>
      </c>
    </row>
    <row r="973" spans="1:18" ht="15" customHeight="1">
      <c r="A973" s="37" t="s">
        <v>356</v>
      </c>
      <c r="B973" s="26" t="s">
        <v>1540</v>
      </c>
      <c r="C973" s="39">
        <v>218</v>
      </c>
      <c r="D973" s="40" t="s">
        <v>1624</v>
      </c>
      <c r="E973" s="38" t="s">
        <v>3</v>
      </c>
      <c r="F973" s="38" t="s">
        <v>21</v>
      </c>
      <c r="G973" s="32">
        <v>2315529</v>
      </c>
      <c r="H973" s="32">
        <v>0</v>
      </c>
      <c r="I973" s="52">
        <v>0</v>
      </c>
      <c r="J973" s="35">
        <f>+G973-H973+I973</f>
        <v>2315529</v>
      </c>
      <c r="K973" s="28">
        <v>0</v>
      </c>
      <c r="L973" s="32">
        <v>0</v>
      </c>
      <c r="M973" s="35">
        <f>+J973+L973</f>
        <v>2315529</v>
      </c>
      <c r="N973" s="28" t="s">
        <v>1603</v>
      </c>
      <c r="O973" s="29" t="s">
        <v>1543</v>
      </c>
      <c r="P973" s="36">
        <v>43384</v>
      </c>
      <c r="Q973" s="31">
        <v>27379.14</v>
      </c>
      <c r="R973" s="33">
        <f>M973/Q973</f>
        <v>84.572744067198613</v>
      </c>
    </row>
    <row r="974" spans="1:18" ht="15" customHeight="1">
      <c r="A974" s="37" t="s">
        <v>293</v>
      </c>
      <c r="B974" s="26" t="s">
        <v>294</v>
      </c>
      <c r="C974" s="39">
        <v>217</v>
      </c>
      <c r="D974" s="40" t="s">
        <v>1647</v>
      </c>
      <c r="E974" s="38" t="s">
        <v>3</v>
      </c>
      <c r="F974" s="38" t="s">
        <v>13</v>
      </c>
      <c r="G974" s="32">
        <v>1221185</v>
      </c>
      <c r="H974" s="32">
        <v>0</v>
      </c>
      <c r="I974" s="52">
        <v>0</v>
      </c>
      <c r="J974" s="35">
        <f>+G974-H974+I974</f>
        <v>1221185</v>
      </c>
      <c r="K974" s="28">
        <v>0</v>
      </c>
      <c r="L974" s="32">
        <v>0</v>
      </c>
      <c r="M974" s="35">
        <f>+J974+L974</f>
        <v>1221185</v>
      </c>
      <c r="N974" s="28" t="s">
        <v>1567</v>
      </c>
      <c r="O974" s="29" t="s">
        <v>1568</v>
      </c>
      <c r="P974" s="36">
        <v>43886</v>
      </c>
      <c r="Q974" s="31">
        <v>28440.19</v>
      </c>
      <c r="R974" s="33">
        <f>M974/Q974</f>
        <v>42.938707512150941</v>
      </c>
    </row>
    <row r="975" spans="1:18" ht="15" customHeight="1">
      <c r="A975" s="37" t="s">
        <v>356</v>
      </c>
      <c r="B975" s="26" t="s">
        <v>1540</v>
      </c>
      <c r="C975" s="39">
        <v>217</v>
      </c>
      <c r="D975" s="40" t="s">
        <v>1648</v>
      </c>
      <c r="E975" s="38" t="s">
        <v>3</v>
      </c>
      <c r="F975" s="38" t="s">
        <v>11</v>
      </c>
      <c r="G975" s="32">
        <v>4684716</v>
      </c>
      <c r="H975" s="32">
        <v>4178890</v>
      </c>
      <c r="I975" s="52">
        <v>0</v>
      </c>
      <c r="J975" s="35">
        <f>+G975-H975+I975</f>
        <v>505826</v>
      </c>
      <c r="K975" s="28">
        <v>0</v>
      </c>
      <c r="L975" s="32">
        <v>0</v>
      </c>
      <c r="M975" s="35">
        <f>+J975+L975</f>
        <v>505826</v>
      </c>
      <c r="N975" s="28" t="s">
        <v>1603</v>
      </c>
      <c r="O975" s="29" t="s">
        <v>1543</v>
      </c>
      <c r="P975" s="36">
        <v>43384</v>
      </c>
      <c r="Q975" s="31">
        <v>27379.14</v>
      </c>
      <c r="R975" s="33">
        <f>M975/Q975</f>
        <v>18.474868093008034</v>
      </c>
    </row>
    <row r="976" spans="1:18" ht="15" customHeight="1">
      <c r="A976" s="37" t="s">
        <v>293</v>
      </c>
      <c r="B976" s="26" t="s">
        <v>294</v>
      </c>
      <c r="C976" s="39">
        <v>216</v>
      </c>
      <c r="D976" s="40" t="s">
        <v>1649</v>
      </c>
      <c r="E976" s="38" t="s">
        <v>3</v>
      </c>
      <c r="F976" s="38" t="s">
        <v>13</v>
      </c>
      <c r="G976" s="32">
        <v>1395566</v>
      </c>
      <c r="H976" s="32">
        <v>1492598</v>
      </c>
      <c r="I976" s="52">
        <v>0</v>
      </c>
      <c r="J976" s="35">
        <f>+G976-H976+I976</f>
        <v>-97032</v>
      </c>
      <c r="K976" s="28">
        <v>0</v>
      </c>
      <c r="L976" s="32">
        <v>0</v>
      </c>
      <c r="M976" s="35">
        <f>+J976+L976</f>
        <v>-97032</v>
      </c>
      <c r="N976" s="28" t="s">
        <v>1567</v>
      </c>
      <c r="O976" s="29" t="s">
        <v>1568</v>
      </c>
      <c r="P976" s="36">
        <v>43886</v>
      </c>
      <c r="Q976" s="31">
        <v>28440.19</v>
      </c>
      <c r="R976" s="33">
        <f>M976/Q976</f>
        <v>-3.4117915527287268</v>
      </c>
    </row>
    <row r="977" spans="1:18" ht="15" customHeight="1">
      <c r="A977" s="37" t="s">
        <v>356</v>
      </c>
      <c r="B977" s="26" t="s">
        <v>1540</v>
      </c>
      <c r="C977" s="39">
        <v>216</v>
      </c>
      <c r="D977" s="40" t="s">
        <v>1650</v>
      </c>
      <c r="E977" s="38" t="s">
        <v>4</v>
      </c>
      <c r="F977" s="38" t="s">
        <v>10</v>
      </c>
      <c r="G977" s="32">
        <v>1514732</v>
      </c>
      <c r="H977" s="32">
        <v>36674</v>
      </c>
      <c r="I977" s="52">
        <v>0</v>
      </c>
      <c r="J977" s="35">
        <f>+G977-H977+I977</f>
        <v>1478058</v>
      </c>
      <c r="K977" s="28">
        <v>0</v>
      </c>
      <c r="L977" s="32">
        <v>0</v>
      </c>
      <c r="M977" s="35">
        <f>+J977+L977</f>
        <v>1478058</v>
      </c>
      <c r="N977" s="28" t="s">
        <v>1632</v>
      </c>
      <c r="O977" s="29" t="s">
        <v>1543</v>
      </c>
      <c r="P977" s="36">
        <v>43336</v>
      </c>
      <c r="Q977" s="31">
        <v>27262.98</v>
      </c>
      <c r="R977" s="33">
        <f>M977/Q977</f>
        <v>54.214836382523117</v>
      </c>
    </row>
    <row r="978" spans="1:18" ht="15" customHeight="1">
      <c r="A978" s="37" t="s">
        <v>293</v>
      </c>
      <c r="B978" s="26" t="s">
        <v>294</v>
      </c>
      <c r="C978" s="39">
        <v>215</v>
      </c>
      <c r="D978" s="40" t="s">
        <v>1651</v>
      </c>
      <c r="E978" s="38" t="s">
        <v>3</v>
      </c>
      <c r="F978" s="38" t="s">
        <v>13</v>
      </c>
      <c r="G978" s="32">
        <v>5250065</v>
      </c>
      <c r="H978" s="32">
        <v>4981027</v>
      </c>
      <c r="I978" s="52">
        <v>0</v>
      </c>
      <c r="J978" s="35">
        <f>+G978-H978+I978</f>
        <v>269038</v>
      </c>
      <c r="K978" s="28">
        <v>0</v>
      </c>
      <c r="L978" s="32">
        <v>0</v>
      </c>
      <c r="M978" s="35">
        <f>+J978+L978</f>
        <v>269038</v>
      </c>
      <c r="N978" s="28" t="s">
        <v>1567</v>
      </c>
      <c r="O978" s="29" t="s">
        <v>1568</v>
      </c>
      <c r="P978" s="36">
        <v>43886</v>
      </c>
      <c r="Q978" s="31">
        <v>28440.19</v>
      </c>
      <c r="R978" s="33">
        <f>M978/Q978</f>
        <v>9.4597820900633938</v>
      </c>
    </row>
    <row r="979" spans="1:18" ht="15" customHeight="1">
      <c r="A979" s="37" t="s">
        <v>293</v>
      </c>
      <c r="B979" s="26" t="s">
        <v>294</v>
      </c>
      <c r="C979" s="39">
        <v>214</v>
      </c>
      <c r="D979" s="40" t="s">
        <v>1652</v>
      </c>
      <c r="E979" s="38" t="s">
        <v>3</v>
      </c>
      <c r="F979" s="38" t="s">
        <v>18</v>
      </c>
      <c r="G979" s="32">
        <v>120525</v>
      </c>
      <c r="H979" s="32">
        <v>0</v>
      </c>
      <c r="I979" s="32">
        <v>672492</v>
      </c>
      <c r="J979" s="35">
        <f>+G979-H979+I979</f>
        <v>793017</v>
      </c>
      <c r="K979" s="28">
        <v>0</v>
      </c>
      <c r="L979" s="32">
        <v>0</v>
      </c>
      <c r="M979" s="35">
        <f>+J979+L979</f>
        <v>793017</v>
      </c>
      <c r="N979" s="28" t="s">
        <v>1537</v>
      </c>
      <c r="O979" s="29" t="s">
        <v>1538</v>
      </c>
      <c r="P979" s="36">
        <v>43914</v>
      </c>
      <c r="Q979" s="31">
        <v>28331.86</v>
      </c>
      <c r="R979" s="33">
        <f>M979/Q979</f>
        <v>27.990290789238689</v>
      </c>
    </row>
    <row r="980" spans="1:18" ht="15" customHeight="1">
      <c r="A980" s="37" t="s">
        <v>293</v>
      </c>
      <c r="B980" s="26" t="s">
        <v>294</v>
      </c>
      <c r="C980" s="39">
        <v>213</v>
      </c>
      <c r="D980" s="40" t="s">
        <v>1653</v>
      </c>
      <c r="E980" s="38" t="s">
        <v>6</v>
      </c>
      <c r="F980" s="38" t="s">
        <v>18</v>
      </c>
      <c r="G980" s="32">
        <v>4301447</v>
      </c>
      <c r="H980" s="32">
        <v>0</v>
      </c>
      <c r="I980" s="32">
        <v>10087378</v>
      </c>
      <c r="J980" s="35">
        <f>+G980-H980+I980</f>
        <v>14388825</v>
      </c>
      <c r="K980" s="28">
        <v>0</v>
      </c>
      <c r="L980" s="32">
        <v>0</v>
      </c>
      <c r="M980" s="35">
        <f>+J980+L980</f>
        <v>14388825</v>
      </c>
      <c r="N980" s="28" t="s">
        <v>1537</v>
      </c>
      <c r="O980" s="29" t="s">
        <v>1538</v>
      </c>
      <c r="P980" s="36">
        <v>43914</v>
      </c>
      <c r="Q980" s="31">
        <v>28331.86</v>
      </c>
      <c r="R980" s="33">
        <f>M980/Q980</f>
        <v>507.86729145209665</v>
      </c>
    </row>
    <row r="981" spans="1:18" ht="15" customHeight="1">
      <c r="A981" s="37" t="s">
        <v>293</v>
      </c>
      <c r="B981" s="26" t="s">
        <v>294</v>
      </c>
      <c r="C981" s="39">
        <v>212</v>
      </c>
      <c r="D981" s="40" t="s">
        <v>1654</v>
      </c>
      <c r="E981" s="38" t="s">
        <v>3</v>
      </c>
      <c r="F981" s="38" t="s">
        <v>20</v>
      </c>
      <c r="G981" s="32">
        <v>25236394</v>
      </c>
      <c r="H981" s="32">
        <v>567134</v>
      </c>
      <c r="I981" s="52">
        <v>0</v>
      </c>
      <c r="J981" s="35">
        <f>+G981-H981+I981</f>
        <v>24669260</v>
      </c>
      <c r="K981" s="28">
        <v>0</v>
      </c>
      <c r="L981" s="32">
        <v>0</v>
      </c>
      <c r="M981" s="35">
        <f>+J981+L981</f>
        <v>24669260</v>
      </c>
      <c r="N981" s="28" t="s">
        <v>1537</v>
      </c>
      <c r="O981" s="29" t="s">
        <v>1538</v>
      </c>
      <c r="P981" s="36">
        <v>43914</v>
      </c>
      <c r="Q981" s="31">
        <v>28331.86</v>
      </c>
      <c r="R981" s="33">
        <f>M981/Q981</f>
        <v>870.72504240808757</v>
      </c>
    </row>
    <row r="982" spans="1:18" ht="15" customHeight="1">
      <c r="A982" s="37" t="s">
        <v>293</v>
      </c>
      <c r="B982" s="26" t="s">
        <v>294</v>
      </c>
      <c r="C982" s="39">
        <v>211</v>
      </c>
      <c r="D982" s="40" t="s">
        <v>1655</v>
      </c>
      <c r="E982" s="38" t="s">
        <v>3</v>
      </c>
      <c r="F982" s="38" t="s">
        <v>20</v>
      </c>
      <c r="G982" s="32">
        <v>13595046</v>
      </c>
      <c r="H982" s="32">
        <v>0</v>
      </c>
      <c r="I982" s="52">
        <v>0</v>
      </c>
      <c r="J982" s="35">
        <f>+G982-H982+I982</f>
        <v>13595046</v>
      </c>
      <c r="K982" s="28">
        <v>0</v>
      </c>
      <c r="L982" s="32">
        <v>0</v>
      </c>
      <c r="M982" s="35">
        <f>+J982+L982</f>
        <v>13595046</v>
      </c>
      <c r="N982" s="28" t="s">
        <v>1537</v>
      </c>
      <c r="O982" s="29" t="s">
        <v>1538</v>
      </c>
      <c r="P982" s="36">
        <v>43914</v>
      </c>
      <c r="Q982" s="31">
        <v>28331.86</v>
      </c>
      <c r="R982" s="33">
        <f>M982/Q982</f>
        <v>479.85010514664407</v>
      </c>
    </row>
    <row r="983" spans="1:18" ht="15" customHeight="1">
      <c r="A983" s="37" t="s">
        <v>293</v>
      </c>
      <c r="B983" s="26" t="s">
        <v>294</v>
      </c>
      <c r="C983" s="39">
        <v>210</v>
      </c>
      <c r="D983" s="40" t="s">
        <v>1656</v>
      </c>
      <c r="E983" s="38" t="s">
        <v>3</v>
      </c>
      <c r="F983" s="38" t="s">
        <v>20</v>
      </c>
      <c r="G983" s="32">
        <v>3467819</v>
      </c>
      <c r="H983" s="32">
        <v>0</v>
      </c>
      <c r="I983" s="52">
        <v>0</v>
      </c>
      <c r="J983" s="35">
        <f>+G983-H983+I983</f>
        <v>3467819</v>
      </c>
      <c r="K983" s="28">
        <v>0</v>
      </c>
      <c r="L983" s="32">
        <v>0</v>
      </c>
      <c r="M983" s="35">
        <f>+J983+L983</f>
        <v>3467819</v>
      </c>
      <c r="N983" s="28" t="s">
        <v>1537</v>
      </c>
      <c r="O983" s="29" t="s">
        <v>1538</v>
      </c>
      <c r="P983" s="36">
        <v>43914</v>
      </c>
      <c r="Q983" s="31">
        <v>28331.86</v>
      </c>
      <c r="R983" s="33">
        <f>M983/Q983</f>
        <v>122.39997656348719</v>
      </c>
    </row>
    <row r="984" spans="1:18" ht="15" customHeight="1">
      <c r="A984" s="37" t="s">
        <v>293</v>
      </c>
      <c r="B984" s="26" t="s">
        <v>294</v>
      </c>
      <c r="C984" s="39">
        <v>209</v>
      </c>
      <c r="D984" s="40" t="s">
        <v>1657</v>
      </c>
      <c r="E984" s="38" t="s">
        <v>3</v>
      </c>
      <c r="F984" s="38" t="s">
        <v>20</v>
      </c>
      <c r="G984" s="32">
        <v>917271</v>
      </c>
      <c r="H984" s="32">
        <v>2647431</v>
      </c>
      <c r="I984" s="52">
        <v>0</v>
      </c>
      <c r="J984" s="35">
        <f>+G984-H984+I984</f>
        <v>-1730160</v>
      </c>
      <c r="K984" s="28">
        <v>0</v>
      </c>
      <c r="L984" s="32">
        <v>0</v>
      </c>
      <c r="M984" s="35">
        <f>+J984+L984</f>
        <v>-1730160</v>
      </c>
      <c r="N984" s="28" t="s">
        <v>1537</v>
      </c>
      <c r="O984" s="29" t="s">
        <v>1538</v>
      </c>
      <c r="P984" s="36">
        <v>43914</v>
      </c>
      <c r="Q984" s="31">
        <v>28331.86</v>
      </c>
      <c r="R984" s="33">
        <f>M984/Q984</f>
        <v>-61.067646105832793</v>
      </c>
    </row>
    <row r="985" spans="1:18" ht="15" customHeight="1">
      <c r="A985" s="37" t="s">
        <v>39</v>
      </c>
      <c r="B985" s="26" t="s">
        <v>1658</v>
      </c>
      <c r="C985" s="39">
        <v>209</v>
      </c>
      <c r="D985" s="40" t="s">
        <v>1659</v>
      </c>
      <c r="E985" s="38" t="s">
        <v>4</v>
      </c>
      <c r="F985" s="38" t="s">
        <v>10</v>
      </c>
      <c r="G985" s="32">
        <v>73315066</v>
      </c>
      <c r="H985" s="32">
        <v>0</v>
      </c>
      <c r="I985" s="52">
        <v>0</v>
      </c>
      <c r="J985" s="35">
        <f>+G985-H985+I985</f>
        <v>73315066</v>
      </c>
      <c r="K985" s="28">
        <v>0</v>
      </c>
      <c r="L985" s="32">
        <v>0</v>
      </c>
      <c r="M985" s="35">
        <f>+J985+L985</f>
        <v>73315066</v>
      </c>
      <c r="N985" s="28" t="s">
        <v>1660</v>
      </c>
      <c r="O985" s="29" t="s">
        <v>1661</v>
      </c>
      <c r="P985" s="36">
        <v>43791</v>
      </c>
      <c r="Q985" s="31">
        <v>28162.42</v>
      </c>
      <c r="R985" s="33">
        <f>M985/Q985</f>
        <v>2603.2942481505497</v>
      </c>
    </row>
    <row r="986" spans="1:18" ht="15" customHeight="1">
      <c r="A986" s="37" t="s">
        <v>293</v>
      </c>
      <c r="B986" s="26" t="s">
        <v>294</v>
      </c>
      <c r="C986" s="39">
        <v>208</v>
      </c>
      <c r="D986" s="40" t="s">
        <v>1662</v>
      </c>
      <c r="E986" s="38" t="s">
        <v>3</v>
      </c>
      <c r="F986" s="38" t="s">
        <v>20</v>
      </c>
      <c r="G986" s="32">
        <v>4370986</v>
      </c>
      <c r="H986" s="32">
        <v>8719597</v>
      </c>
      <c r="I986" s="52">
        <v>0</v>
      </c>
      <c r="J986" s="35">
        <f>+G986-H986+I986</f>
        <v>-4348611</v>
      </c>
      <c r="K986" s="28">
        <v>0</v>
      </c>
      <c r="L986" s="32">
        <v>0</v>
      </c>
      <c r="M986" s="35">
        <f>+J986+L986</f>
        <v>-4348611</v>
      </c>
      <c r="N986" s="28" t="s">
        <v>1537</v>
      </c>
      <c r="O986" s="29" t="s">
        <v>1538</v>
      </c>
      <c r="P986" s="36">
        <v>43914</v>
      </c>
      <c r="Q986" s="31">
        <v>28331.86</v>
      </c>
      <c r="R986" s="33">
        <f>M986/Q986</f>
        <v>-153.48836963051491</v>
      </c>
    </row>
    <row r="987" spans="1:18" ht="15" customHeight="1">
      <c r="A987" s="37" t="s">
        <v>39</v>
      </c>
      <c r="B987" s="26" t="s">
        <v>1658</v>
      </c>
      <c r="C987" s="39">
        <v>208</v>
      </c>
      <c r="D987" s="40" t="s">
        <v>1663</v>
      </c>
      <c r="E987" s="38" t="s">
        <v>4</v>
      </c>
      <c r="F987" s="38" t="s">
        <v>11</v>
      </c>
      <c r="G987" s="32">
        <v>0</v>
      </c>
      <c r="H987" s="32">
        <v>0</v>
      </c>
      <c r="I987" s="32">
        <v>4000647</v>
      </c>
      <c r="J987" s="35">
        <f>+G987-H987+I987</f>
        <v>4000647</v>
      </c>
      <c r="K987" s="28">
        <v>0</v>
      </c>
      <c r="L987" s="32">
        <v>0</v>
      </c>
      <c r="M987" s="35">
        <f>+J987+L987</f>
        <v>4000647</v>
      </c>
      <c r="N987" s="28" t="s">
        <v>1660</v>
      </c>
      <c r="O987" s="29" t="s">
        <v>1661</v>
      </c>
      <c r="P987" s="36">
        <v>43791</v>
      </c>
      <c r="Q987" s="31">
        <v>28162.42</v>
      </c>
      <c r="R987" s="33">
        <f>M987/Q987</f>
        <v>142.05622244111126</v>
      </c>
    </row>
    <row r="988" spans="1:18" ht="15" customHeight="1">
      <c r="A988" s="37" t="s">
        <v>293</v>
      </c>
      <c r="B988" s="26" t="s">
        <v>294</v>
      </c>
      <c r="C988" s="39">
        <v>207</v>
      </c>
      <c r="D988" s="40" t="s">
        <v>1664</v>
      </c>
      <c r="E988" s="38" t="s">
        <v>3</v>
      </c>
      <c r="F988" s="38" t="s">
        <v>12</v>
      </c>
      <c r="G988" s="32">
        <v>12207920</v>
      </c>
      <c r="H988" s="32">
        <v>356120</v>
      </c>
      <c r="I988" s="32">
        <v>1135486</v>
      </c>
      <c r="J988" s="35">
        <f>+G988-H988+I988</f>
        <v>12987286</v>
      </c>
      <c r="K988" s="28">
        <v>0</v>
      </c>
      <c r="L988" s="32">
        <v>0</v>
      </c>
      <c r="M988" s="35">
        <f>+J988+L988</f>
        <v>12987286</v>
      </c>
      <c r="N988" s="28" t="s">
        <v>1537</v>
      </c>
      <c r="O988" s="29" t="s">
        <v>1538</v>
      </c>
      <c r="P988" s="36">
        <v>43914</v>
      </c>
      <c r="Q988" s="31">
        <v>28331.86</v>
      </c>
      <c r="R988" s="33">
        <f>M988/Q988</f>
        <v>458.39863672910991</v>
      </c>
    </row>
    <row r="989" spans="1:18" ht="15" customHeight="1">
      <c r="A989" s="37" t="s">
        <v>39</v>
      </c>
      <c r="B989" s="26" t="s">
        <v>1658</v>
      </c>
      <c r="C989" s="39">
        <v>207</v>
      </c>
      <c r="D989" s="40" t="s">
        <v>1665</v>
      </c>
      <c r="E989" s="38" t="s">
        <v>3</v>
      </c>
      <c r="F989" s="38" t="s">
        <v>12</v>
      </c>
      <c r="G989" s="32">
        <v>0</v>
      </c>
      <c r="H989" s="32">
        <v>0</v>
      </c>
      <c r="I989" s="32">
        <v>22209328</v>
      </c>
      <c r="J989" s="35">
        <f>+G989-H989+I989</f>
        <v>22209328</v>
      </c>
      <c r="K989" s="28">
        <v>0</v>
      </c>
      <c r="L989" s="32">
        <v>0</v>
      </c>
      <c r="M989" s="35">
        <f>+J989+L989</f>
        <v>22209328</v>
      </c>
      <c r="N989" s="28" t="s">
        <v>1660</v>
      </c>
      <c r="O989" s="29" t="s">
        <v>1661</v>
      </c>
      <c r="P989" s="36">
        <v>43791</v>
      </c>
      <c r="Q989" s="31">
        <v>28162.42</v>
      </c>
      <c r="R989" s="33">
        <f>M989/Q989</f>
        <v>788.61575106116595</v>
      </c>
    </row>
    <row r="990" spans="1:18" ht="15" customHeight="1">
      <c r="A990" s="37" t="s">
        <v>688</v>
      </c>
      <c r="B990" s="26" t="s">
        <v>798</v>
      </c>
      <c r="C990" s="39">
        <v>6</v>
      </c>
      <c r="D990" s="40" t="s">
        <v>1666</v>
      </c>
      <c r="E990" s="38" t="s">
        <v>3</v>
      </c>
      <c r="F990" s="38" t="s">
        <v>814</v>
      </c>
      <c r="G990" s="32">
        <v>1456228</v>
      </c>
      <c r="H990" s="32">
        <v>0</v>
      </c>
      <c r="I990" s="32">
        <v>0</v>
      </c>
      <c r="J990" s="35">
        <f>+G990-H990+I990</f>
        <v>1456228</v>
      </c>
      <c r="K990" s="27">
        <v>115</v>
      </c>
      <c r="L990" s="32">
        <v>0</v>
      </c>
      <c r="M990" s="35">
        <f>+J990+L990</f>
        <v>1456228</v>
      </c>
      <c r="N990" s="28" t="s">
        <v>1667</v>
      </c>
      <c r="O990" s="29" t="s">
        <v>1668</v>
      </c>
      <c r="P990" s="36">
        <v>45037</v>
      </c>
      <c r="Q990" s="31">
        <v>35721.120000000003</v>
      </c>
      <c r="R990" s="33">
        <f>M990/Q990</f>
        <v>40.766582906694971</v>
      </c>
    </row>
    <row r="991" spans="1:18" ht="15" customHeight="1">
      <c r="A991" s="37" t="s">
        <v>293</v>
      </c>
      <c r="B991" s="26" t="s">
        <v>294</v>
      </c>
      <c r="C991" s="39">
        <v>206</v>
      </c>
      <c r="D991" s="40" t="s">
        <v>1669</v>
      </c>
      <c r="E991" s="38" t="s">
        <v>3</v>
      </c>
      <c r="F991" s="38" t="s">
        <v>12</v>
      </c>
      <c r="G991" s="32">
        <v>13249650</v>
      </c>
      <c r="H991" s="32">
        <v>178060</v>
      </c>
      <c r="I991" s="32">
        <v>1774197</v>
      </c>
      <c r="J991" s="35">
        <f>+G991-H991+I991</f>
        <v>14845787</v>
      </c>
      <c r="K991" s="28">
        <v>0</v>
      </c>
      <c r="L991" s="32">
        <v>0</v>
      </c>
      <c r="M991" s="35">
        <f>+J991+L991</f>
        <v>14845787</v>
      </c>
      <c r="N991" s="28" t="s">
        <v>1537</v>
      </c>
      <c r="O991" s="29" t="s">
        <v>1538</v>
      </c>
      <c r="P991" s="36">
        <v>43914</v>
      </c>
      <c r="Q991" s="31">
        <v>28331.86</v>
      </c>
      <c r="R991" s="33">
        <f>M991/Q991</f>
        <v>523.99620074361508</v>
      </c>
    </row>
    <row r="992" spans="1:18" ht="15" customHeight="1">
      <c r="A992" s="37" t="s">
        <v>39</v>
      </c>
      <c r="B992" s="26" t="s">
        <v>1658</v>
      </c>
      <c r="C992" s="39">
        <v>206</v>
      </c>
      <c r="D992" s="40" t="s">
        <v>1670</v>
      </c>
      <c r="E992" s="38" t="s">
        <v>4</v>
      </c>
      <c r="F992" s="38" t="s">
        <v>13</v>
      </c>
      <c r="G992" s="32">
        <v>22865195</v>
      </c>
      <c r="H992" s="32">
        <v>0</v>
      </c>
      <c r="I992" s="52">
        <v>0</v>
      </c>
      <c r="J992" s="35">
        <f>+G992-H992+I992</f>
        <v>22865195</v>
      </c>
      <c r="K992" s="28">
        <v>0</v>
      </c>
      <c r="L992" s="32">
        <v>0</v>
      </c>
      <c r="M992" s="35">
        <f>+J992+L992</f>
        <v>22865195</v>
      </c>
      <c r="N992" s="28" t="s">
        <v>1660</v>
      </c>
      <c r="O992" s="29" t="s">
        <v>1661</v>
      </c>
      <c r="P992" s="36">
        <v>43791</v>
      </c>
      <c r="Q992" s="31">
        <v>28162.42</v>
      </c>
      <c r="R992" s="33">
        <f>M992/Q992</f>
        <v>811.90448122000885</v>
      </c>
    </row>
    <row r="993" spans="1:18" ht="15" customHeight="1">
      <c r="A993" s="37" t="s">
        <v>293</v>
      </c>
      <c r="B993" s="26" t="s">
        <v>294</v>
      </c>
      <c r="C993" s="39">
        <v>205</v>
      </c>
      <c r="D993" s="40" t="s">
        <v>1664</v>
      </c>
      <c r="E993" s="38" t="s">
        <v>3</v>
      </c>
      <c r="F993" s="38" t="s">
        <v>12</v>
      </c>
      <c r="G993" s="32">
        <v>1911068</v>
      </c>
      <c r="H993" s="32">
        <v>1239429</v>
      </c>
      <c r="I993" s="32">
        <v>89587</v>
      </c>
      <c r="J993" s="35">
        <f>+G993-H993+I993</f>
        <v>761226</v>
      </c>
      <c r="K993" s="28">
        <v>0</v>
      </c>
      <c r="L993" s="32">
        <v>0</v>
      </c>
      <c r="M993" s="35">
        <f>+J993+L993</f>
        <v>761226</v>
      </c>
      <c r="N993" s="28" t="s">
        <v>1537</v>
      </c>
      <c r="O993" s="29" t="s">
        <v>1538</v>
      </c>
      <c r="P993" s="36">
        <v>43914</v>
      </c>
      <c r="Q993" s="31">
        <v>28331.86</v>
      </c>
      <c r="R993" s="33">
        <f>M993/Q993</f>
        <v>26.868197146251603</v>
      </c>
    </row>
    <row r="994" spans="1:18" ht="15" customHeight="1">
      <c r="A994" s="37" t="s">
        <v>391</v>
      </c>
      <c r="B994" s="26" t="s">
        <v>392</v>
      </c>
      <c r="C994" s="39">
        <v>139</v>
      </c>
      <c r="D994" s="40" t="s">
        <v>1671</v>
      </c>
      <c r="E994" s="38" t="s">
        <v>3</v>
      </c>
      <c r="F994" s="38" t="s">
        <v>11</v>
      </c>
      <c r="G994" s="32">
        <v>1471414</v>
      </c>
      <c r="H994" s="32">
        <v>0</v>
      </c>
      <c r="I994" s="52">
        <v>0</v>
      </c>
      <c r="J994" s="35">
        <f>+G994-H994+I994</f>
        <v>1471414</v>
      </c>
      <c r="K994" s="27"/>
      <c r="L994" s="32">
        <v>0</v>
      </c>
      <c r="M994" s="35">
        <f>+J994+L994</f>
        <v>1471414</v>
      </c>
      <c r="N994" s="28" t="s">
        <v>481</v>
      </c>
      <c r="O994" s="29" t="s">
        <v>482</v>
      </c>
      <c r="P994" s="36">
        <v>44130</v>
      </c>
      <c r="Q994" s="31">
        <v>28810.82</v>
      </c>
      <c r="R994" s="33">
        <f>M994/Q994</f>
        <v>51.071576581298274</v>
      </c>
    </row>
    <row r="995" spans="1:18" ht="15" customHeight="1">
      <c r="A995" s="37" t="s">
        <v>391</v>
      </c>
      <c r="B995" s="26" t="s">
        <v>392</v>
      </c>
      <c r="C995" s="39">
        <v>99</v>
      </c>
      <c r="D995" s="40" t="s">
        <v>1672</v>
      </c>
      <c r="E995" s="38" t="s">
        <v>6</v>
      </c>
      <c r="F995" s="38" t="s">
        <v>11</v>
      </c>
      <c r="G995" s="32">
        <v>1475335</v>
      </c>
      <c r="H995" s="32">
        <v>0</v>
      </c>
      <c r="I995" s="52">
        <v>0</v>
      </c>
      <c r="J995" s="35">
        <f>+G995-H995+I995</f>
        <v>1475335</v>
      </c>
      <c r="K995" s="27"/>
      <c r="L995" s="32">
        <v>0</v>
      </c>
      <c r="M995" s="35">
        <f>+J995+L995</f>
        <v>1475335</v>
      </c>
      <c r="N995" s="28" t="s">
        <v>481</v>
      </c>
      <c r="O995" s="29" t="s">
        <v>482</v>
      </c>
      <c r="P995" s="36">
        <v>44130</v>
      </c>
      <c r="Q995" s="31">
        <v>28810.82</v>
      </c>
      <c r="R995" s="33">
        <f>M995/Q995</f>
        <v>51.207671284607656</v>
      </c>
    </row>
    <row r="996" spans="1:18" ht="15" customHeight="1">
      <c r="A996" s="37" t="s">
        <v>39</v>
      </c>
      <c r="B996" s="26" t="s">
        <v>1658</v>
      </c>
      <c r="C996" s="39">
        <v>205</v>
      </c>
      <c r="D996" s="40" t="s">
        <v>1673</v>
      </c>
      <c r="E996" s="38" t="s">
        <v>6</v>
      </c>
      <c r="F996" s="38" t="s">
        <v>10</v>
      </c>
      <c r="G996" s="32">
        <v>0</v>
      </c>
      <c r="H996" s="32">
        <v>0</v>
      </c>
      <c r="I996" s="32">
        <v>135582905</v>
      </c>
      <c r="J996" s="35">
        <f>+G996-H996+I996</f>
        <v>135582905</v>
      </c>
      <c r="K996" s="28">
        <v>0</v>
      </c>
      <c r="L996" s="32">
        <v>0</v>
      </c>
      <c r="M996" s="35">
        <f>+J996+L996</f>
        <v>135582905</v>
      </c>
      <c r="N996" s="28" t="s">
        <v>1660</v>
      </c>
      <c r="O996" s="29" t="s">
        <v>1661</v>
      </c>
      <c r="P996" s="36">
        <v>43791</v>
      </c>
      <c r="Q996" s="31">
        <v>28162.42</v>
      </c>
      <c r="R996" s="33">
        <f>M996/Q996</f>
        <v>4814.3201116949467</v>
      </c>
    </row>
    <row r="997" spans="1:18" ht="15" customHeight="1">
      <c r="A997" s="37" t="s">
        <v>293</v>
      </c>
      <c r="B997" s="26" t="s">
        <v>294</v>
      </c>
      <c r="C997" s="39">
        <v>204</v>
      </c>
      <c r="D997" s="40" t="s">
        <v>1674</v>
      </c>
      <c r="E997" s="38" t="s">
        <v>3</v>
      </c>
      <c r="F997" s="38" t="s">
        <v>12</v>
      </c>
      <c r="G997" s="32">
        <v>1523228</v>
      </c>
      <c r="H997" s="32">
        <v>1041578</v>
      </c>
      <c r="I997" s="32">
        <v>29164</v>
      </c>
      <c r="J997" s="35">
        <f>+G997-H997+I997</f>
        <v>510814</v>
      </c>
      <c r="K997" s="28">
        <v>0</v>
      </c>
      <c r="L997" s="32">
        <v>0</v>
      </c>
      <c r="M997" s="35">
        <f>+J997+L997</f>
        <v>510814</v>
      </c>
      <c r="N997" s="28" t="s">
        <v>1537</v>
      </c>
      <c r="O997" s="29" t="s">
        <v>1538</v>
      </c>
      <c r="P997" s="36">
        <v>43914</v>
      </c>
      <c r="Q997" s="31">
        <v>28331.86</v>
      </c>
      <c r="R997" s="33">
        <f>M997/Q997</f>
        <v>18.029666954446338</v>
      </c>
    </row>
    <row r="998" spans="1:18" ht="15" customHeight="1">
      <c r="A998" s="37" t="s">
        <v>39</v>
      </c>
      <c r="B998" s="26" t="s">
        <v>1658</v>
      </c>
      <c r="C998" s="39">
        <v>204</v>
      </c>
      <c r="D998" s="40" t="s">
        <v>974</v>
      </c>
      <c r="E998" s="38" t="s">
        <v>4</v>
      </c>
      <c r="F998" s="38" t="s">
        <v>12</v>
      </c>
      <c r="G998" s="32">
        <v>31718066</v>
      </c>
      <c r="H998" s="32">
        <v>840786</v>
      </c>
      <c r="I998" s="32">
        <v>8260988</v>
      </c>
      <c r="J998" s="35">
        <f>+G998-H998+I998</f>
        <v>39138268</v>
      </c>
      <c r="K998" s="28">
        <v>0</v>
      </c>
      <c r="L998" s="32">
        <v>0</v>
      </c>
      <c r="M998" s="35">
        <f>+J998+L998</f>
        <v>39138268</v>
      </c>
      <c r="N998" s="28" t="s">
        <v>1660</v>
      </c>
      <c r="O998" s="29" t="s">
        <v>1661</v>
      </c>
      <c r="P998" s="36">
        <v>43791</v>
      </c>
      <c r="Q998" s="31">
        <v>28162.42</v>
      </c>
      <c r="R998" s="33">
        <f>M998/Q998</f>
        <v>1389.7338367938551</v>
      </c>
    </row>
    <row r="999" spans="1:18" ht="15" customHeight="1">
      <c r="A999" s="37" t="s">
        <v>293</v>
      </c>
      <c r="B999" s="26" t="s">
        <v>294</v>
      </c>
      <c r="C999" s="39">
        <v>203</v>
      </c>
      <c r="D999" s="40" t="s">
        <v>1675</v>
      </c>
      <c r="E999" s="38" t="s">
        <v>3</v>
      </c>
      <c r="F999" s="38" t="s">
        <v>14</v>
      </c>
      <c r="G999" s="32">
        <v>0</v>
      </c>
      <c r="H999" s="32">
        <v>0</v>
      </c>
      <c r="I999" s="32">
        <v>422301</v>
      </c>
      <c r="J999" s="35">
        <f>+G999-H999+I999</f>
        <v>422301</v>
      </c>
      <c r="K999" s="28">
        <v>0</v>
      </c>
      <c r="L999" s="32">
        <v>0</v>
      </c>
      <c r="M999" s="35">
        <f>+J999+L999</f>
        <v>422301</v>
      </c>
      <c r="N999" s="28" t="s">
        <v>1567</v>
      </c>
      <c r="O999" s="29" t="s">
        <v>1568</v>
      </c>
      <c r="P999" s="36">
        <v>43886</v>
      </c>
      <c r="Q999" s="31">
        <v>28440.19</v>
      </c>
      <c r="R999" s="33">
        <f>M999/Q999</f>
        <v>14.848740462001134</v>
      </c>
    </row>
    <row r="1000" spans="1:18" ht="15" customHeight="1">
      <c r="A1000" s="37" t="s">
        <v>293</v>
      </c>
      <c r="B1000" s="26" t="s">
        <v>294</v>
      </c>
      <c r="C1000" s="39">
        <v>564</v>
      </c>
      <c r="D1000" s="40" t="s">
        <v>1676</v>
      </c>
      <c r="E1000" s="38" t="s">
        <v>3</v>
      </c>
      <c r="F1000" s="38" t="s">
        <v>20</v>
      </c>
      <c r="G1000" s="32">
        <v>1511116</v>
      </c>
      <c r="H1000" s="32">
        <v>0</v>
      </c>
      <c r="I1000" s="52">
        <v>0</v>
      </c>
      <c r="J1000" s="35">
        <f>+G1000-H1000+I1000</f>
        <v>1511116</v>
      </c>
      <c r="K1000" s="27" t="s">
        <v>297</v>
      </c>
      <c r="L1000" s="32">
        <v>0</v>
      </c>
      <c r="M1000" s="35">
        <f>+J1000+L1000</f>
        <v>1511116</v>
      </c>
      <c r="N1000" s="55" t="s">
        <v>298</v>
      </c>
      <c r="O1000" s="56" t="s">
        <v>299</v>
      </c>
      <c r="P1000" s="56">
        <v>44502</v>
      </c>
      <c r="Q1000" s="49">
        <v>30403.919999999998</v>
      </c>
      <c r="R1000" s="57">
        <f>+M1000/Q1000</f>
        <v>49.701354299050912</v>
      </c>
    </row>
    <row r="1001" spans="1:18" ht="15" customHeight="1">
      <c r="A1001" s="37" t="s">
        <v>356</v>
      </c>
      <c r="B1001" s="26" t="s">
        <v>1540</v>
      </c>
      <c r="C1001" s="39">
        <v>203</v>
      </c>
      <c r="D1001" s="40" t="s">
        <v>1677</v>
      </c>
      <c r="E1001" s="38" t="s">
        <v>3</v>
      </c>
      <c r="F1001" s="38" t="s">
        <v>10</v>
      </c>
      <c r="G1001" s="32">
        <v>354342</v>
      </c>
      <c r="H1001" s="32">
        <v>0</v>
      </c>
      <c r="I1001" s="52">
        <v>0</v>
      </c>
      <c r="J1001" s="35">
        <f>+G1001-H1001+I1001</f>
        <v>354342</v>
      </c>
      <c r="K1001" s="28">
        <v>0</v>
      </c>
      <c r="L1001" s="32">
        <v>0</v>
      </c>
      <c r="M1001" s="35">
        <f>+J1001+L1001</f>
        <v>354342</v>
      </c>
      <c r="N1001" s="28" t="s">
        <v>1632</v>
      </c>
      <c r="O1001" s="29" t="s">
        <v>1543</v>
      </c>
      <c r="P1001" s="36">
        <v>43336</v>
      </c>
      <c r="Q1001" s="31">
        <v>27262.98</v>
      </c>
      <c r="R1001" s="33">
        <f>M1001/Q1001</f>
        <v>12.997185193988331</v>
      </c>
    </row>
    <row r="1002" spans="1:18" ht="15" customHeight="1">
      <c r="A1002" s="37" t="s">
        <v>39</v>
      </c>
      <c r="B1002" s="26" t="s">
        <v>1658</v>
      </c>
      <c r="C1002" s="39">
        <v>203</v>
      </c>
      <c r="D1002" s="40" t="s">
        <v>1678</v>
      </c>
      <c r="E1002" s="38" t="s">
        <v>4</v>
      </c>
      <c r="F1002" s="38" t="s">
        <v>11</v>
      </c>
      <c r="G1002" s="32">
        <v>0</v>
      </c>
      <c r="H1002" s="32">
        <v>4372662</v>
      </c>
      <c r="I1002" s="32">
        <v>14403190</v>
      </c>
      <c r="J1002" s="35">
        <f>+G1002-H1002+I1002</f>
        <v>10030528</v>
      </c>
      <c r="K1002" s="28">
        <v>0</v>
      </c>
      <c r="L1002" s="32">
        <v>0</v>
      </c>
      <c r="M1002" s="35">
        <f>+J1002+L1002</f>
        <v>10030528</v>
      </c>
      <c r="N1002" s="28" t="s">
        <v>1660</v>
      </c>
      <c r="O1002" s="29" t="s">
        <v>1661</v>
      </c>
      <c r="P1002" s="36">
        <v>43791</v>
      </c>
      <c r="Q1002" s="31">
        <v>28162.42</v>
      </c>
      <c r="R1002" s="33">
        <f>M1002/Q1002</f>
        <v>356.16711916092441</v>
      </c>
    </row>
    <row r="1003" spans="1:18" ht="15" customHeight="1">
      <c r="A1003" s="37" t="s">
        <v>293</v>
      </c>
      <c r="B1003" s="26" t="s">
        <v>294</v>
      </c>
      <c r="C1003" s="39">
        <v>202</v>
      </c>
      <c r="D1003" s="40" t="s">
        <v>1679</v>
      </c>
      <c r="E1003" s="38" t="s">
        <v>3</v>
      </c>
      <c r="F1003" s="38" t="s">
        <v>14</v>
      </c>
      <c r="G1003" s="32">
        <v>0</v>
      </c>
      <c r="H1003" s="32">
        <v>0</v>
      </c>
      <c r="I1003" s="32">
        <v>7179117</v>
      </c>
      <c r="J1003" s="35">
        <f>+G1003-H1003+I1003</f>
        <v>7179117</v>
      </c>
      <c r="K1003" s="28">
        <v>0</v>
      </c>
      <c r="L1003" s="32">
        <v>0</v>
      </c>
      <c r="M1003" s="35">
        <f>+J1003+L1003</f>
        <v>7179117</v>
      </c>
      <c r="N1003" s="28" t="s">
        <v>1567</v>
      </c>
      <c r="O1003" s="29" t="s">
        <v>1568</v>
      </c>
      <c r="P1003" s="36">
        <v>43886</v>
      </c>
      <c r="Q1003" s="31">
        <v>28440.19</v>
      </c>
      <c r="R1003" s="33">
        <f>M1003/Q1003</f>
        <v>252.42858785401927</v>
      </c>
    </row>
    <row r="1004" spans="1:18" ht="15" customHeight="1">
      <c r="A1004" s="37" t="s">
        <v>39</v>
      </c>
      <c r="B1004" s="26" t="s">
        <v>1658</v>
      </c>
      <c r="C1004" s="39">
        <v>202</v>
      </c>
      <c r="D1004" s="40" t="s">
        <v>1680</v>
      </c>
      <c r="E1004" s="38" t="s">
        <v>4</v>
      </c>
      <c r="F1004" s="38" t="s">
        <v>12</v>
      </c>
      <c r="G1004" s="32">
        <v>12750272</v>
      </c>
      <c r="H1004" s="32">
        <v>0</v>
      </c>
      <c r="I1004" s="32">
        <v>4241565</v>
      </c>
      <c r="J1004" s="35">
        <f>+G1004-H1004+I1004</f>
        <v>16991837</v>
      </c>
      <c r="K1004" s="28">
        <v>0</v>
      </c>
      <c r="L1004" s="32">
        <v>0</v>
      </c>
      <c r="M1004" s="35">
        <f>+J1004+L1004</f>
        <v>16991837</v>
      </c>
      <c r="N1004" s="28" t="s">
        <v>1660</v>
      </c>
      <c r="O1004" s="29" t="s">
        <v>1661</v>
      </c>
      <c r="P1004" s="36">
        <v>43791</v>
      </c>
      <c r="Q1004" s="31">
        <v>28162.42</v>
      </c>
      <c r="R1004" s="33">
        <f>M1004/Q1004</f>
        <v>603.35145204140838</v>
      </c>
    </row>
    <row r="1005" spans="1:18" ht="15" customHeight="1">
      <c r="A1005" s="37" t="s">
        <v>293</v>
      </c>
      <c r="B1005" s="26" t="s">
        <v>294</v>
      </c>
      <c r="C1005" s="39">
        <v>201</v>
      </c>
      <c r="D1005" s="40" t="s">
        <v>1681</v>
      </c>
      <c r="E1005" s="38" t="s">
        <v>3</v>
      </c>
      <c r="F1005" s="38" t="s">
        <v>14</v>
      </c>
      <c r="G1005" s="32">
        <v>0</v>
      </c>
      <c r="H1005" s="32">
        <v>0</v>
      </c>
      <c r="I1005" s="32">
        <v>5067612</v>
      </c>
      <c r="J1005" s="35">
        <f>+G1005-H1005+I1005</f>
        <v>5067612</v>
      </c>
      <c r="K1005" s="28">
        <v>0</v>
      </c>
      <c r="L1005" s="32">
        <v>0</v>
      </c>
      <c r="M1005" s="35">
        <f>+J1005+L1005</f>
        <v>5067612</v>
      </c>
      <c r="N1005" s="28" t="s">
        <v>1567</v>
      </c>
      <c r="O1005" s="29" t="s">
        <v>1568</v>
      </c>
      <c r="P1005" s="36">
        <v>43886</v>
      </c>
      <c r="Q1005" s="31">
        <v>28440.19</v>
      </c>
      <c r="R1005" s="33">
        <f>M1005/Q1005</f>
        <v>178.18488554401361</v>
      </c>
    </row>
    <row r="1006" spans="1:18" ht="15" customHeight="1">
      <c r="A1006" s="37" t="s">
        <v>39</v>
      </c>
      <c r="B1006" s="26" t="s">
        <v>1658</v>
      </c>
      <c r="C1006" s="39">
        <v>201</v>
      </c>
      <c r="D1006" s="40" t="s">
        <v>1682</v>
      </c>
      <c r="E1006" s="38" t="s">
        <v>4</v>
      </c>
      <c r="F1006" s="38" t="s">
        <v>11</v>
      </c>
      <c r="G1006" s="32">
        <v>54429873</v>
      </c>
      <c r="H1006" s="32">
        <v>189781795</v>
      </c>
      <c r="I1006" s="32">
        <v>18125675</v>
      </c>
      <c r="J1006" s="35">
        <f>+G1006-H1006+I1006</f>
        <v>-117226247</v>
      </c>
      <c r="K1006" s="28">
        <v>0</v>
      </c>
      <c r="L1006" s="32">
        <v>0</v>
      </c>
      <c r="M1006" s="35">
        <f>+J1006+L1006</f>
        <v>-117226247</v>
      </c>
      <c r="N1006" s="28" t="s">
        <v>1660</v>
      </c>
      <c r="O1006" s="29" t="s">
        <v>1661</v>
      </c>
      <c r="P1006" s="36">
        <v>43791</v>
      </c>
      <c r="Q1006" s="31">
        <v>28162.42</v>
      </c>
      <c r="R1006" s="33">
        <f>M1006/Q1006</f>
        <v>-4162.5061695692348</v>
      </c>
    </row>
    <row r="1007" spans="1:18" ht="15" customHeight="1">
      <c r="A1007" s="37" t="s">
        <v>293</v>
      </c>
      <c r="B1007" s="26" t="s">
        <v>294</v>
      </c>
      <c r="C1007" s="39">
        <v>472</v>
      </c>
      <c r="D1007" s="40" t="s">
        <v>1683</v>
      </c>
      <c r="E1007" s="38" t="s">
        <v>4</v>
      </c>
      <c r="F1007" s="38" t="s">
        <v>11</v>
      </c>
      <c r="G1007" s="32">
        <v>1533597</v>
      </c>
      <c r="H1007" s="32">
        <v>1368461</v>
      </c>
      <c r="I1007" s="52">
        <v>0</v>
      </c>
      <c r="J1007" s="35">
        <f>+G1007-H1007+I1007</f>
        <v>165136</v>
      </c>
      <c r="K1007" s="27" t="s">
        <v>297</v>
      </c>
      <c r="L1007" s="32">
        <v>0</v>
      </c>
      <c r="M1007" s="35">
        <f>+J1007+L1007</f>
        <v>165136</v>
      </c>
      <c r="N1007" s="28" t="s">
        <v>459</v>
      </c>
      <c r="O1007" s="29" t="s">
        <v>460</v>
      </c>
      <c r="P1007" s="36" t="s">
        <v>461</v>
      </c>
      <c r="Q1007" s="31">
        <v>30683.439999999999</v>
      </c>
      <c r="R1007" s="33">
        <f>+M1007/Q1007</f>
        <v>5.3819258857546615</v>
      </c>
    </row>
    <row r="1008" spans="1:18" ht="15" customHeight="1">
      <c r="A1008" s="37" t="s">
        <v>293</v>
      </c>
      <c r="B1008" s="26" t="s">
        <v>294</v>
      </c>
      <c r="C1008" s="39">
        <v>200</v>
      </c>
      <c r="D1008" s="40" t="s">
        <v>1684</v>
      </c>
      <c r="E1008" s="38" t="s">
        <v>3</v>
      </c>
      <c r="F1008" s="38" t="s">
        <v>14</v>
      </c>
      <c r="G1008" s="32">
        <v>0</v>
      </c>
      <c r="H1008" s="32">
        <v>0</v>
      </c>
      <c r="I1008" s="32">
        <v>5067612</v>
      </c>
      <c r="J1008" s="35">
        <f>+G1008-H1008+I1008</f>
        <v>5067612</v>
      </c>
      <c r="K1008" s="28">
        <v>0</v>
      </c>
      <c r="L1008" s="32">
        <v>0</v>
      </c>
      <c r="M1008" s="35">
        <f>+J1008+L1008</f>
        <v>5067612</v>
      </c>
      <c r="N1008" s="28" t="s">
        <v>1567</v>
      </c>
      <c r="O1008" s="29" t="s">
        <v>1568</v>
      </c>
      <c r="P1008" s="36">
        <v>43886</v>
      </c>
      <c r="Q1008" s="31">
        <v>28440.19</v>
      </c>
      <c r="R1008" s="33">
        <f>M1008/Q1008</f>
        <v>178.18488554401361</v>
      </c>
    </row>
    <row r="1009" spans="1:18" ht="15" customHeight="1">
      <c r="A1009" s="37" t="s">
        <v>39</v>
      </c>
      <c r="B1009" s="26" t="s">
        <v>1658</v>
      </c>
      <c r="C1009" s="39">
        <v>200</v>
      </c>
      <c r="D1009" s="40" t="s">
        <v>1685</v>
      </c>
      <c r="E1009" s="38" t="s">
        <v>4</v>
      </c>
      <c r="F1009" s="38" t="s">
        <v>12</v>
      </c>
      <c r="G1009" s="32">
        <v>300580</v>
      </c>
      <c r="H1009" s="32">
        <v>858136</v>
      </c>
      <c r="I1009" s="32">
        <v>10127491</v>
      </c>
      <c r="J1009" s="35">
        <f>+G1009-H1009+I1009</f>
        <v>9569935</v>
      </c>
      <c r="K1009" s="28">
        <v>0</v>
      </c>
      <c r="L1009" s="32">
        <v>0</v>
      </c>
      <c r="M1009" s="35">
        <f>+J1009+L1009</f>
        <v>9569935</v>
      </c>
      <c r="N1009" s="28" t="s">
        <v>1660</v>
      </c>
      <c r="O1009" s="29" t="s">
        <v>1661</v>
      </c>
      <c r="P1009" s="36">
        <v>43791</v>
      </c>
      <c r="Q1009" s="31">
        <v>28162.42</v>
      </c>
      <c r="R1009" s="33">
        <f>M1009/Q1009</f>
        <v>339.81223914706197</v>
      </c>
    </row>
    <row r="1010" spans="1:18" ht="15" customHeight="1">
      <c r="A1010" s="37" t="s">
        <v>293</v>
      </c>
      <c r="B1010" s="26" t="s">
        <v>294</v>
      </c>
      <c r="C1010" s="39">
        <v>199</v>
      </c>
      <c r="D1010" s="40" t="s">
        <v>1686</v>
      </c>
      <c r="E1010" s="38" t="s">
        <v>3</v>
      </c>
      <c r="F1010" s="38" t="s">
        <v>14</v>
      </c>
      <c r="G1010" s="32">
        <v>0</v>
      </c>
      <c r="H1010" s="32">
        <v>0</v>
      </c>
      <c r="I1010" s="32">
        <v>21537350</v>
      </c>
      <c r="J1010" s="35">
        <f>+G1010-H1010+I1010</f>
        <v>21537350</v>
      </c>
      <c r="K1010" s="28">
        <v>0</v>
      </c>
      <c r="L1010" s="32">
        <v>0</v>
      </c>
      <c r="M1010" s="35">
        <f>+J1010+L1010</f>
        <v>21537350</v>
      </c>
      <c r="N1010" s="28" t="s">
        <v>1567</v>
      </c>
      <c r="O1010" s="29" t="s">
        <v>1568</v>
      </c>
      <c r="P1010" s="36">
        <v>43886</v>
      </c>
      <c r="Q1010" s="31">
        <v>28440.19</v>
      </c>
      <c r="R1010" s="33">
        <f>M1010/Q1010</f>
        <v>757.28572840054869</v>
      </c>
    </row>
    <row r="1011" spans="1:18" ht="15" customHeight="1">
      <c r="A1011" s="37" t="s">
        <v>391</v>
      </c>
      <c r="B1011" s="26" t="s">
        <v>392</v>
      </c>
      <c r="C1011" s="39">
        <v>120</v>
      </c>
      <c r="D1011" s="40" t="s">
        <v>1687</v>
      </c>
      <c r="E1011" s="38" t="s">
        <v>6</v>
      </c>
      <c r="F1011" s="38" t="s">
        <v>13</v>
      </c>
      <c r="G1011" s="32">
        <v>1566247</v>
      </c>
      <c r="H1011" s="32">
        <v>1896004</v>
      </c>
      <c r="I1011" s="32">
        <v>246704</v>
      </c>
      <c r="J1011" s="35">
        <f>+G1011-H1011+I1011</f>
        <v>-83053</v>
      </c>
      <c r="K1011" s="27"/>
      <c r="L1011" s="32">
        <v>0</v>
      </c>
      <c r="M1011" s="35">
        <f>+J1011+L1011</f>
        <v>-83053</v>
      </c>
      <c r="N1011" s="28" t="s">
        <v>481</v>
      </c>
      <c r="O1011" s="29" t="s">
        <v>482</v>
      </c>
      <c r="P1011" s="36">
        <v>44130</v>
      </c>
      <c r="Q1011" s="31">
        <v>28810.82</v>
      </c>
      <c r="R1011" s="33">
        <f>M1011/Q1011</f>
        <v>-2.8827017072058343</v>
      </c>
    </row>
    <row r="1012" spans="1:18" ht="15" customHeight="1">
      <c r="A1012" s="37" t="s">
        <v>356</v>
      </c>
      <c r="B1012" s="26" t="s">
        <v>1540</v>
      </c>
      <c r="C1012" s="39">
        <v>199</v>
      </c>
      <c r="D1012" s="40" t="s">
        <v>1688</v>
      </c>
      <c r="E1012" s="38" t="s">
        <v>4</v>
      </c>
      <c r="F1012" s="38" t="s">
        <v>11</v>
      </c>
      <c r="G1012" s="32">
        <v>2242582</v>
      </c>
      <c r="H1012" s="32">
        <v>470457</v>
      </c>
      <c r="I1012" s="52">
        <v>0</v>
      </c>
      <c r="J1012" s="35">
        <f>+G1012-H1012+I1012</f>
        <v>1772125</v>
      </c>
      <c r="K1012" s="28">
        <v>0</v>
      </c>
      <c r="L1012" s="32">
        <v>0</v>
      </c>
      <c r="M1012" s="35">
        <f>+J1012+L1012</f>
        <v>1772125</v>
      </c>
      <c r="N1012" s="28" t="s">
        <v>1632</v>
      </c>
      <c r="O1012" s="29" t="s">
        <v>1543</v>
      </c>
      <c r="P1012" s="36">
        <v>43336</v>
      </c>
      <c r="Q1012" s="31">
        <v>27262.98</v>
      </c>
      <c r="R1012" s="33">
        <f>M1012/Q1012</f>
        <v>65.001148076989381</v>
      </c>
    </row>
    <row r="1013" spans="1:18" ht="15" customHeight="1">
      <c r="A1013" s="37" t="s">
        <v>39</v>
      </c>
      <c r="B1013" s="26" t="s">
        <v>1658</v>
      </c>
      <c r="C1013" s="39">
        <v>199</v>
      </c>
      <c r="D1013" s="40" t="s">
        <v>1689</v>
      </c>
      <c r="E1013" s="38" t="s">
        <v>4</v>
      </c>
      <c r="F1013" s="38" t="s">
        <v>11</v>
      </c>
      <c r="G1013" s="32">
        <v>5538322</v>
      </c>
      <c r="H1013" s="32">
        <v>2653726</v>
      </c>
      <c r="I1013" s="52">
        <v>0</v>
      </c>
      <c r="J1013" s="35">
        <f>+G1013-H1013+I1013</f>
        <v>2884596</v>
      </c>
      <c r="K1013" s="28">
        <v>0</v>
      </c>
      <c r="L1013" s="32">
        <v>0</v>
      </c>
      <c r="M1013" s="35">
        <f>+J1013+L1013</f>
        <v>2884596</v>
      </c>
      <c r="N1013" s="28" t="s">
        <v>1660</v>
      </c>
      <c r="O1013" s="29" t="s">
        <v>1661</v>
      </c>
      <c r="P1013" s="36">
        <v>43791</v>
      </c>
      <c r="Q1013" s="31">
        <v>28162.42</v>
      </c>
      <c r="R1013" s="33">
        <f>M1013/Q1013</f>
        <v>102.4271351680715</v>
      </c>
    </row>
    <row r="1014" spans="1:18" ht="15" customHeight="1">
      <c r="A1014" s="37" t="s">
        <v>293</v>
      </c>
      <c r="B1014" s="26" t="s">
        <v>294</v>
      </c>
      <c r="C1014" s="39">
        <v>198</v>
      </c>
      <c r="D1014" s="40" t="s">
        <v>1690</v>
      </c>
      <c r="E1014" s="38" t="s">
        <v>3</v>
      </c>
      <c r="F1014" s="38" t="s">
        <v>14</v>
      </c>
      <c r="G1014" s="32">
        <v>0</v>
      </c>
      <c r="H1014" s="32">
        <v>0</v>
      </c>
      <c r="I1014" s="32">
        <v>13513631</v>
      </c>
      <c r="J1014" s="35">
        <f>+G1014-H1014+I1014</f>
        <v>13513631</v>
      </c>
      <c r="K1014" s="28">
        <v>0</v>
      </c>
      <c r="L1014" s="32">
        <v>0</v>
      </c>
      <c r="M1014" s="35">
        <f>+J1014+L1014</f>
        <v>13513631</v>
      </c>
      <c r="N1014" s="28" t="s">
        <v>1567</v>
      </c>
      <c r="O1014" s="29" t="s">
        <v>1568</v>
      </c>
      <c r="P1014" s="36">
        <v>43886</v>
      </c>
      <c r="Q1014" s="31">
        <v>28440.19</v>
      </c>
      <c r="R1014" s="33">
        <f>M1014/Q1014</f>
        <v>475.15965962252716</v>
      </c>
    </row>
    <row r="1015" spans="1:18" ht="15" customHeight="1">
      <c r="A1015" s="37" t="s">
        <v>39</v>
      </c>
      <c r="B1015" s="26" t="s">
        <v>1658</v>
      </c>
      <c r="C1015" s="39">
        <v>198</v>
      </c>
      <c r="D1015" s="40" t="s">
        <v>1691</v>
      </c>
      <c r="E1015" s="38" t="s">
        <v>6</v>
      </c>
      <c r="F1015" s="38" t="s">
        <v>11</v>
      </c>
      <c r="G1015" s="32">
        <v>0</v>
      </c>
      <c r="H1015" s="32">
        <v>8573171</v>
      </c>
      <c r="I1015" s="32">
        <v>28015382</v>
      </c>
      <c r="J1015" s="35">
        <f>+G1015-H1015+I1015</f>
        <v>19442211</v>
      </c>
      <c r="K1015" s="28">
        <v>0</v>
      </c>
      <c r="L1015" s="32">
        <v>0</v>
      </c>
      <c r="M1015" s="35">
        <f>+J1015+L1015</f>
        <v>19442211</v>
      </c>
      <c r="N1015" s="28" t="s">
        <v>1660</v>
      </c>
      <c r="O1015" s="29" t="s">
        <v>1661</v>
      </c>
      <c r="P1015" s="36">
        <v>43791</v>
      </c>
      <c r="Q1015" s="31">
        <v>28162.42</v>
      </c>
      <c r="R1015" s="33">
        <f>M1015/Q1015</f>
        <v>690.36009689508217</v>
      </c>
    </row>
    <row r="1016" spans="1:18" ht="15" customHeight="1">
      <c r="A1016" s="37" t="s">
        <v>293</v>
      </c>
      <c r="B1016" s="26" t="s">
        <v>294</v>
      </c>
      <c r="C1016" s="39">
        <v>197</v>
      </c>
      <c r="D1016" s="40" t="s">
        <v>1692</v>
      </c>
      <c r="E1016" s="38" t="s">
        <v>3</v>
      </c>
      <c r="F1016" s="38" t="s">
        <v>14</v>
      </c>
      <c r="G1016" s="32">
        <v>0</v>
      </c>
      <c r="H1016" s="32">
        <v>0</v>
      </c>
      <c r="I1016" s="32">
        <v>21115049</v>
      </c>
      <c r="J1016" s="35">
        <f>+G1016-H1016+I1016</f>
        <v>21115049</v>
      </c>
      <c r="K1016" s="28">
        <v>0</v>
      </c>
      <c r="L1016" s="32">
        <v>0</v>
      </c>
      <c r="M1016" s="35">
        <f>+J1016+L1016</f>
        <v>21115049</v>
      </c>
      <c r="N1016" s="28" t="s">
        <v>1567</v>
      </c>
      <c r="O1016" s="29" t="s">
        <v>1568</v>
      </c>
      <c r="P1016" s="36">
        <v>43886</v>
      </c>
      <c r="Q1016" s="31">
        <v>28440.19</v>
      </c>
      <c r="R1016" s="33">
        <f>M1016/Q1016</f>
        <v>742.43698793854753</v>
      </c>
    </row>
    <row r="1017" spans="1:18" ht="15" customHeight="1">
      <c r="A1017" s="37" t="s">
        <v>39</v>
      </c>
      <c r="B1017" s="26" t="s">
        <v>1658</v>
      </c>
      <c r="C1017" s="39">
        <v>197</v>
      </c>
      <c r="D1017" s="40" t="s">
        <v>1693</v>
      </c>
      <c r="E1017" s="38" t="s">
        <v>4</v>
      </c>
      <c r="F1017" s="38" t="s">
        <v>12</v>
      </c>
      <c r="G1017" s="32">
        <v>3859600</v>
      </c>
      <c r="H1017" s="32">
        <v>0</v>
      </c>
      <c r="I1017" s="32">
        <v>12999010</v>
      </c>
      <c r="J1017" s="35">
        <f>+G1017-H1017+I1017</f>
        <v>16858610</v>
      </c>
      <c r="K1017" s="28">
        <v>0</v>
      </c>
      <c r="L1017" s="32">
        <v>0</v>
      </c>
      <c r="M1017" s="35">
        <f>+J1017+L1017</f>
        <v>16858610</v>
      </c>
      <c r="N1017" s="28" t="s">
        <v>1660</v>
      </c>
      <c r="O1017" s="29" t="s">
        <v>1661</v>
      </c>
      <c r="P1017" s="36">
        <v>43791</v>
      </c>
      <c r="Q1017" s="31">
        <v>28162.42</v>
      </c>
      <c r="R1017" s="33">
        <f>M1017/Q1017</f>
        <v>598.62078613982749</v>
      </c>
    </row>
    <row r="1018" spans="1:18" ht="15" customHeight="1">
      <c r="A1018" s="37" t="s">
        <v>688</v>
      </c>
      <c r="B1018" s="26" t="s">
        <v>798</v>
      </c>
      <c r="C1018" s="39">
        <v>2</v>
      </c>
      <c r="D1018" s="40" t="s">
        <v>1694</v>
      </c>
      <c r="E1018" s="38" t="s">
        <v>4</v>
      </c>
      <c r="F1018" s="38" t="s">
        <v>1695</v>
      </c>
      <c r="G1018" s="32">
        <v>1618882</v>
      </c>
      <c r="H1018" s="32">
        <v>0</v>
      </c>
      <c r="I1018" s="32">
        <v>6574144</v>
      </c>
      <c r="J1018" s="35">
        <f>+G1018-H1018+I1018</f>
        <v>8193026</v>
      </c>
      <c r="K1018" s="27">
        <v>10</v>
      </c>
      <c r="L1018" s="32">
        <v>0</v>
      </c>
      <c r="M1018" s="35">
        <f>+J1018+L1018</f>
        <v>8193026</v>
      </c>
      <c r="N1018" s="28" t="s">
        <v>1696</v>
      </c>
      <c r="O1018" s="29" t="s">
        <v>1697</v>
      </c>
      <c r="P1018" s="36">
        <v>44693</v>
      </c>
      <c r="Q1018" s="31">
        <v>32402.26</v>
      </c>
      <c r="R1018" s="33">
        <f>M1018/Q1018</f>
        <v>252.85353552499117</v>
      </c>
    </row>
    <row r="1019" spans="1:18" ht="15" customHeight="1">
      <c r="A1019" s="37" t="s">
        <v>293</v>
      </c>
      <c r="B1019" s="26" t="s">
        <v>294</v>
      </c>
      <c r="C1019" s="39">
        <v>196</v>
      </c>
      <c r="D1019" s="40" t="s">
        <v>1698</v>
      </c>
      <c r="E1019" s="38" t="s">
        <v>3</v>
      </c>
      <c r="F1019" s="38" t="s">
        <v>15</v>
      </c>
      <c r="G1019" s="32">
        <v>4536470</v>
      </c>
      <c r="H1019" s="32">
        <v>2209992</v>
      </c>
      <c r="I1019" s="32">
        <v>753154</v>
      </c>
      <c r="J1019" s="35">
        <f>+G1019-H1019+I1019</f>
        <v>3079632</v>
      </c>
      <c r="K1019" s="28">
        <v>0</v>
      </c>
      <c r="L1019" s="32">
        <v>0</v>
      </c>
      <c r="M1019" s="35">
        <f>+J1019+L1019</f>
        <v>3079632</v>
      </c>
      <c r="N1019" s="28" t="s">
        <v>1567</v>
      </c>
      <c r="O1019" s="29" t="s">
        <v>1568</v>
      </c>
      <c r="P1019" s="36">
        <v>43886</v>
      </c>
      <c r="Q1019" s="31">
        <v>28440.19</v>
      </c>
      <c r="R1019" s="33">
        <f>M1019/Q1019</f>
        <v>108.28450864779737</v>
      </c>
    </row>
    <row r="1020" spans="1:18" ht="15" customHeight="1">
      <c r="A1020" s="37" t="s">
        <v>39</v>
      </c>
      <c r="B1020" s="26" t="s">
        <v>1658</v>
      </c>
      <c r="C1020" s="39">
        <v>196</v>
      </c>
      <c r="D1020" s="40" t="s">
        <v>1699</v>
      </c>
      <c r="E1020" s="38" t="s">
        <v>4</v>
      </c>
      <c r="F1020" s="38" t="s">
        <v>15</v>
      </c>
      <c r="G1020" s="32">
        <v>11018922</v>
      </c>
      <c r="H1020" s="32">
        <v>0</v>
      </c>
      <c r="I1020" s="32">
        <v>1486324</v>
      </c>
      <c r="J1020" s="35">
        <f>+G1020-H1020+I1020</f>
        <v>12505246</v>
      </c>
      <c r="K1020" s="28">
        <v>0</v>
      </c>
      <c r="L1020" s="32">
        <v>0</v>
      </c>
      <c r="M1020" s="35">
        <f>+J1020+L1020</f>
        <v>12505246</v>
      </c>
      <c r="N1020" s="28" t="s">
        <v>1660</v>
      </c>
      <c r="O1020" s="29" t="s">
        <v>1661</v>
      </c>
      <c r="P1020" s="36">
        <v>43791</v>
      </c>
      <c r="Q1020" s="31">
        <v>28162.42</v>
      </c>
      <c r="R1020" s="33">
        <f>M1020/Q1020</f>
        <v>444.0401783653536</v>
      </c>
    </row>
    <row r="1021" spans="1:18" ht="15" customHeight="1">
      <c r="A1021" s="37" t="s">
        <v>293</v>
      </c>
      <c r="B1021" s="26" t="s">
        <v>294</v>
      </c>
      <c r="C1021" s="39">
        <v>195</v>
      </c>
      <c r="D1021" s="40" t="s">
        <v>1700</v>
      </c>
      <c r="E1021" s="38" t="s">
        <v>3</v>
      </c>
      <c r="F1021" s="38" t="s">
        <v>11</v>
      </c>
      <c r="G1021" s="32">
        <v>78266017</v>
      </c>
      <c r="H1021" s="32">
        <v>74681366</v>
      </c>
      <c r="I1021" s="52">
        <v>0</v>
      </c>
      <c r="J1021" s="35">
        <f>+G1021-H1021+I1021</f>
        <v>3584651</v>
      </c>
      <c r="K1021" s="28">
        <v>0</v>
      </c>
      <c r="L1021" s="32">
        <v>0</v>
      </c>
      <c r="M1021" s="35">
        <f>+J1021+L1021</f>
        <v>3584651</v>
      </c>
      <c r="N1021" s="28" t="s">
        <v>1537</v>
      </c>
      <c r="O1021" s="29" t="s">
        <v>1538</v>
      </c>
      <c r="P1021" s="36">
        <v>43914</v>
      </c>
      <c r="Q1021" s="31">
        <v>28331.86</v>
      </c>
      <c r="R1021" s="33">
        <f>M1021/Q1021</f>
        <v>126.52367334866119</v>
      </c>
    </row>
    <row r="1022" spans="1:18" ht="15" customHeight="1">
      <c r="A1022" s="37" t="s">
        <v>356</v>
      </c>
      <c r="B1022" s="26" t="s">
        <v>1540</v>
      </c>
      <c r="C1022" s="39">
        <v>195</v>
      </c>
      <c r="D1022" s="40" t="s">
        <v>1701</v>
      </c>
      <c r="E1022" s="38" t="s">
        <v>4</v>
      </c>
      <c r="F1022" s="38" t="s">
        <v>11</v>
      </c>
      <c r="G1022" s="32">
        <v>1834459</v>
      </c>
      <c r="H1022" s="32">
        <v>1519828</v>
      </c>
      <c r="I1022" s="52">
        <v>0</v>
      </c>
      <c r="J1022" s="35">
        <f>+G1022-H1022+I1022</f>
        <v>314631</v>
      </c>
      <c r="K1022" s="28">
        <v>0</v>
      </c>
      <c r="L1022" s="32">
        <v>0</v>
      </c>
      <c r="M1022" s="35">
        <f>+J1022+L1022</f>
        <v>314631</v>
      </c>
      <c r="N1022" s="28" t="s">
        <v>1632</v>
      </c>
      <c r="O1022" s="29" t="s">
        <v>1543</v>
      </c>
      <c r="P1022" s="36">
        <v>43336</v>
      </c>
      <c r="Q1022" s="31">
        <v>27262.98</v>
      </c>
      <c r="R1022" s="33">
        <f>M1022/Q1022</f>
        <v>11.540594608513082</v>
      </c>
    </row>
    <row r="1023" spans="1:18" ht="15" customHeight="1">
      <c r="A1023" s="37" t="s">
        <v>39</v>
      </c>
      <c r="B1023" s="26" t="s">
        <v>1658</v>
      </c>
      <c r="C1023" s="39">
        <v>195</v>
      </c>
      <c r="D1023" s="40" t="s">
        <v>1702</v>
      </c>
      <c r="E1023" s="38" t="s">
        <v>4</v>
      </c>
      <c r="F1023" s="38" t="s">
        <v>11</v>
      </c>
      <c r="G1023" s="32">
        <v>0</v>
      </c>
      <c r="H1023" s="32">
        <v>101956277</v>
      </c>
      <c r="I1023" s="52">
        <v>0</v>
      </c>
      <c r="J1023" s="35">
        <f>+G1023-H1023+I1023</f>
        <v>-101956277</v>
      </c>
      <c r="K1023" s="28">
        <v>0</v>
      </c>
      <c r="L1023" s="32">
        <v>0</v>
      </c>
      <c r="M1023" s="35">
        <f>+J1023+L1023</f>
        <v>-101956277</v>
      </c>
      <c r="N1023" s="28" t="s">
        <v>1660</v>
      </c>
      <c r="O1023" s="29" t="s">
        <v>1661</v>
      </c>
      <c r="P1023" s="36">
        <v>43791</v>
      </c>
      <c r="Q1023" s="31">
        <v>28162.42</v>
      </c>
      <c r="R1023" s="33">
        <f>M1023/Q1023</f>
        <v>-3620.2953084287501</v>
      </c>
    </row>
    <row r="1024" spans="1:18" ht="15" customHeight="1">
      <c r="A1024" s="37" t="s">
        <v>293</v>
      </c>
      <c r="B1024" s="26" t="s">
        <v>294</v>
      </c>
      <c r="C1024" s="39">
        <v>194</v>
      </c>
      <c r="D1024" s="40" t="s">
        <v>1703</v>
      </c>
      <c r="E1024" s="38" t="s">
        <v>3</v>
      </c>
      <c r="F1024" s="38" t="s">
        <v>13</v>
      </c>
      <c r="G1024" s="32">
        <v>1704146</v>
      </c>
      <c r="H1024" s="32">
        <v>0</v>
      </c>
      <c r="I1024" s="52">
        <v>0</v>
      </c>
      <c r="J1024" s="35">
        <f>+G1024-H1024+I1024</f>
        <v>1704146</v>
      </c>
      <c r="K1024" s="28">
        <v>0</v>
      </c>
      <c r="L1024" s="32">
        <v>0</v>
      </c>
      <c r="M1024" s="35">
        <f>+J1024+L1024</f>
        <v>1704146</v>
      </c>
      <c r="N1024" s="28" t="s">
        <v>1567</v>
      </c>
      <c r="O1024" s="29" t="s">
        <v>1568</v>
      </c>
      <c r="P1024" s="36">
        <v>43886</v>
      </c>
      <c r="Q1024" s="31">
        <v>28440.19</v>
      </c>
      <c r="R1024" s="33">
        <f>M1024/Q1024</f>
        <v>59.920345117244295</v>
      </c>
    </row>
    <row r="1025" spans="1:18" ht="15" customHeight="1">
      <c r="A1025" s="37" t="s">
        <v>39</v>
      </c>
      <c r="B1025" s="26" t="s">
        <v>1658</v>
      </c>
      <c r="C1025" s="39">
        <v>194</v>
      </c>
      <c r="D1025" s="40" t="s">
        <v>1704</v>
      </c>
      <c r="E1025" s="38" t="s">
        <v>4</v>
      </c>
      <c r="F1025" s="38" t="s">
        <v>11</v>
      </c>
      <c r="G1025" s="32">
        <v>9398142</v>
      </c>
      <c r="H1025" s="32">
        <v>100959820</v>
      </c>
      <c r="I1025" s="32">
        <v>94674201</v>
      </c>
      <c r="J1025" s="35">
        <f>+G1025-H1025+I1025</f>
        <v>3112523</v>
      </c>
      <c r="K1025" s="28">
        <v>0</v>
      </c>
      <c r="L1025" s="32">
        <v>0</v>
      </c>
      <c r="M1025" s="35">
        <f>+J1025+L1025</f>
        <v>3112523</v>
      </c>
      <c r="N1025" s="28" t="s">
        <v>1660</v>
      </c>
      <c r="O1025" s="29" t="s">
        <v>1661</v>
      </c>
      <c r="P1025" s="36">
        <v>43791</v>
      </c>
      <c r="Q1025" s="31">
        <v>28162.42</v>
      </c>
      <c r="R1025" s="33">
        <f>M1025/Q1025</f>
        <v>110.52043822938512</v>
      </c>
    </row>
    <row r="1026" spans="1:18" ht="15" customHeight="1">
      <c r="A1026" s="37" t="s">
        <v>293</v>
      </c>
      <c r="B1026" s="26" t="s">
        <v>294</v>
      </c>
      <c r="C1026" s="39">
        <v>193</v>
      </c>
      <c r="D1026" s="40" t="s">
        <v>1705</v>
      </c>
      <c r="E1026" s="38" t="s">
        <v>3</v>
      </c>
      <c r="F1026" s="38" t="s">
        <v>13</v>
      </c>
      <c r="G1026" s="32">
        <v>10804102</v>
      </c>
      <c r="H1026" s="32">
        <v>9973367</v>
      </c>
      <c r="I1026" s="52">
        <v>0</v>
      </c>
      <c r="J1026" s="35">
        <f>+G1026-H1026+I1026</f>
        <v>830735</v>
      </c>
      <c r="K1026" s="28">
        <v>0</v>
      </c>
      <c r="L1026" s="32">
        <v>0</v>
      </c>
      <c r="M1026" s="35">
        <f>+J1026+L1026</f>
        <v>830735</v>
      </c>
      <c r="N1026" s="28" t="s">
        <v>1567</v>
      </c>
      <c r="O1026" s="29" t="s">
        <v>1568</v>
      </c>
      <c r="P1026" s="36">
        <v>43886</v>
      </c>
      <c r="Q1026" s="31">
        <v>28440.19</v>
      </c>
      <c r="R1026" s="33">
        <f>M1026/Q1026</f>
        <v>29.209896277064253</v>
      </c>
    </row>
    <row r="1027" spans="1:18" ht="15" customHeight="1">
      <c r="A1027" s="37" t="s">
        <v>39</v>
      </c>
      <c r="B1027" s="26" t="s">
        <v>1658</v>
      </c>
      <c r="C1027" s="39">
        <v>193</v>
      </c>
      <c r="D1027" s="40" t="s">
        <v>1706</v>
      </c>
      <c r="E1027" s="38" t="s">
        <v>4</v>
      </c>
      <c r="F1027" s="38" t="s">
        <v>18</v>
      </c>
      <c r="G1027" s="32">
        <v>13151661</v>
      </c>
      <c r="H1027" s="32">
        <v>6606852</v>
      </c>
      <c r="I1027" s="32">
        <v>20438853</v>
      </c>
      <c r="J1027" s="35">
        <f>+G1027-H1027+I1027</f>
        <v>26983662</v>
      </c>
      <c r="K1027" s="28">
        <v>0</v>
      </c>
      <c r="L1027" s="32">
        <v>0</v>
      </c>
      <c r="M1027" s="35">
        <f>+J1027+L1027</f>
        <v>26983662</v>
      </c>
      <c r="N1027" s="28" t="s">
        <v>1660</v>
      </c>
      <c r="O1027" s="29" t="s">
        <v>1661</v>
      </c>
      <c r="P1027" s="36">
        <v>43791</v>
      </c>
      <c r="Q1027" s="31">
        <v>28162.42</v>
      </c>
      <c r="R1027" s="33">
        <f>M1027/Q1027</f>
        <v>958.14429299754784</v>
      </c>
    </row>
    <row r="1028" spans="1:18" ht="15" customHeight="1">
      <c r="A1028" s="37" t="s">
        <v>293</v>
      </c>
      <c r="B1028" s="26" t="s">
        <v>294</v>
      </c>
      <c r="C1028" s="39">
        <v>192</v>
      </c>
      <c r="D1028" s="40" t="s">
        <v>1707</v>
      </c>
      <c r="E1028" s="38" t="s">
        <v>3</v>
      </c>
      <c r="F1028" s="38" t="s">
        <v>13</v>
      </c>
      <c r="G1028" s="32">
        <v>1332631</v>
      </c>
      <c r="H1028" s="32">
        <v>0</v>
      </c>
      <c r="I1028" s="52">
        <v>0</v>
      </c>
      <c r="J1028" s="35">
        <f>+G1028-H1028+I1028</f>
        <v>1332631</v>
      </c>
      <c r="K1028" s="28">
        <v>0</v>
      </c>
      <c r="L1028" s="32">
        <v>0</v>
      </c>
      <c r="M1028" s="35">
        <f>+J1028+L1028</f>
        <v>1332631</v>
      </c>
      <c r="N1028" s="28" t="s">
        <v>1567</v>
      </c>
      <c r="O1028" s="29" t="s">
        <v>1568</v>
      </c>
      <c r="P1028" s="36">
        <v>43886</v>
      </c>
      <c r="Q1028" s="31">
        <v>28440.19</v>
      </c>
      <c r="R1028" s="33">
        <f>M1028/Q1028</f>
        <v>46.857317057305174</v>
      </c>
    </row>
    <row r="1029" spans="1:18" ht="15" customHeight="1">
      <c r="A1029" s="37" t="s">
        <v>356</v>
      </c>
      <c r="B1029" s="26" t="s">
        <v>1540</v>
      </c>
      <c r="C1029" s="39">
        <v>192</v>
      </c>
      <c r="D1029" s="40" t="s">
        <v>1708</v>
      </c>
      <c r="E1029" s="38" t="s">
        <v>3</v>
      </c>
      <c r="F1029" s="38" t="s">
        <v>11</v>
      </c>
      <c r="G1029" s="32">
        <v>150575</v>
      </c>
      <c r="H1029" s="32">
        <v>0</v>
      </c>
      <c r="I1029" s="32">
        <v>1486404</v>
      </c>
      <c r="J1029" s="35">
        <f>+G1029-H1029+I1029</f>
        <v>1636979</v>
      </c>
      <c r="K1029" s="28">
        <v>0</v>
      </c>
      <c r="L1029" s="32">
        <v>0</v>
      </c>
      <c r="M1029" s="35">
        <f>+J1029+L1029</f>
        <v>1636979</v>
      </c>
      <c r="N1029" s="28" t="s">
        <v>1579</v>
      </c>
      <c r="O1029" s="29" t="s">
        <v>1543</v>
      </c>
      <c r="P1029" s="36">
        <v>43427</v>
      </c>
      <c r="Q1029" s="31">
        <v>27507.17</v>
      </c>
      <c r="R1029" s="33">
        <f>M1029/Q1029</f>
        <v>59.510992952019421</v>
      </c>
    </row>
    <row r="1030" spans="1:18" ht="15" customHeight="1">
      <c r="A1030" s="37" t="s">
        <v>391</v>
      </c>
      <c r="B1030" s="26" t="s">
        <v>392</v>
      </c>
      <c r="C1030" s="39">
        <v>135</v>
      </c>
      <c r="D1030" s="40" t="s">
        <v>1709</v>
      </c>
      <c r="E1030" s="38" t="s">
        <v>3</v>
      </c>
      <c r="F1030" s="38" t="s">
        <v>10</v>
      </c>
      <c r="G1030" s="32">
        <v>1685258</v>
      </c>
      <c r="H1030" s="32">
        <v>0</v>
      </c>
      <c r="I1030" s="32">
        <v>7926933</v>
      </c>
      <c r="J1030" s="35">
        <f>+G1030-H1030+I1030</f>
        <v>9612191</v>
      </c>
      <c r="K1030" s="27"/>
      <c r="L1030" s="32">
        <v>0</v>
      </c>
      <c r="M1030" s="35">
        <f>+J1030+L1030</f>
        <v>9612191</v>
      </c>
      <c r="N1030" s="28" t="s">
        <v>765</v>
      </c>
      <c r="O1030" s="29" t="s">
        <v>766</v>
      </c>
      <c r="P1030" s="36">
        <v>44140</v>
      </c>
      <c r="Q1030" s="31">
        <v>28866.47</v>
      </c>
      <c r="R1030" s="33">
        <f>M1030/Q1030</f>
        <v>332.98810003439974</v>
      </c>
    </row>
    <row r="1031" spans="1:18" ht="15" customHeight="1">
      <c r="A1031" s="37" t="s">
        <v>39</v>
      </c>
      <c r="B1031" s="26" t="s">
        <v>1658</v>
      </c>
      <c r="C1031" s="39">
        <v>192</v>
      </c>
      <c r="D1031" s="40" t="s">
        <v>1710</v>
      </c>
      <c r="E1031" s="38" t="s">
        <v>6</v>
      </c>
      <c r="F1031" s="38" t="s">
        <v>11</v>
      </c>
      <c r="G1031" s="32">
        <v>9697577</v>
      </c>
      <c r="H1031" s="32">
        <v>0</v>
      </c>
      <c r="I1031" s="32">
        <v>857196</v>
      </c>
      <c r="J1031" s="35">
        <f>+G1031-H1031+I1031</f>
        <v>10554773</v>
      </c>
      <c r="K1031" s="28">
        <v>0</v>
      </c>
      <c r="L1031" s="32">
        <v>0</v>
      </c>
      <c r="M1031" s="35">
        <f>+J1031+L1031</f>
        <v>10554773</v>
      </c>
      <c r="N1031" s="28" t="s">
        <v>1660</v>
      </c>
      <c r="O1031" s="29" t="s">
        <v>1661</v>
      </c>
      <c r="P1031" s="36">
        <v>43791</v>
      </c>
      <c r="Q1031" s="31">
        <v>28162.42</v>
      </c>
      <c r="R1031" s="33">
        <f>M1031/Q1031</f>
        <v>374.78217425917234</v>
      </c>
    </row>
    <row r="1032" spans="1:18" ht="15" customHeight="1">
      <c r="A1032" s="37" t="s">
        <v>293</v>
      </c>
      <c r="B1032" s="26" t="s">
        <v>294</v>
      </c>
      <c r="C1032" s="39">
        <v>191</v>
      </c>
      <c r="D1032" s="40" t="s">
        <v>1711</v>
      </c>
      <c r="E1032" s="38" t="s">
        <v>3</v>
      </c>
      <c r="F1032" s="38" t="s">
        <v>11</v>
      </c>
      <c r="G1032" s="32">
        <v>94379772</v>
      </c>
      <c r="H1032" s="32">
        <v>69022173</v>
      </c>
      <c r="I1032" s="52">
        <v>0</v>
      </c>
      <c r="J1032" s="35">
        <f>+G1032-H1032+I1032</f>
        <v>25357599</v>
      </c>
      <c r="K1032" s="28">
        <v>0</v>
      </c>
      <c r="L1032" s="32">
        <v>0</v>
      </c>
      <c r="M1032" s="35">
        <f>+J1032+L1032</f>
        <v>25357599</v>
      </c>
      <c r="N1032" s="28" t="s">
        <v>1537</v>
      </c>
      <c r="O1032" s="29" t="s">
        <v>1538</v>
      </c>
      <c r="P1032" s="36">
        <v>43914</v>
      </c>
      <c r="Q1032" s="31">
        <v>28331.86</v>
      </c>
      <c r="R1032" s="33">
        <f>M1032/Q1032</f>
        <v>895.0206234253593</v>
      </c>
    </row>
    <row r="1033" spans="1:18" ht="15" customHeight="1">
      <c r="A1033" s="37" t="s">
        <v>39</v>
      </c>
      <c r="B1033" s="26" t="s">
        <v>1658</v>
      </c>
      <c r="C1033" s="39">
        <v>191</v>
      </c>
      <c r="D1033" s="40" t="s">
        <v>1712</v>
      </c>
      <c r="E1033" s="38" t="s">
        <v>4</v>
      </c>
      <c r="F1033" s="38" t="s">
        <v>11</v>
      </c>
      <c r="G1033" s="32">
        <v>0</v>
      </c>
      <c r="H1033" s="32">
        <v>127073011</v>
      </c>
      <c r="I1033" s="52">
        <v>0</v>
      </c>
      <c r="J1033" s="35">
        <f>+G1033-H1033+I1033</f>
        <v>-127073011</v>
      </c>
      <c r="K1033" s="28">
        <v>0</v>
      </c>
      <c r="L1033" s="32">
        <v>0</v>
      </c>
      <c r="M1033" s="35">
        <f>+J1033+L1033</f>
        <v>-127073011</v>
      </c>
      <c r="N1033" s="28" t="s">
        <v>1660</v>
      </c>
      <c r="O1033" s="29" t="s">
        <v>1661</v>
      </c>
      <c r="P1033" s="36">
        <v>43791</v>
      </c>
      <c r="Q1033" s="31">
        <v>28162.42</v>
      </c>
      <c r="R1033" s="33">
        <f>M1033/Q1033</f>
        <v>-4512.148139257919</v>
      </c>
    </row>
    <row r="1034" spans="1:18" ht="15" customHeight="1">
      <c r="A1034" s="37" t="s">
        <v>293</v>
      </c>
      <c r="B1034" s="26" t="s">
        <v>294</v>
      </c>
      <c r="C1034" s="39">
        <v>190</v>
      </c>
      <c r="D1034" s="40" t="s">
        <v>1713</v>
      </c>
      <c r="E1034" s="38" t="s">
        <v>3</v>
      </c>
      <c r="F1034" s="38" t="s">
        <v>11</v>
      </c>
      <c r="G1034" s="32">
        <v>50985133</v>
      </c>
      <c r="H1034" s="32">
        <v>53242053</v>
      </c>
      <c r="I1034" s="52">
        <v>0</v>
      </c>
      <c r="J1034" s="35">
        <f>+G1034-H1034+I1034</f>
        <v>-2256920</v>
      </c>
      <c r="K1034" s="28">
        <v>0</v>
      </c>
      <c r="L1034" s="32">
        <v>0</v>
      </c>
      <c r="M1034" s="35">
        <f>+J1034+L1034</f>
        <v>-2256920</v>
      </c>
      <c r="N1034" s="28" t="s">
        <v>1626</v>
      </c>
      <c r="O1034" s="29" t="s">
        <v>1627</v>
      </c>
      <c r="P1034" s="36">
        <v>43886</v>
      </c>
      <c r="Q1034" s="31">
        <v>28440.19</v>
      </c>
      <c r="R1034" s="33">
        <f>M1034/Q1034</f>
        <v>-79.356713158386071</v>
      </c>
    </row>
    <row r="1035" spans="1:18" ht="15" customHeight="1">
      <c r="A1035" s="37" t="s">
        <v>39</v>
      </c>
      <c r="B1035" s="26" t="s">
        <v>1658</v>
      </c>
      <c r="C1035" s="39">
        <v>190</v>
      </c>
      <c r="D1035" s="40" t="s">
        <v>1714</v>
      </c>
      <c r="E1035" s="38" t="s">
        <v>4</v>
      </c>
      <c r="F1035" s="38" t="s">
        <v>13</v>
      </c>
      <c r="G1035" s="32">
        <v>105027508</v>
      </c>
      <c r="H1035" s="32">
        <v>51421230</v>
      </c>
      <c r="I1035" s="32">
        <v>59954160</v>
      </c>
      <c r="J1035" s="35">
        <f>+G1035-H1035+I1035</f>
        <v>113560438</v>
      </c>
      <c r="K1035" s="28">
        <v>0</v>
      </c>
      <c r="L1035" s="32">
        <v>0</v>
      </c>
      <c r="M1035" s="35">
        <f>+J1035+L1035</f>
        <v>113560438</v>
      </c>
      <c r="N1035" s="28" t="s">
        <v>1660</v>
      </c>
      <c r="O1035" s="29" t="s">
        <v>1661</v>
      </c>
      <c r="P1035" s="36">
        <v>43791</v>
      </c>
      <c r="Q1035" s="31">
        <v>28162.42</v>
      </c>
      <c r="R1035" s="33">
        <f>M1035/Q1035</f>
        <v>4032.3394793487209</v>
      </c>
    </row>
    <row r="1036" spans="1:18" ht="15" customHeight="1">
      <c r="A1036" s="37" t="s">
        <v>293</v>
      </c>
      <c r="B1036" s="26" t="s">
        <v>294</v>
      </c>
      <c r="C1036" s="39">
        <v>189</v>
      </c>
      <c r="D1036" s="40" t="s">
        <v>1715</v>
      </c>
      <c r="E1036" s="38" t="s">
        <v>3</v>
      </c>
      <c r="F1036" s="38" t="s">
        <v>11</v>
      </c>
      <c r="G1036" s="32">
        <v>49183689</v>
      </c>
      <c r="H1036" s="32">
        <v>51186090</v>
      </c>
      <c r="I1036" s="52">
        <v>0</v>
      </c>
      <c r="J1036" s="35">
        <f>+G1036-H1036+I1036</f>
        <v>-2002401</v>
      </c>
      <c r="K1036" s="28">
        <v>0</v>
      </c>
      <c r="L1036" s="32">
        <v>0</v>
      </c>
      <c r="M1036" s="35">
        <f>+J1036+L1036</f>
        <v>-2002401</v>
      </c>
      <c r="N1036" s="28" t="s">
        <v>1626</v>
      </c>
      <c r="O1036" s="29" t="s">
        <v>1627</v>
      </c>
      <c r="P1036" s="36">
        <v>43886</v>
      </c>
      <c r="Q1036" s="31">
        <v>28440.19</v>
      </c>
      <c r="R1036" s="33">
        <f>M1036/Q1036</f>
        <v>-70.407441019205578</v>
      </c>
    </row>
    <row r="1037" spans="1:18" ht="15" customHeight="1">
      <c r="A1037" s="37" t="s">
        <v>39</v>
      </c>
      <c r="B1037" s="26" t="s">
        <v>1658</v>
      </c>
      <c r="C1037" s="39">
        <v>189</v>
      </c>
      <c r="D1037" s="40" t="s">
        <v>1716</v>
      </c>
      <c r="E1037" s="38" t="s">
        <v>4</v>
      </c>
      <c r="F1037" s="38" t="s">
        <v>13</v>
      </c>
      <c r="G1037" s="32">
        <v>4940329</v>
      </c>
      <c r="H1037" s="32">
        <v>0</v>
      </c>
      <c r="I1037" s="32">
        <v>10724694</v>
      </c>
      <c r="J1037" s="35">
        <f>+G1037-H1037+I1037</f>
        <v>15665023</v>
      </c>
      <c r="K1037" s="28">
        <v>0</v>
      </c>
      <c r="L1037" s="32">
        <v>0</v>
      </c>
      <c r="M1037" s="35">
        <f>+J1037+L1037</f>
        <v>15665023</v>
      </c>
      <c r="N1037" s="28" t="s">
        <v>1660</v>
      </c>
      <c r="O1037" s="29" t="s">
        <v>1661</v>
      </c>
      <c r="P1037" s="36">
        <v>43791</v>
      </c>
      <c r="Q1037" s="31">
        <v>28162.42</v>
      </c>
      <c r="R1037" s="33">
        <f>M1037/Q1037</f>
        <v>556.23852637663958</v>
      </c>
    </row>
    <row r="1038" spans="1:18" ht="15" customHeight="1">
      <c r="A1038" s="37" t="s">
        <v>293</v>
      </c>
      <c r="B1038" s="26" t="s">
        <v>294</v>
      </c>
      <c r="C1038" s="39">
        <v>569</v>
      </c>
      <c r="D1038" s="40" t="s">
        <v>1717</v>
      </c>
      <c r="E1038" s="38" t="s">
        <v>3</v>
      </c>
      <c r="F1038" s="38" t="s">
        <v>296</v>
      </c>
      <c r="G1038" s="32">
        <v>1713893</v>
      </c>
      <c r="H1038" s="32">
        <v>0</v>
      </c>
      <c r="I1038" s="32">
        <v>50624</v>
      </c>
      <c r="J1038" s="35">
        <f>+G1038-H1038+I1038</f>
        <v>1764517</v>
      </c>
      <c r="K1038" s="27" t="s">
        <v>401</v>
      </c>
      <c r="L1038" s="32">
        <v>0</v>
      </c>
      <c r="M1038" s="35">
        <f>+J1038+L1038</f>
        <v>1764517</v>
      </c>
      <c r="N1038" s="55" t="s">
        <v>402</v>
      </c>
      <c r="O1038" s="56" t="s">
        <v>403</v>
      </c>
      <c r="P1038" s="56">
        <v>44524</v>
      </c>
      <c r="Q1038" s="49">
        <v>30683.439999999999</v>
      </c>
      <c r="R1038" s="57">
        <f>+M1038/Q1038</f>
        <v>57.507143918674046</v>
      </c>
    </row>
    <row r="1039" spans="1:18" ht="15" customHeight="1">
      <c r="A1039" s="37" t="s">
        <v>293</v>
      </c>
      <c r="B1039" s="26" t="s">
        <v>294</v>
      </c>
      <c r="C1039" s="39">
        <v>188</v>
      </c>
      <c r="D1039" s="40" t="s">
        <v>1718</v>
      </c>
      <c r="E1039" s="38" t="s">
        <v>6</v>
      </c>
      <c r="F1039" s="38" t="s">
        <v>11</v>
      </c>
      <c r="G1039" s="32">
        <v>74890594</v>
      </c>
      <c r="H1039" s="32">
        <v>51653752</v>
      </c>
      <c r="I1039" s="52">
        <v>0</v>
      </c>
      <c r="J1039" s="35">
        <f>+G1039-H1039+I1039</f>
        <v>23236842</v>
      </c>
      <c r="K1039" s="28">
        <v>0</v>
      </c>
      <c r="L1039" s="32">
        <v>0</v>
      </c>
      <c r="M1039" s="35">
        <f>+J1039+L1039</f>
        <v>23236842</v>
      </c>
      <c r="N1039" s="28" t="s">
        <v>1537</v>
      </c>
      <c r="O1039" s="29" t="s">
        <v>1538</v>
      </c>
      <c r="P1039" s="36">
        <v>43914</v>
      </c>
      <c r="Q1039" s="31">
        <v>28331.86</v>
      </c>
      <c r="R1039" s="33">
        <f>M1039/Q1039</f>
        <v>820.16648395128311</v>
      </c>
    </row>
    <row r="1040" spans="1:18" ht="15" customHeight="1">
      <c r="A1040" s="37" t="s">
        <v>39</v>
      </c>
      <c r="B1040" s="26" t="s">
        <v>1658</v>
      </c>
      <c r="C1040" s="39">
        <v>188</v>
      </c>
      <c r="D1040" s="40" t="s">
        <v>1719</v>
      </c>
      <c r="E1040" s="38" t="s">
        <v>4</v>
      </c>
      <c r="F1040" s="38" t="s">
        <v>17</v>
      </c>
      <c r="G1040" s="32">
        <v>30072590</v>
      </c>
      <c r="H1040" s="32">
        <v>0</v>
      </c>
      <c r="I1040" s="52">
        <v>0</v>
      </c>
      <c r="J1040" s="35">
        <f>+G1040-H1040+I1040</f>
        <v>30072590</v>
      </c>
      <c r="K1040" s="28">
        <v>0</v>
      </c>
      <c r="L1040" s="32">
        <v>0</v>
      </c>
      <c r="M1040" s="35">
        <f>+J1040+L1040</f>
        <v>30072590</v>
      </c>
      <c r="N1040" s="28" t="s">
        <v>1660</v>
      </c>
      <c r="O1040" s="29" t="s">
        <v>1661</v>
      </c>
      <c r="P1040" s="36">
        <v>43791</v>
      </c>
      <c r="Q1040" s="31">
        <v>28162.42</v>
      </c>
      <c r="R1040" s="33">
        <f>M1040/Q1040</f>
        <v>1067.8269126019711</v>
      </c>
    </row>
    <row r="1041" spans="1:18" ht="15" customHeight="1">
      <c r="A1041" s="37" t="s">
        <v>293</v>
      </c>
      <c r="B1041" s="26" t="s">
        <v>294</v>
      </c>
      <c r="C1041" s="39">
        <v>187</v>
      </c>
      <c r="D1041" s="40" t="s">
        <v>1720</v>
      </c>
      <c r="E1041" s="38" t="s">
        <v>4</v>
      </c>
      <c r="F1041" s="38" t="s">
        <v>13</v>
      </c>
      <c r="G1041" s="32">
        <v>1751356</v>
      </c>
      <c r="H1041" s="32">
        <v>0</v>
      </c>
      <c r="I1041" s="32">
        <v>9544838</v>
      </c>
      <c r="J1041" s="35">
        <f>+G1041-H1041+I1041</f>
        <v>11296194</v>
      </c>
      <c r="K1041" s="28">
        <v>0</v>
      </c>
      <c r="L1041" s="32">
        <v>0</v>
      </c>
      <c r="M1041" s="35">
        <f>+J1041+L1041</f>
        <v>11296194</v>
      </c>
      <c r="N1041" s="28" t="s">
        <v>1354</v>
      </c>
      <c r="O1041" s="29" t="s">
        <v>1355</v>
      </c>
      <c r="P1041" s="36">
        <v>44335</v>
      </c>
      <c r="Q1041" s="31">
        <v>29567.53</v>
      </c>
      <c r="R1041" s="33">
        <f>M1041/Q1041</f>
        <v>382.04726603811685</v>
      </c>
    </row>
    <row r="1042" spans="1:18" ht="15" customHeight="1">
      <c r="A1042" s="37" t="s">
        <v>39</v>
      </c>
      <c r="B1042" s="26" t="s">
        <v>1658</v>
      </c>
      <c r="C1042" s="39">
        <v>187</v>
      </c>
      <c r="D1042" s="40" t="s">
        <v>1721</v>
      </c>
      <c r="E1042" s="38" t="s">
        <v>4</v>
      </c>
      <c r="F1042" s="38" t="s">
        <v>11</v>
      </c>
      <c r="G1042" s="32">
        <v>4012623</v>
      </c>
      <c r="H1042" s="32">
        <v>0</v>
      </c>
      <c r="I1042" s="32">
        <v>4929739</v>
      </c>
      <c r="J1042" s="35">
        <f>+G1042-H1042+I1042</f>
        <v>8942362</v>
      </c>
      <c r="K1042" s="28">
        <v>0</v>
      </c>
      <c r="L1042" s="32">
        <v>0</v>
      </c>
      <c r="M1042" s="35">
        <f>+J1042+L1042</f>
        <v>8942362</v>
      </c>
      <c r="N1042" s="28" t="s">
        <v>1660</v>
      </c>
      <c r="O1042" s="29" t="s">
        <v>1661</v>
      </c>
      <c r="P1042" s="36">
        <v>43791</v>
      </c>
      <c r="Q1042" s="31">
        <v>28162.42</v>
      </c>
      <c r="R1042" s="33">
        <f>M1042/Q1042</f>
        <v>317.52818117193056</v>
      </c>
    </row>
    <row r="1043" spans="1:18" ht="15" customHeight="1">
      <c r="A1043" s="37" t="s">
        <v>293</v>
      </c>
      <c r="B1043" s="26" t="s">
        <v>294</v>
      </c>
      <c r="C1043" s="39">
        <v>186</v>
      </c>
      <c r="D1043" s="40" t="s">
        <v>1722</v>
      </c>
      <c r="E1043" s="38" t="s">
        <v>3</v>
      </c>
      <c r="F1043" s="38" t="s">
        <v>13</v>
      </c>
      <c r="G1043" s="32">
        <v>772568</v>
      </c>
      <c r="H1043" s="32">
        <v>0</v>
      </c>
      <c r="I1043" s="52">
        <v>0</v>
      </c>
      <c r="J1043" s="35">
        <f>+G1043-H1043+I1043</f>
        <v>772568</v>
      </c>
      <c r="K1043" s="28">
        <v>0</v>
      </c>
      <c r="L1043" s="32">
        <v>0</v>
      </c>
      <c r="M1043" s="35">
        <f>+J1043+L1043</f>
        <v>772568</v>
      </c>
      <c r="N1043" s="28" t="s">
        <v>1567</v>
      </c>
      <c r="O1043" s="29" t="s">
        <v>1568</v>
      </c>
      <c r="P1043" s="36">
        <v>43886</v>
      </c>
      <c r="Q1043" s="31">
        <v>28440.19</v>
      </c>
      <c r="R1043" s="33">
        <f>M1043/Q1043</f>
        <v>27.164656776202975</v>
      </c>
    </row>
    <row r="1044" spans="1:18" ht="15" customHeight="1">
      <c r="A1044" s="37" t="s">
        <v>39</v>
      </c>
      <c r="B1044" s="26" t="s">
        <v>1658</v>
      </c>
      <c r="C1044" s="39">
        <v>186</v>
      </c>
      <c r="D1044" s="40" t="s">
        <v>1723</v>
      </c>
      <c r="E1044" s="38" t="s">
        <v>4</v>
      </c>
      <c r="F1044" s="38" t="s">
        <v>13</v>
      </c>
      <c r="G1044" s="32">
        <v>27541463</v>
      </c>
      <c r="H1044" s="32">
        <v>0</v>
      </c>
      <c r="I1044" s="52">
        <v>0</v>
      </c>
      <c r="J1044" s="35">
        <f>+G1044-H1044+I1044</f>
        <v>27541463</v>
      </c>
      <c r="K1044" s="28">
        <v>0</v>
      </c>
      <c r="L1044" s="32">
        <v>0</v>
      </c>
      <c r="M1044" s="35">
        <f>+J1044+L1044</f>
        <v>27541463</v>
      </c>
      <c r="N1044" s="28" t="s">
        <v>1660</v>
      </c>
      <c r="O1044" s="29" t="s">
        <v>1661</v>
      </c>
      <c r="P1044" s="36">
        <v>43791</v>
      </c>
      <c r="Q1044" s="31">
        <v>28162.42</v>
      </c>
      <c r="R1044" s="33">
        <f>M1044/Q1044</f>
        <v>977.9508650179921</v>
      </c>
    </row>
    <row r="1045" spans="1:18" ht="15" customHeight="1">
      <c r="A1045" s="37" t="s">
        <v>293</v>
      </c>
      <c r="B1045" s="26" t="s">
        <v>294</v>
      </c>
      <c r="C1045" s="39">
        <v>185</v>
      </c>
      <c r="D1045" s="40" t="s">
        <v>1724</v>
      </c>
      <c r="E1045" s="38" t="s">
        <v>3</v>
      </c>
      <c r="F1045" s="38" t="s">
        <v>13</v>
      </c>
      <c r="G1045" s="32">
        <v>451779</v>
      </c>
      <c r="H1045" s="32">
        <v>202282</v>
      </c>
      <c r="I1045" s="52">
        <v>0</v>
      </c>
      <c r="J1045" s="35">
        <f>+G1045-H1045+I1045</f>
        <v>249497</v>
      </c>
      <c r="K1045" s="28">
        <v>0</v>
      </c>
      <c r="L1045" s="32">
        <v>0</v>
      </c>
      <c r="M1045" s="35">
        <f>+J1045+L1045</f>
        <v>249497</v>
      </c>
      <c r="N1045" s="28" t="s">
        <v>1567</v>
      </c>
      <c r="O1045" s="29" t="s">
        <v>1568</v>
      </c>
      <c r="P1045" s="36">
        <v>43886</v>
      </c>
      <c r="Q1045" s="31">
        <v>28440.19</v>
      </c>
      <c r="R1045" s="33">
        <f>M1045/Q1045</f>
        <v>8.7726910403903773</v>
      </c>
    </row>
    <row r="1046" spans="1:18" ht="15" customHeight="1">
      <c r="A1046" s="37" t="s">
        <v>356</v>
      </c>
      <c r="B1046" s="26" t="s">
        <v>1540</v>
      </c>
      <c r="C1046" s="39">
        <v>185</v>
      </c>
      <c r="D1046" s="40" t="s">
        <v>1725</v>
      </c>
      <c r="E1046" s="38" t="s">
        <v>4</v>
      </c>
      <c r="F1046" s="38" t="s">
        <v>11</v>
      </c>
      <c r="G1046" s="32">
        <v>0</v>
      </c>
      <c r="H1046" s="32">
        <v>922748</v>
      </c>
      <c r="I1046" s="52">
        <v>0</v>
      </c>
      <c r="J1046" s="35">
        <f>+G1046-H1046+I1046</f>
        <v>-922748</v>
      </c>
      <c r="K1046" s="28">
        <v>0</v>
      </c>
      <c r="L1046" s="32">
        <v>0</v>
      </c>
      <c r="M1046" s="35">
        <f>+J1046+L1046</f>
        <v>-922748</v>
      </c>
      <c r="N1046" s="28" t="s">
        <v>1632</v>
      </c>
      <c r="O1046" s="29" t="s">
        <v>1543</v>
      </c>
      <c r="P1046" s="36">
        <v>43336</v>
      </c>
      <c r="Q1046" s="31">
        <v>27262.98</v>
      </c>
      <c r="R1046" s="33">
        <f>M1046/Q1046</f>
        <v>-33.846189961625619</v>
      </c>
    </row>
    <row r="1047" spans="1:18" ht="15" customHeight="1">
      <c r="A1047" s="37" t="s">
        <v>39</v>
      </c>
      <c r="B1047" s="26" t="s">
        <v>1658</v>
      </c>
      <c r="C1047" s="39">
        <v>185</v>
      </c>
      <c r="D1047" s="40" t="s">
        <v>1726</v>
      </c>
      <c r="E1047" s="38" t="s">
        <v>6</v>
      </c>
      <c r="F1047" s="38" t="s">
        <v>11</v>
      </c>
      <c r="G1047" s="32">
        <v>3339341</v>
      </c>
      <c r="H1047" s="32">
        <v>0</v>
      </c>
      <c r="I1047" s="52">
        <v>0</v>
      </c>
      <c r="J1047" s="35">
        <f>+G1047-H1047+I1047</f>
        <v>3339341</v>
      </c>
      <c r="K1047" s="28">
        <v>0</v>
      </c>
      <c r="L1047" s="32">
        <v>0</v>
      </c>
      <c r="M1047" s="35">
        <f>+J1047+L1047</f>
        <v>3339341</v>
      </c>
      <c r="N1047" s="28" t="s">
        <v>1660</v>
      </c>
      <c r="O1047" s="29" t="s">
        <v>1661</v>
      </c>
      <c r="P1047" s="36">
        <v>43791</v>
      </c>
      <c r="Q1047" s="31">
        <v>28162.42</v>
      </c>
      <c r="R1047" s="33">
        <f>M1047/Q1047</f>
        <v>118.57436257253461</v>
      </c>
    </row>
    <row r="1048" spans="1:18" ht="15" customHeight="1">
      <c r="A1048" s="37" t="s">
        <v>39</v>
      </c>
      <c r="B1048" s="26" t="s">
        <v>1658</v>
      </c>
      <c r="C1048" s="39">
        <v>184</v>
      </c>
      <c r="D1048" s="40" t="s">
        <v>1727</v>
      </c>
      <c r="E1048" s="38" t="s">
        <v>6</v>
      </c>
      <c r="F1048" s="38" t="s">
        <v>21</v>
      </c>
      <c r="G1048" s="32">
        <v>20738582</v>
      </c>
      <c r="H1048" s="32">
        <v>0</v>
      </c>
      <c r="I1048" s="32">
        <v>1974612</v>
      </c>
      <c r="J1048" s="35">
        <f>+G1048-H1048+I1048</f>
        <v>22713194</v>
      </c>
      <c r="K1048" s="28">
        <v>0</v>
      </c>
      <c r="L1048" s="32">
        <v>0</v>
      </c>
      <c r="M1048" s="35">
        <f>+J1048+L1048</f>
        <v>22713194</v>
      </c>
      <c r="N1048" s="28" t="s">
        <v>1660</v>
      </c>
      <c r="O1048" s="29" t="s">
        <v>1661</v>
      </c>
      <c r="P1048" s="36">
        <v>43791</v>
      </c>
      <c r="Q1048" s="31">
        <v>28162.42</v>
      </c>
      <c r="R1048" s="33">
        <f>M1048/Q1048</f>
        <v>806.50718226629681</v>
      </c>
    </row>
    <row r="1049" spans="1:18" ht="15" customHeight="1">
      <c r="A1049" s="37" t="s">
        <v>688</v>
      </c>
      <c r="B1049" s="26" t="s">
        <v>1728</v>
      </c>
      <c r="C1049" s="39">
        <v>184</v>
      </c>
      <c r="D1049" s="40" t="s">
        <v>1729</v>
      </c>
      <c r="E1049" s="38" t="s">
        <v>4</v>
      </c>
      <c r="F1049" s="38" t="s">
        <v>20</v>
      </c>
      <c r="G1049" s="32">
        <v>0</v>
      </c>
      <c r="H1049" s="32">
        <v>0</v>
      </c>
      <c r="I1049" s="32">
        <v>15065362</v>
      </c>
      <c r="J1049" s="35">
        <f>+G1049-H1049+I1049</f>
        <v>15065362</v>
      </c>
      <c r="K1049" s="28">
        <v>0</v>
      </c>
      <c r="L1049" s="32">
        <v>0</v>
      </c>
      <c r="M1049" s="35">
        <f>+J1049+L1049</f>
        <v>15065362</v>
      </c>
      <c r="N1049" s="28" t="s">
        <v>1730</v>
      </c>
      <c r="O1049" s="29" t="s">
        <v>1731</v>
      </c>
      <c r="P1049" s="36">
        <v>43444</v>
      </c>
      <c r="Q1049" s="31">
        <v>27565.79</v>
      </c>
      <c r="R1049" s="33">
        <f>M1049/Q1049</f>
        <v>546.52386164154916</v>
      </c>
    </row>
    <row r="1050" spans="1:18" ht="15" customHeight="1">
      <c r="A1050" s="37" t="s">
        <v>293</v>
      </c>
      <c r="B1050" s="26" t="s">
        <v>294</v>
      </c>
      <c r="C1050" s="39">
        <v>183</v>
      </c>
      <c r="D1050" s="40" t="s">
        <v>1732</v>
      </c>
      <c r="E1050" s="38" t="s">
        <v>3</v>
      </c>
      <c r="F1050" s="38" t="s">
        <v>13</v>
      </c>
      <c r="G1050" s="32">
        <v>246727</v>
      </c>
      <c r="H1050" s="32">
        <v>66773</v>
      </c>
      <c r="I1050" s="52">
        <v>0</v>
      </c>
      <c r="J1050" s="35">
        <f>+G1050-H1050+I1050</f>
        <v>179954</v>
      </c>
      <c r="K1050" s="28">
        <v>0</v>
      </c>
      <c r="L1050" s="32">
        <v>0</v>
      </c>
      <c r="M1050" s="35">
        <f>+J1050+L1050</f>
        <v>179954</v>
      </c>
      <c r="N1050" s="28" t="s">
        <v>1567</v>
      </c>
      <c r="O1050" s="29" t="s">
        <v>1568</v>
      </c>
      <c r="P1050" s="36">
        <v>43886</v>
      </c>
      <c r="Q1050" s="31">
        <v>28440.19</v>
      </c>
      <c r="R1050" s="33">
        <f>M1050/Q1050</f>
        <v>6.3274542118037891</v>
      </c>
    </row>
    <row r="1051" spans="1:18" ht="15" customHeight="1">
      <c r="A1051" s="37" t="s">
        <v>356</v>
      </c>
      <c r="B1051" s="26" t="s">
        <v>1540</v>
      </c>
      <c r="C1051" s="39">
        <v>183</v>
      </c>
      <c r="D1051" s="40" t="s">
        <v>1733</v>
      </c>
      <c r="E1051" s="38" t="s">
        <v>3</v>
      </c>
      <c r="F1051" s="38" t="s">
        <v>11</v>
      </c>
      <c r="G1051" s="32">
        <v>196298</v>
      </c>
      <c r="H1051" s="32">
        <v>0</v>
      </c>
      <c r="I1051" s="32">
        <v>1259759</v>
      </c>
      <c r="J1051" s="35">
        <f>+G1051-H1051+I1051</f>
        <v>1456057</v>
      </c>
      <c r="K1051" s="28">
        <v>0</v>
      </c>
      <c r="L1051" s="32">
        <v>0</v>
      </c>
      <c r="M1051" s="35">
        <f>+J1051+L1051</f>
        <v>1456057</v>
      </c>
      <c r="N1051" s="28" t="s">
        <v>1579</v>
      </c>
      <c r="O1051" s="29" t="s">
        <v>1543</v>
      </c>
      <c r="P1051" s="36">
        <v>43427</v>
      </c>
      <c r="Q1051" s="31">
        <v>27507.17</v>
      </c>
      <c r="R1051" s="33">
        <f>M1051/Q1051</f>
        <v>52.933726006710252</v>
      </c>
    </row>
    <row r="1052" spans="1:18" ht="15" customHeight="1">
      <c r="A1052" s="37" t="s">
        <v>39</v>
      </c>
      <c r="B1052" s="26" t="s">
        <v>1658</v>
      </c>
      <c r="C1052" s="39">
        <v>183</v>
      </c>
      <c r="D1052" s="40" t="s">
        <v>704</v>
      </c>
      <c r="E1052" s="38" t="s">
        <v>198</v>
      </c>
      <c r="F1052" s="38" t="s">
        <v>21</v>
      </c>
      <c r="G1052" s="32">
        <v>6652641</v>
      </c>
      <c r="H1052" s="32">
        <v>0</v>
      </c>
      <c r="I1052" s="32">
        <v>28507720</v>
      </c>
      <c r="J1052" s="35">
        <f>+G1052-H1052+I1052</f>
        <v>35160361</v>
      </c>
      <c r="K1052" s="28">
        <v>0</v>
      </c>
      <c r="L1052" s="32">
        <v>0</v>
      </c>
      <c r="M1052" s="35">
        <f>+J1052+L1052</f>
        <v>35160361</v>
      </c>
      <c r="N1052" s="28" t="s">
        <v>1660</v>
      </c>
      <c r="O1052" s="29" t="s">
        <v>1661</v>
      </c>
      <c r="P1052" s="36">
        <v>43791</v>
      </c>
      <c r="Q1052" s="31">
        <v>28162.42</v>
      </c>
      <c r="R1052" s="33">
        <f>M1052/Q1052</f>
        <v>1248.4850733708254</v>
      </c>
    </row>
    <row r="1053" spans="1:18" ht="15" customHeight="1">
      <c r="A1053" s="37" t="s">
        <v>293</v>
      </c>
      <c r="B1053" s="26" t="s">
        <v>294</v>
      </c>
      <c r="C1053" s="39">
        <v>502</v>
      </c>
      <c r="D1053" s="40" t="s">
        <v>1734</v>
      </c>
      <c r="E1053" s="38" t="s">
        <v>198</v>
      </c>
      <c r="F1053" s="38" t="s">
        <v>10</v>
      </c>
      <c r="G1053" s="32">
        <v>1795830</v>
      </c>
      <c r="H1053" s="32">
        <v>0</v>
      </c>
      <c r="I1053" s="52">
        <v>0</v>
      </c>
      <c r="J1053" s="35">
        <f>+G1053-H1053+I1053</f>
        <v>1795830</v>
      </c>
      <c r="K1053" s="27" t="s">
        <v>297</v>
      </c>
      <c r="L1053" s="32">
        <v>0</v>
      </c>
      <c r="M1053" s="35">
        <f>+J1053+L1053</f>
        <v>1795830</v>
      </c>
      <c r="N1053" s="28" t="s">
        <v>459</v>
      </c>
      <c r="O1053" s="29" t="s">
        <v>460</v>
      </c>
      <c r="P1053" s="36" t="s">
        <v>461</v>
      </c>
      <c r="Q1053" s="31">
        <v>30683.439999999999</v>
      </c>
      <c r="R1053" s="33">
        <f>+M1053/Q1053</f>
        <v>58.52766182670522</v>
      </c>
    </row>
    <row r="1054" spans="1:18" ht="15" customHeight="1">
      <c r="A1054" s="37" t="s">
        <v>688</v>
      </c>
      <c r="B1054" s="26" t="s">
        <v>1728</v>
      </c>
      <c r="C1054" s="39">
        <v>183</v>
      </c>
      <c r="D1054" s="40" t="s">
        <v>1735</v>
      </c>
      <c r="E1054" s="38" t="s">
        <v>198</v>
      </c>
      <c r="F1054" s="38" t="s">
        <v>11</v>
      </c>
      <c r="G1054" s="32">
        <v>3875782</v>
      </c>
      <c r="H1054" s="32">
        <v>0</v>
      </c>
      <c r="I1054" s="52">
        <v>0</v>
      </c>
      <c r="J1054" s="35">
        <f>+G1054-H1054+I1054</f>
        <v>3875782</v>
      </c>
      <c r="K1054" s="28">
        <v>0</v>
      </c>
      <c r="L1054" s="32">
        <v>0</v>
      </c>
      <c r="M1054" s="35">
        <f>+J1054+L1054</f>
        <v>3875782</v>
      </c>
      <c r="N1054" s="28" t="s">
        <v>1730</v>
      </c>
      <c r="O1054" s="29" t="s">
        <v>1731</v>
      </c>
      <c r="P1054" s="36">
        <v>43444</v>
      </c>
      <c r="Q1054" s="31">
        <v>27565.79</v>
      </c>
      <c r="R1054" s="33">
        <f>M1054/Q1054</f>
        <v>140.60115817467954</v>
      </c>
    </row>
    <row r="1055" spans="1:18" ht="15" customHeight="1">
      <c r="A1055" s="37" t="s">
        <v>293</v>
      </c>
      <c r="B1055" s="26" t="s">
        <v>294</v>
      </c>
      <c r="C1055" s="39">
        <v>182</v>
      </c>
      <c r="D1055" s="40" t="s">
        <v>1736</v>
      </c>
      <c r="E1055" s="38" t="s">
        <v>3</v>
      </c>
      <c r="F1055" s="38" t="s">
        <v>13</v>
      </c>
      <c r="G1055" s="32">
        <v>203575</v>
      </c>
      <c r="H1055" s="32">
        <v>0</v>
      </c>
      <c r="I1055" s="52">
        <v>0</v>
      </c>
      <c r="J1055" s="35">
        <f>+G1055-H1055+I1055</f>
        <v>203575</v>
      </c>
      <c r="K1055" s="28">
        <v>0</v>
      </c>
      <c r="L1055" s="32">
        <v>0</v>
      </c>
      <c r="M1055" s="35">
        <f>+J1055+L1055</f>
        <v>203575</v>
      </c>
      <c r="N1055" s="28" t="s">
        <v>1567</v>
      </c>
      <c r="O1055" s="29" t="s">
        <v>1568</v>
      </c>
      <c r="P1055" s="36">
        <v>43886</v>
      </c>
      <c r="Q1055" s="31">
        <v>28440.19</v>
      </c>
      <c r="R1055" s="33">
        <f>M1055/Q1055</f>
        <v>7.1580042186778643</v>
      </c>
    </row>
    <row r="1056" spans="1:18" ht="15" customHeight="1">
      <c r="A1056" s="37" t="s">
        <v>39</v>
      </c>
      <c r="B1056" s="26" t="s">
        <v>1658</v>
      </c>
      <c r="C1056" s="39">
        <v>182</v>
      </c>
      <c r="D1056" s="40" t="s">
        <v>1737</v>
      </c>
      <c r="E1056" s="38" t="s">
        <v>4</v>
      </c>
      <c r="F1056" s="38" t="s">
        <v>12</v>
      </c>
      <c r="G1056" s="32">
        <v>6898942</v>
      </c>
      <c r="H1056" s="32">
        <v>0</v>
      </c>
      <c r="I1056" s="32">
        <v>33070343</v>
      </c>
      <c r="J1056" s="35">
        <f>+G1056-H1056+I1056</f>
        <v>39969285</v>
      </c>
      <c r="K1056" s="28">
        <v>0</v>
      </c>
      <c r="L1056" s="32">
        <v>0</v>
      </c>
      <c r="M1056" s="35">
        <f>+J1056+L1056</f>
        <v>39969285</v>
      </c>
      <c r="N1056" s="28" t="s">
        <v>1660</v>
      </c>
      <c r="O1056" s="29" t="s">
        <v>1661</v>
      </c>
      <c r="P1056" s="36">
        <v>43791</v>
      </c>
      <c r="Q1056" s="31">
        <v>28162.42</v>
      </c>
      <c r="R1056" s="33">
        <f>M1056/Q1056</f>
        <v>1419.2418478241573</v>
      </c>
    </row>
    <row r="1057" spans="1:18" ht="15" customHeight="1">
      <c r="A1057" s="37" t="s">
        <v>293</v>
      </c>
      <c r="B1057" s="26" t="s">
        <v>294</v>
      </c>
      <c r="C1057" s="39">
        <v>586</v>
      </c>
      <c r="D1057" s="40" t="s">
        <v>1738</v>
      </c>
      <c r="E1057" s="38" t="s">
        <v>4</v>
      </c>
      <c r="F1057" s="38" t="s">
        <v>18</v>
      </c>
      <c r="G1057" s="32">
        <v>1822088</v>
      </c>
      <c r="H1057" s="32">
        <v>0</v>
      </c>
      <c r="I1057" s="32">
        <v>588397</v>
      </c>
      <c r="J1057" s="35">
        <f>+G1057-H1057+I1057</f>
        <v>2410485</v>
      </c>
      <c r="K1057" s="27" t="s">
        <v>297</v>
      </c>
      <c r="L1057" s="32">
        <v>0</v>
      </c>
      <c r="M1057" s="35">
        <f>+J1057+L1057</f>
        <v>2410485</v>
      </c>
      <c r="N1057" s="55" t="s">
        <v>298</v>
      </c>
      <c r="O1057" s="56" t="s">
        <v>299</v>
      </c>
      <c r="P1057" s="56">
        <v>44502</v>
      </c>
      <c r="Q1057" s="49">
        <v>30403.919999999998</v>
      </c>
      <c r="R1057" s="57">
        <f>+M1057/Q1057</f>
        <v>79.282046525579602</v>
      </c>
    </row>
    <row r="1058" spans="1:18" s="30" customFormat="1" ht="15" customHeight="1">
      <c r="A1058" s="37" t="s">
        <v>293</v>
      </c>
      <c r="B1058" s="26" t="s">
        <v>294</v>
      </c>
      <c r="C1058" s="39">
        <v>181</v>
      </c>
      <c r="D1058" s="40" t="s">
        <v>1739</v>
      </c>
      <c r="E1058" s="38" t="s">
        <v>3</v>
      </c>
      <c r="F1058" s="38" t="s">
        <v>12</v>
      </c>
      <c r="G1058" s="32">
        <v>0</v>
      </c>
      <c r="H1058" s="32">
        <v>0</v>
      </c>
      <c r="I1058" s="32">
        <v>844602</v>
      </c>
      <c r="J1058" s="35">
        <f>+G1058-H1058+I1058</f>
        <v>844602</v>
      </c>
      <c r="K1058" s="28">
        <v>0</v>
      </c>
      <c r="L1058" s="32">
        <v>0</v>
      </c>
      <c r="M1058" s="35">
        <f>+J1058+L1058</f>
        <v>844602</v>
      </c>
      <c r="N1058" s="28" t="s">
        <v>1567</v>
      </c>
      <c r="O1058" s="29" t="s">
        <v>1568</v>
      </c>
      <c r="P1058" s="36">
        <v>43886</v>
      </c>
      <c r="Q1058" s="31">
        <v>28440.19</v>
      </c>
      <c r="R1058" s="33">
        <f>M1058/Q1058</f>
        <v>29.697480924002267</v>
      </c>
    </row>
    <row r="1059" spans="1:18" s="30" customFormat="1" ht="15" customHeight="1">
      <c r="A1059" s="37" t="s">
        <v>356</v>
      </c>
      <c r="B1059" s="26" t="s">
        <v>1540</v>
      </c>
      <c r="C1059" s="39">
        <v>181</v>
      </c>
      <c r="D1059" s="40" t="s">
        <v>1740</v>
      </c>
      <c r="E1059" s="38" t="s">
        <v>4</v>
      </c>
      <c r="F1059" s="38" t="s">
        <v>11</v>
      </c>
      <c r="G1059" s="32">
        <v>3292083</v>
      </c>
      <c r="H1059" s="32">
        <v>0</v>
      </c>
      <c r="I1059" s="52">
        <v>0</v>
      </c>
      <c r="J1059" s="35">
        <f>+G1059-H1059+I1059</f>
        <v>3292083</v>
      </c>
      <c r="K1059" s="28">
        <v>0</v>
      </c>
      <c r="L1059" s="32">
        <v>0</v>
      </c>
      <c r="M1059" s="35">
        <f>+J1059+L1059</f>
        <v>3292083</v>
      </c>
      <c r="N1059" s="28" t="s">
        <v>1632</v>
      </c>
      <c r="O1059" s="29" t="s">
        <v>1543</v>
      </c>
      <c r="P1059" s="36">
        <v>43336</v>
      </c>
      <c r="Q1059" s="31">
        <v>27262.98</v>
      </c>
      <c r="R1059" s="33">
        <f>M1059/Q1059</f>
        <v>120.7528670746925</v>
      </c>
    </row>
    <row r="1060" spans="1:18" s="30" customFormat="1" ht="15" customHeight="1">
      <c r="A1060" s="37" t="s">
        <v>39</v>
      </c>
      <c r="B1060" s="26" t="s">
        <v>1658</v>
      </c>
      <c r="C1060" s="39">
        <v>181</v>
      </c>
      <c r="D1060" s="40" t="s">
        <v>1741</v>
      </c>
      <c r="E1060" s="38" t="s">
        <v>4</v>
      </c>
      <c r="F1060" s="38" t="s">
        <v>12</v>
      </c>
      <c r="G1060" s="32">
        <v>3991306</v>
      </c>
      <c r="H1060" s="32">
        <v>6755212</v>
      </c>
      <c r="I1060" s="52">
        <v>0</v>
      </c>
      <c r="J1060" s="35">
        <f>+G1060-H1060+I1060</f>
        <v>-2763906</v>
      </c>
      <c r="K1060" s="28">
        <v>0</v>
      </c>
      <c r="L1060" s="32">
        <v>0</v>
      </c>
      <c r="M1060" s="35">
        <f>+J1060+L1060</f>
        <v>-2763906</v>
      </c>
      <c r="N1060" s="28" t="s">
        <v>1742</v>
      </c>
      <c r="O1060" s="29" t="s">
        <v>1743</v>
      </c>
      <c r="P1060" s="36">
        <v>43720</v>
      </c>
      <c r="Q1060" s="31">
        <v>28014.93</v>
      </c>
      <c r="R1060" s="33">
        <f>M1060/Q1060</f>
        <v>-98.658322544443266</v>
      </c>
    </row>
    <row r="1061" spans="1:18" s="30" customFormat="1" ht="15" customHeight="1">
      <c r="A1061" s="37" t="s">
        <v>688</v>
      </c>
      <c r="B1061" s="26" t="s">
        <v>1728</v>
      </c>
      <c r="C1061" s="39">
        <v>181</v>
      </c>
      <c r="D1061" s="40" t="s">
        <v>1744</v>
      </c>
      <c r="E1061" s="38" t="s">
        <v>198</v>
      </c>
      <c r="F1061" s="38" t="s">
        <v>11</v>
      </c>
      <c r="G1061" s="32">
        <v>3951236</v>
      </c>
      <c r="H1061" s="32">
        <v>2137918</v>
      </c>
      <c r="I1061" s="52">
        <v>0</v>
      </c>
      <c r="J1061" s="35">
        <f>+G1061-H1061+I1061</f>
        <v>1813318</v>
      </c>
      <c r="K1061" s="28">
        <v>0</v>
      </c>
      <c r="L1061" s="32">
        <v>0</v>
      </c>
      <c r="M1061" s="35">
        <f>+J1061+L1061</f>
        <v>1813318</v>
      </c>
      <c r="N1061" s="28" t="s">
        <v>1730</v>
      </c>
      <c r="O1061" s="29" t="s">
        <v>1731</v>
      </c>
      <c r="P1061" s="36">
        <v>43444</v>
      </c>
      <c r="Q1061" s="31">
        <v>27565.79</v>
      </c>
      <c r="R1061" s="33">
        <f>M1061/Q1061</f>
        <v>65.781463183170146</v>
      </c>
    </row>
    <row r="1062" spans="1:18" s="30" customFormat="1" ht="15" customHeight="1">
      <c r="A1062" s="37" t="s">
        <v>293</v>
      </c>
      <c r="B1062" s="26" t="s">
        <v>294</v>
      </c>
      <c r="C1062" s="39">
        <v>180</v>
      </c>
      <c r="D1062" s="40" t="s">
        <v>1745</v>
      </c>
      <c r="E1062" s="38" t="s">
        <v>3</v>
      </c>
      <c r="F1062" s="38" t="s">
        <v>12</v>
      </c>
      <c r="G1062" s="32">
        <v>594979</v>
      </c>
      <c r="H1062" s="32">
        <v>0</v>
      </c>
      <c r="I1062" s="52">
        <v>0</v>
      </c>
      <c r="J1062" s="35">
        <f>+G1062-H1062+I1062</f>
        <v>594979</v>
      </c>
      <c r="K1062" s="28">
        <v>0</v>
      </c>
      <c r="L1062" s="32">
        <v>0</v>
      </c>
      <c r="M1062" s="35">
        <f>+J1062+L1062</f>
        <v>594979</v>
      </c>
      <c r="N1062" s="28" t="s">
        <v>1567</v>
      </c>
      <c r="O1062" s="29" t="s">
        <v>1568</v>
      </c>
      <c r="P1062" s="36">
        <v>43886</v>
      </c>
      <c r="Q1062" s="31">
        <v>28440.19</v>
      </c>
      <c r="R1062" s="33">
        <f>M1062/Q1062</f>
        <v>20.920359533463035</v>
      </c>
    </row>
    <row r="1063" spans="1:18" s="30" customFormat="1" ht="15" customHeight="1">
      <c r="A1063" s="37" t="s">
        <v>39</v>
      </c>
      <c r="B1063" s="26" t="s">
        <v>1658</v>
      </c>
      <c r="C1063" s="39">
        <v>180</v>
      </c>
      <c r="D1063" s="40" t="s">
        <v>1746</v>
      </c>
      <c r="E1063" s="38" t="s">
        <v>198</v>
      </c>
      <c r="F1063" s="38" t="s">
        <v>21</v>
      </c>
      <c r="G1063" s="32">
        <v>10773413</v>
      </c>
      <c r="H1063" s="32">
        <v>0</v>
      </c>
      <c r="I1063" s="32">
        <v>37825762</v>
      </c>
      <c r="J1063" s="35">
        <f>+G1063-H1063+I1063</f>
        <v>48599175</v>
      </c>
      <c r="K1063" s="28">
        <v>0</v>
      </c>
      <c r="L1063" s="32">
        <v>0</v>
      </c>
      <c r="M1063" s="35">
        <f>+J1063+L1063</f>
        <v>48599175</v>
      </c>
      <c r="N1063" s="28" t="s">
        <v>1742</v>
      </c>
      <c r="O1063" s="29" t="s">
        <v>1743</v>
      </c>
      <c r="P1063" s="36">
        <v>43720</v>
      </c>
      <c r="Q1063" s="31">
        <v>28014.93</v>
      </c>
      <c r="R1063" s="33">
        <f>M1063/Q1063</f>
        <v>1734.7598227088199</v>
      </c>
    </row>
    <row r="1064" spans="1:18" s="30" customFormat="1" ht="15" customHeight="1">
      <c r="A1064" s="37" t="s">
        <v>293</v>
      </c>
      <c r="B1064" s="26" t="s">
        <v>294</v>
      </c>
      <c r="C1064" s="39">
        <v>179</v>
      </c>
      <c r="D1064" s="40" t="s">
        <v>1747</v>
      </c>
      <c r="E1064" s="38" t="s">
        <v>3</v>
      </c>
      <c r="F1064" s="38" t="s">
        <v>15</v>
      </c>
      <c r="G1064" s="32">
        <v>44357323</v>
      </c>
      <c r="H1064" s="32">
        <v>0</v>
      </c>
      <c r="I1064" s="32">
        <v>710270</v>
      </c>
      <c r="J1064" s="35">
        <f>+G1064-H1064+I1064</f>
        <v>45067593</v>
      </c>
      <c r="K1064" s="28">
        <v>0</v>
      </c>
      <c r="L1064" s="32">
        <v>0</v>
      </c>
      <c r="M1064" s="35">
        <f>+J1064+L1064</f>
        <v>45067593</v>
      </c>
      <c r="N1064" s="28" t="s">
        <v>1537</v>
      </c>
      <c r="O1064" s="29" t="s">
        <v>1538</v>
      </c>
      <c r="P1064" s="36">
        <v>43914</v>
      </c>
      <c r="Q1064" s="31">
        <v>28331.86</v>
      </c>
      <c r="R1064" s="33">
        <f>M1064/Q1064</f>
        <v>1590.7036460013567</v>
      </c>
    </row>
    <row r="1065" spans="1:18" s="30" customFormat="1" ht="15" customHeight="1">
      <c r="A1065" s="37" t="s">
        <v>356</v>
      </c>
      <c r="B1065" s="26" t="s">
        <v>1540</v>
      </c>
      <c r="C1065" s="39">
        <v>179</v>
      </c>
      <c r="D1065" s="40" t="s">
        <v>1748</v>
      </c>
      <c r="E1065" s="38" t="s">
        <v>3</v>
      </c>
      <c r="F1065" s="38" t="s">
        <v>11</v>
      </c>
      <c r="G1065" s="32">
        <v>691689</v>
      </c>
      <c r="H1065" s="32">
        <v>0</v>
      </c>
      <c r="I1065" s="32">
        <v>1144237</v>
      </c>
      <c r="J1065" s="35">
        <f>+G1065-H1065+I1065</f>
        <v>1835926</v>
      </c>
      <c r="K1065" s="28">
        <v>0</v>
      </c>
      <c r="L1065" s="32">
        <v>0</v>
      </c>
      <c r="M1065" s="35">
        <f>+J1065+L1065</f>
        <v>1835926</v>
      </c>
      <c r="N1065" s="28" t="s">
        <v>1603</v>
      </c>
      <c r="O1065" s="29" t="s">
        <v>1543</v>
      </c>
      <c r="P1065" s="36">
        <v>43384</v>
      </c>
      <c r="Q1065" s="31">
        <v>27379.14</v>
      </c>
      <c r="R1065" s="33">
        <f>M1065/Q1065</f>
        <v>67.055648935649558</v>
      </c>
    </row>
    <row r="1066" spans="1:18" s="30" customFormat="1" ht="15" customHeight="1">
      <c r="A1066" s="37" t="s">
        <v>39</v>
      </c>
      <c r="B1066" s="26" t="s">
        <v>1658</v>
      </c>
      <c r="C1066" s="39">
        <v>179</v>
      </c>
      <c r="D1066" s="40" t="s">
        <v>1749</v>
      </c>
      <c r="E1066" s="38" t="s">
        <v>4</v>
      </c>
      <c r="F1066" s="38" t="s">
        <v>11</v>
      </c>
      <c r="G1066" s="32">
        <v>0</v>
      </c>
      <c r="H1066" s="32">
        <v>21492507</v>
      </c>
      <c r="I1066" s="32">
        <v>32494864</v>
      </c>
      <c r="J1066" s="35">
        <f>+G1066-H1066+I1066</f>
        <v>11002357</v>
      </c>
      <c r="K1066" s="28">
        <v>0</v>
      </c>
      <c r="L1066" s="32">
        <v>0</v>
      </c>
      <c r="M1066" s="35">
        <f>+J1066+L1066</f>
        <v>11002357</v>
      </c>
      <c r="N1066" s="28" t="s">
        <v>1742</v>
      </c>
      <c r="O1066" s="29" t="s">
        <v>1743</v>
      </c>
      <c r="P1066" s="36">
        <v>43720</v>
      </c>
      <c r="Q1066" s="31">
        <v>28014.93</v>
      </c>
      <c r="R1066" s="33">
        <f>M1066/Q1066</f>
        <v>392.7319111630834</v>
      </c>
    </row>
    <row r="1067" spans="1:18" s="30" customFormat="1" ht="15" customHeight="1">
      <c r="A1067" s="37" t="s">
        <v>293</v>
      </c>
      <c r="B1067" s="26" t="s">
        <v>294</v>
      </c>
      <c r="C1067" s="39">
        <v>178</v>
      </c>
      <c r="D1067" s="40" t="s">
        <v>1750</v>
      </c>
      <c r="E1067" s="38" t="s">
        <v>3</v>
      </c>
      <c r="F1067" s="38" t="s">
        <v>15</v>
      </c>
      <c r="G1067" s="32">
        <v>29451246</v>
      </c>
      <c r="H1067" s="32">
        <v>0</v>
      </c>
      <c r="I1067" s="52">
        <v>0</v>
      </c>
      <c r="J1067" s="35">
        <f>+G1067-H1067+I1067</f>
        <v>29451246</v>
      </c>
      <c r="K1067" s="28">
        <v>0</v>
      </c>
      <c r="L1067" s="32">
        <v>0</v>
      </c>
      <c r="M1067" s="35">
        <f>+J1067+L1067</f>
        <v>29451246</v>
      </c>
      <c r="N1067" s="28" t="s">
        <v>1567</v>
      </c>
      <c r="O1067" s="29" t="s">
        <v>1568</v>
      </c>
      <c r="P1067" s="36">
        <v>43886</v>
      </c>
      <c r="Q1067" s="31">
        <v>28440.19</v>
      </c>
      <c r="R1067" s="33">
        <f>M1067/Q1067</f>
        <v>1035.5502547627143</v>
      </c>
    </row>
    <row r="1068" spans="1:18" s="30" customFormat="1" ht="15" customHeight="1">
      <c r="A1068" s="37" t="s">
        <v>356</v>
      </c>
      <c r="B1068" s="26" t="s">
        <v>1540</v>
      </c>
      <c r="C1068" s="39">
        <v>178</v>
      </c>
      <c r="D1068" s="40" t="s">
        <v>1751</v>
      </c>
      <c r="E1068" s="38" t="s">
        <v>3</v>
      </c>
      <c r="F1068" s="38" t="s">
        <v>15</v>
      </c>
      <c r="G1068" s="32">
        <v>232069</v>
      </c>
      <c r="H1068" s="32">
        <v>0</v>
      </c>
      <c r="I1068" s="32">
        <v>1218990</v>
      </c>
      <c r="J1068" s="35">
        <f>+G1068-H1068+I1068</f>
        <v>1451059</v>
      </c>
      <c r="K1068" s="28">
        <v>0</v>
      </c>
      <c r="L1068" s="32">
        <v>0</v>
      </c>
      <c r="M1068" s="35">
        <f>+J1068+L1068</f>
        <v>1451059</v>
      </c>
      <c r="N1068" s="28" t="s">
        <v>1579</v>
      </c>
      <c r="O1068" s="29" t="s">
        <v>1543</v>
      </c>
      <c r="P1068" s="36">
        <v>43427</v>
      </c>
      <c r="Q1068" s="31">
        <v>27507.17</v>
      </c>
      <c r="R1068" s="33">
        <f>M1068/Q1068</f>
        <v>52.752027925809891</v>
      </c>
    </row>
    <row r="1069" spans="1:18" s="30" customFormat="1" ht="15" customHeight="1">
      <c r="A1069" s="37" t="s">
        <v>39</v>
      </c>
      <c r="B1069" s="26" t="s">
        <v>1658</v>
      </c>
      <c r="C1069" s="39">
        <v>178</v>
      </c>
      <c r="D1069" s="40" t="s">
        <v>1752</v>
      </c>
      <c r="E1069" s="38" t="s">
        <v>4</v>
      </c>
      <c r="F1069" s="38" t="s">
        <v>13</v>
      </c>
      <c r="G1069" s="32">
        <v>0</v>
      </c>
      <c r="H1069" s="32">
        <v>0</v>
      </c>
      <c r="I1069" s="32">
        <v>33007995</v>
      </c>
      <c r="J1069" s="35">
        <f>+G1069-H1069+I1069</f>
        <v>33007995</v>
      </c>
      <c r="K1069" s="28">
        <v>0</v>
      </c>
      <c r="L1069" s="32">
        <v>0</v>
      </c>
      <c r="M1069" s="35">
        <f>+J1069+L1069</f>
        <v>33007995</v>
      </c>
      <c r="N1069" s="28" t="s">
        <v>1742</v>
      </c>
      <c r="O1069" s="29" t="s">
        <v>1743</v>
      </c>
      <c r="P1069" s="36">
        <v>43720</v>
      </c>
      <c r="Q1069" s="31">
        <v>28014.93</v>
      </c>
      <c r="R1069" s="33">
        <f>M1069/Q1069</f>
        <v>1178.2287159025561</v>
      </c>
    </row>
    <row r="1070" spans="1:18" s="30" customFormat="1" ht="15" customHeight="1">
      <c r="A1070" s="37" t="s">
        <v>688</v>
      </c>
      <c r="B1070" s="26" t="s">
        <v>1728</v>
      </c>
      <c r="C1070" s="39">
        <v>178</v>
      </c>
      <c r="D1070" s="40" t="s">
        <v>1753</v>
      </c>
      <c r="E1070" s="38" t="s">
        <v>4</v>
      </c>
      <c r="F1070" s="38" t="s">
        <v>15</v>
      </c>
      <c r="G1070" s="32">
        <v>1392814</v>
      </c>
      <c r="H1070" s="32">
        <v>789627</v>
      </c>
      <c r="I1070" s="52">
        <v>0</v>
      </c>
      <c r="J1070" s="35">
        <f>+G1070-H1070+I1070</f>
        <v>603187</v>
      </c>
      <c r="K1070" s="28">
        <v>0</v>
      </c>
      <c r="L1070" s="32">
        <v>0</v>
      </c>
      <c r="M1070" s="35">
        <f>+J1070+L1070</f>
        <v>603187</v>
      </c>
      <c r="N1070" s="28" t="s">
        <v>1730</v>
      </c>
      <c r="O1070" s="29" t="s">
        <v>1731</v>
      </c>
      <c r="P1070" s="36">
        <v>43444</v>
      </c>
      <c r="Q1070" s="31">
        <v>27565.79</v>
      </c>
      <c r="R1070" s="33">
        <f>M1070/Q1070</f>
        <v>21.881723687222458</v>
      </c>
    </row>
    <row r="1071" spans="1:18" s="30" customFormat="1" ht="15" customHeight="1">
      <c r="A1071" s="37" t="s">
        <v>293</v>
      </c>
      <c r="B1071" s="26" t="s">
        <v>294</v>
      </c>
      <c r="C1071" s="39">
        <v>177</v>
      </c>
      <c r="D1071" s="40" t="s">
        <v>1754</v>
      </c>
      <c r="E1071" s="38" t="s">
        <v>3</v>
      </c>
      <c r="F1071" s="38" t="s">
        <v>18</v>
      </c>
      <c r="G1071" s="32">
        <v>2005132</v>
      </c>
      <c r="H1071" s="32">
        <v>1564129</v>
      </c>
      <c r="I1071" s="52">
        <v>0</v>
      </c>
      <c r="J1071" s="35">
        <f>+G1071-H1071+I1071</f>
        <v>441003</v>
      </c>
      <c r="K1071" s="28">
        <v>0</v>
      </c>
      <c r="L1071" s="32">
        <v>0</v>
      </c>
      <c r="M1071" s="35">
        <f>+J1071+L1071</f>
        <v>441003</v>
      </c>
      <c r="N1071" s="28" t="s">
        <v>1537</v>
      </c>
      <c r="O1071" s="29" t="s">
        <v>1538</v>
      </c>
      <c r="P1071" s="36">
        <v>43914</v>
      </c>
      <c r="Q1071" s="31">
        <v>28331.86</v>
      </c>
      <c r="R1071" s="33">
        <f>M1071/Q1071</f>
        <v>15.565621177007086</v>
      </c>
    </row>
    <row r="1072" spans="1:18" s="30" customFormat="1" ht="15" customHeight="1">
      <c r="A1072" s="37" t="s">
        <v>356</v>
      </c>
      <c r="B1072" s="26" t="s">
        <v>1540</v>
      </c>
      <c r="C1072" s="39">
        <v>177</v>
      </c>
      <c r="D1072" s="40" t="s">
        <v>1755</v>
      </c>
      <c r="E1072" s="38" t="s">
        <v>4</v>
      </c>
      <c r="F1072" s="38" t="s">
        <v>15</v>
      </c>
      <c r="G1072" s="32">
        <v>1678231</v>
      </c>
      <c r="H1072" s="32">
        <v>816437</v>
      </c>
      <c r="I1072" s="52">
        <v>0</v>
      </c>
      <c r="J1072" s="35">
        <f>+G1072-H1072+I1072</f>
        <v>861794</v>
      </c>
      <c r="K1072" s="28">
        <v>0</v>
      </c>
      <c r="L1072" s="32">
        <v>0</v>
      </c>
      <c r="M1072" s="35">
        <f>+J1072+L1072</f>
        <v>861794</v>
      </c>
      <c r="N1072" s="28" t="s">
        <v>1603</v>
      </c>
      <c r="O1072" s="29" t="s">
        <v>1543</v>
      </c>
      <c r="P1072" s="36">
        <v>43384</v>
      </c>
      <c r="Q1072" s="31">
        <v>27379.14</v>
      </c>
      <c r="R1072" s="33">
        <f>M1072/Q1072</f>
        <v>31.476299109468012</v>
      </c>
    </row>
    <row r="1073" spans="1:18" s="30" customFormat="1" ht="15" customHeight="1">
      <c r="A1073" s="37" t="s">
        <v>39</v>
      </c>
      <c r="B1073" s="26" t="s">
        <v>1658</v>
      </c>
      <c r="C1073" s="39">
        <v>177</v>
      </c>
      <c r="D1073" s="40" t="s">
        <v>1756</v>
      </c>
      <c r="E1073" s="38" t="s">
        <v>4</v>
      </c>
      <c r="F1073" s="38" t="s">
        <v>11</v>
      </c>
      <c r="G1073" s="32">
        <v>0</v>
      </c>
      <c r="H1073" s="32">
        <v>344196594</v>
      </c>
      <c r="I1073" s="52">
        <v>0</v>
      </c>
      <c r="J1073" s="35">
        <f>+G1073-H1073+I1073</f>
        <v>-344196594</v>
      </c>
      <c r="K1073" s="28">
        <v>0</v>
      </c>
      <c r="L1073" s="32">
        <v>0</v>
      </c>
      <c r="M1073" s="35">
        <f>+J1073+L1073</f>
        <v>-344196594</v>
      </c>
      <c r="N1073" s="28" t="s">
        <v>1742</v>
      </c>
      <c r="O1073" s="29" t="s">
        <v>1743</v>
      </c>
      <c r="P1073" s="36">
        <v>43720</v>
      </c>
      <c r="Q1073" s="31">
        <v>28014.93</v>
      </c>
      <c r="R1073" s="33">
        <f>M1073/Q1073</f>
        <v>-12286.184330997792</v>
      </c>
    </row>
    <row r="1074" spans="1:18" s="30" customFormat="1" ht="15" customHeight="1">
      <c r="A1074" s="37" t="s">
        <v>293</v>
      </c>
      <c r="B1074" s="26" t="s">
        <v>294</v>
      </c>
      <c r="C1074" s="39">
        <v>176</v>
      </c>
      <c r="D1074" s="40" t="s">
        <v>1757</v>
      </c>
      <c r="E1074" s="38" t="s">
        <v>3</v>
      </c>
      <c r="F1074" s="38" t="s">
        <v>18</v>
      </c>
      <c r="G1074" s="32">
        <v>1259177</v>
      </c>
      <c r="H1074" s="32">
        <v>956271</v>
      </c>
      <c r="I1074" s="52">
        <v>0</v>
      </c>
      <c r="J1074" s="35">
        <f>+G1074-H1074+I1074</f>
        <v>302906</v>
      </c>
      <c r="K1074" s="28">
        <v>0</v>
      </c>
      <c r="L1074" s="32">
        <v>0</v>
      </c>
      <c r="M1074" s="35">
        <f>+J1074+L1074</f>
        <v>302906</v>
      </c>
      <c r="N1074" s="28" t="s">
        <v>1537</v>
      </c>
      <c r="O1074" s="29" t="s">
        <v>1538</v>
      </c>
      <c r="P1074" s="36">
        <v>43914</v>
      </c>
      <c r="Q1074" s="31">
        <v>28331.86</v>
      </c>
      <c r="R1074" s="33">
        <f>M1074/Q1074</f>
        <v>10.691355950509426</v>
      </c>
    </row>
    <row r="1075" spans="1:18" s="30" customFormat="1" ht="15" customHeight="1">
      <c r="A1075" s="37" t="s">
        <v>293</v>
      </c>
      <c r="B1075" s="26" t="s">
        <v>294</v>
      </c>
      <c r="C1075" s="39">
        <v>433</v>
      </c>
      <c r="D1075" s="40" t="s">
        <v>1758</v>
      </c>
      <c r="E1075" s="38" t="s">
        <v>3</v>
      </c>
      <c r="F1075" s="38" t="s">
        <v>11</v>
      </c>
      <c r="G1075" s="32">
        <v>1968152</v>
      </c>
      <c r="H1075" s="32">
        <v>0</v>
      </c>
      <c r="I1075" s="52">
        <v>0</v>
      </c>
      <c r="J1075" s="35">
        <f>+G1075-H1075+I1075</f>
        <v>1968152</v>
      </c>
      <c r="K1075" s="27" t="s">
        <v>297</v>
      </c>
      <c r="L1075" s="32">
        <v>0</v>
      </c>
      <c r="M1075" s="35">
        <f>+J1075+L1075</f>
        <v>1968152</v>
      </c>
      <c r="N1075" s="28" t="s">
        <v>459</v>
      </c>
      <c r="O1075" s="29" t="s">
        <v>460</v>
      </c>
      <c r="P1075" s="36" t="s">
        <v>461</v>
      </c>
      <c r="Q1075" s="31">
        <v>30683.439999999999</v>
      </c>
      <c r="R1075" s="33">
        <f>+M1075/Q1075</f>
        <v>64.143785703297937</v>
      </c>
    </row>
    <row r="1076" spans="1:18" s="30" customFormat="1" ht="15" customHeight="1">
      <c r="A1076" s="37" t="s">
        <v>39</v>
      </c>
      <c r="B1076" s="26" t="s">
        <v>1658</v>
      </c>
      <c r="C1076" s="39">
        <v>176</v>
      </c>
      <c r="D1076" s="40" t="s">
        <v>1759</v>
      </c>
      <c r="E1076" s="38" t="s">
        <v>4</v>
      </c>
      <c r="F1076" s="38" t="s">
        <v>14</v>
      </c>
      <c r="G1076" s="32">
        <v>695338</v>
      </c>
      <c r="H1076" s="32">
        <v>0</v>
      </c>
      <c r="I1076" s="32">
        <v>1403949</v>
      </c>
      <c r="J1076" s="35">
        <f>+G1076-H1076+I1076</f>
        <v>2099287</v>
      </c>
      <c r="K1076" s="28">
        <v>0</v>
      </c>
      <c r="L1076" s="32">
        <v>0</v>
      </c>
      <c r="M1076" s="35">
        <f>+J1076+L1076</f>
        <v>2099287</v>
      </c>
      <c r="N1076" s="28" t="s">
        <v>1742</v>
      </c>
      <c r="O1076" s="29" t="s">
        <v>1743</v>
      </c>
      <c r="P1076" s="36">
        <v>43720</v>
      </c>
      <c r="Q1076" s="31">
        <v>28014.93</v>
      </c>
      <c r="R1076" s="33">
        <f>M1076/Q1076</f>
        <v>74.934579525988468</v>
      </c>
    </row>
    <row r="1077" spans="1:18" s="30" customFormat="1" ht="15" customHeight="1">
      <c r="A1077" s="37" t="s">
        <v>688</v>
      </c>
      <c r="B1077" s="26" t="s">
        <v>1728</v>
      </c>
      <c r="C1077" s="39">
        <v>176</v>
      </c>
      <c r="D1077" s="40" t="s">
        <v>1760</v>
      </c>
      <c r="E1077" s="38" t="s">
        <v>4</v>
      </c>
      <c r="F1077" s="38" t="s">
        <v>13</v>
      </c>
      <c r="G1077" s="32">
        <v>1689838</v>
      </c>
      <c r="H1077" s="32">
        <v>0</v>
      </c>
      <c r="I1077" s="52">
        <v>0</v>
      </c>
      <c r="J1077" s="35">
        <f>+G1077-H1077+I1077</f>
        <v>1689838</v>
      </c>
      <c r="K1077" s="28">
        <v>0</v>
      </c>
      <c r="L1077" s="32">
        <v>0</v>
      </c>
      <c r="M1077" s="35">
        <f>+J1077+L1077</f>
        <v>1689838</v>
      </c>
      <c r="N1077" s="28" t="s">
        <v>1730</v>
      </c>
      <c r="O1077" s="29" t="s">
        <v>1731</v>
      </c>
      <c r="P1077" s="36">
        <v>43444</v>
      </c>
      <c r="Q1077" s="31">
        <v>27565.79</v>
      </c>
      <c r="R1077" s="33">
        <f>M1077/Q1077</f>
        <v>61.301997874902185</v>
      </c>
    </row>
    <row r="1078" spans="1:18" s="30" customFormat="1" ht="15" customHeight="1">
      <c r="A1078" s="37" t="s">
        <v>391</v>
      </c>
      <c r="B1078" s="26" t="s">
        <v>392</v>
      </c>
      <c r="C1078" s="39">
        <v>74</v>
      </c>
      <c r="D1078" s="40" t="s">
        <v>1761</v>
      </c>
      <c r="E1078" s="38" t="s">
        <v>198</v>
      </c>
      <c r="F1078" s="38" t="s">
        <v>11</v>
      </c>
      <c r="G1078" s="32">
        <v>1995601</v>
      </c>
      <c r="H1078" s="32">
        <v>11279696</v>
      </c>
      <c r="I1078" s="32">
        <v>19105461</v>
      </c>
      <c r="J1078" s="35">
        <f>+G1078-H1078+I1078</f>
        <v>9821366</v>
      </c>
      <c r="K1078" s="27"/>
      <c r="L1078" s="32">
        <v>0</v>
      </c>
      <c r="M1078" s="35">
        <f>+J1078+L1078</f>
        <v>9821366</v>
      </c>
      <c r="N1078" s="28" t="s">
        <v>481</v>
      </c>
      <c r="O1078" s="29" t="s">
        <v>482</v>
      </c>
      <c r="P1078" s="36">
        <v>44130</v>
      </c>
      <c r="Q1078" s="31">
        <v>28810.82</v>
      </c>
      <c r="R1078" s="33">
        <f>M1078/Q1078</f>
        <v>340.89158170437355</v>
      </c>
    </row>
    <row r="1079" spans="1:18" s="30" customFormat="1" ht="15" customHeight="1">
      <c r="A1079" s="37" t="s">
        <v>391</v>
      </c>
      <c r="B1079" s="26" t="s">
        <v>392</v>
      </c>
      <c r="C1079" s="39">
        <v>147</v>
      </c>
      <c r="D1079" s="40" t="s">
        <v>1762</v>
      </c>
      <c r="E1079" s="38" t="s">
        <v>4</v>
      </c>
      <c r="F1079" s="38" t="s">
        <v>11</v>
      </c>
      <c r="G1079" s="32">
        <v>1996243</v>
      </c>
      <c r="H1079" s="32">
        <v>0</v>
      </c>
      <c r="I1079" s="32">
        <v>18001752</v>
      </c>
      <c r="J1079" s="35">
        <f>+G1079-H1079+I1079</f>
        <v>19997995</v>
      </c>
      <c r="K1079" s="27"/>
      <c r="L1079" s="32">
        <v>0</v>
      </c>
      <c r="M1079" s="35">
        <f>+J1079+L1079</f>
        <v>19997995</v>
      </c>
      <c r="N1079" s="28" t="s">
        <v>481</v>
      </c>
      <c r="O1079" s="29" t="s">
        <v>482</v>
      </c>
      <c r="P1079" s="36">
        <v>44130</v>
      </c>
      <c r="Q1079" s="31">
        <v>28810.82</v>
      </c>
      <c r="R1079" s="33">
        <f>M1079/Q1079</f>
        <v>694.11405159589344</v>
      </c>
    </row>
    <row r="1080" spans="1:18" s="30" customFormat="1" ht="15" customHeight="1">
      <c r="A1080" s="37" t="s">
        <v>293</v>
      </c>
      <c r="B1080" s="26" t="s">
        <v>294</v>
      </c>
      <c r="C1080" s="39">
        <v>175</v>
      </c>
      <c r="D1080" s="40" t="s">
        <v>1763</v>
      </c>
      <c r="E1080" s="38" t="s">
        <v>4</v>
      </c>
      <c r="F1080" s="38" t="s">
        <v>13</v>
      </c>
      <c r="G1080" s="32">
        <v>345964</v>
      </c>
      <c r="H1080" s="32">
        <v>13361140</v>
      </c>
      <c r="I1080" s="52">
        <v>0</v>
      </c>
      <c r="J1080" s="35">
        <f>+G1080-H1080+I1080</f>
        <v>-13015176</v>
      </c>
      <c r="K1080" s="28">
        <v>0</v>
      </c>
      <c r="L1080" s="32">
        <v>0</v>
      </c>
      <c r="M1080" s="35">
        <f>+J1080+L1080</f>
        <v>-13015176</v>
      </c>
      <c r="N1080" s="28" t="s">
        <v>1377</v>
      </c>
      <c r="O1080" s="29" t="s">
        <v>1378</v>
      </c>
      <c r="P1080" s="36" t="s">
        <v>1379</v>
      </c>
      <c r="Q1080" s="31">
        <v>30683.439999999999</v>
      </c>
      <c r="R1080" s="33">
        <f>+M1080/Q1080</f>
        <v>-424.17590726463527</v>
      </c>
    </row>
    <row r="1081" spans="1:18" s="30" customFormat="1" ht="15" customHeight="1">
      <c r="A1081" s="37" t="s">
        <v>39</v>
      </c>
      <c r="B1081" s="26" t="s">
        <v>1658</v>
      </c>
      <c r="C1081" s="39">
        <v>175</v>
      </c>
      <c r="D1081" s="40" t="s">
        <v>1764</v>
      </c>
      <c r="E1081" s="38" t="s">
        <v>4</v>
      </c>
      <c r="F1081" s="38" t="s">
        <v>15</v>
      </c>
      <c r="G1081" s="32">
        <v>2438735</v>
      </c>
      <c r="H1081" s="32">
        <v>0</v>
      </c>
      <c r="I1081" s="52">
        <v>0</v>
      </c>
      <c r="J1081" s="35">
        <f>+G1081-H1081+I1081</f>
        <v>2438735</v>
      </c>
      <c r="K1081" s="28">
        <v>0</v>
      </c>
      <c r="L1081" s="32">
        <v>0</v>
      </c>
      <c r="M1081" s="35">
        <f>+J1081+L1081</f>
        <v>2438735</v>
      </c>
      <c r="N1081" s="28" t="s">
        <v>1742</v>
      </c>
      <c r="O1081" s="29" t="s">
        <v>1743</v>
      </c>
      <c r="P1081" s="36">
        <v>43720</v>
      </c>
      <c r="Q1081" s="31">
        <v>28014.93</v>
      </c>
      <c r="R1081" s="33">
        <f>M1081/Q1081</f>
        <v>87.051261595156575</v>
      </c>
    </row>
    <row r="1082" spans="1:18" s="30" customFormat="1" ht="15" customHeight="1">
      <c r="A1082" s="37" t="s">
        <v>293</v>
      </c>
      <c r="B1082" s="26" t="s">
        <v>294</v>
      </c>
      <c r="C1082" s="39">
        <v>573</v>
      </c>
      <c r="D1082" s="40" t="s">
        <v>1765</v>
      </c>
      <c r="E1082" s="38" t="s">
        <v>3</v>
      </c>
      <c r="F1082" s="38" t="s">
        <v>296</v>
      </c>
      <c r="G1082" s="32">
        <v>2012760</v>
      </c>
      <c r="H1082" s="32">
        <v>0</v>
      </c>
      <c r="I1082" s="32">
        <v>3953709</v>
      </c>
      <c r="J1082" s="35">
        <f>+G1082-H1082+I1082</f>
        <v>5966469</v>
      </c>
      <c r="K1082" s="27" t="s">
        <v>297</v>
      </c>
      <c r="L1082" s="32">
        <v>0</v>
      </c>
      <c r="M1082" s="35">
        <f>+J1082+L1082</f>
        <v>5966469</v>
      </c>
      <c r="N1082" s="55" t="s">
        <v>298</v>
      </c>
      <c r="O1082" s="56" t="s">
        <v>299</v>
      </c>
      <c r="P1082" s="56">
        <v>44502</v>
      </c>
      <c r="Q1082" s="49">
        <v>30403.919999999998</v>
      </c>
      <c r="R1082" s="57">
        <f>+M1082/Q1082</f>
        <v>196.24012298414152</v>
      </c>
    </row>
    <row r="1083" spans="1:18" s="30" customFormat="1" ht="15" customHeight="1">
      <c r="A1083" s="37" t="s">
        <v>688</v>
      </c>
      <c r="B1083" s="26" t="s">
        <v>1728</v>
      </c>
      <c r="C1083" s="39">
        <v>175</v>
      </c>
      <c r="D1083" s="40" t="s">
        <v>1766</v>
      </c>
      <c r="E1083" s="38" t="s">
        <v>4</v>
      </c>
      <c r="F1083" s="38" t="s">
        <v>18</v>
      </c>
      <c r="G1083" s="32">
        <v>3423087</v>
      </c>
      <c r="H1083" s="32">
        <v>1859446</v>
      </c>
      <c r="I1083" s="52">
        <v>0</v>
      </c>
      <c r="J1083" s="35">
        <f>+G1083-H1083+I1083</f>
        <v>1563641</v>
      </c>
      <c r="K1083" s="28">
        <v>0</v>
      </c>
      <c r="L1083" s="32">
        <v>0</v>
      </c>
      <c r="M1083" s="35">
        <f>+J1083+L1083</f>
        <v>1563641</v>
      </c>
      <c r="N1083" s="28" t="s">
        <v>1730</v>
      </c>
      <c r="O1083" s="29" t="s">
        <v>1731</v>
      </c>
      <c r="P1083" s="36">
        <v>43444</v>
      </c>
      <c r="Q1083" s="31">
        <v>27565.79</v>
      </c>
      <c r="R1083" s="33">
        <f>M1083/Q1083</f>
        <v>56.72396836803879</v>
      </c>
    </row>
    <row r="1084" spans="1:18" s="30" customFormat="1" ht="15" customHeight="1">
      <c r="A1084" s="37" t="s">
        <v>293</v>
      </c>
      <c r="B1084" s="26" t="s">
        <v>294</v>
      </c>
      <c r="C1084" s="39">
        <v>174</v>
      </c>
      <c r="D1084" s="40" t="s">
        <v>1767</v>
      </c>
      <c r="E1084" s="38" t="s">
        <v>3</v>
      </c>
      <c r="F1084" s="38" t="s">
        <v>11</v>
      </c>
      <c r="G1084" s="32">
        <v>6535137</v>
      </c>
      <c r="H1084" s="32">
        <v>73504396</v>
      </c>
      <c r="I1084" s="32">
        <v>97693579</v>
      </c>
      <c r="J1084" s="35">
        <f>+G1084-H1084+I1084</f>
        <v>30724320</v>
      </c>
      <c r="K1084" s="28">
        <v>0</v>
      </c>
      <c r="L1084" s="32">
        <v>0</v>
      </c>
      <c r="M1084" s="35">
        <f>+J1084+L1084</f>
        <v>30724320</v>
      </c>
      <c r="N1084" s="28" t="s">
        <v>1626</v>
      </c>
      <c r="O1084" s="29" t="s">
        <v>1627</v>
      </c>
      <c r="P1084" s="36">
        <v>43886</v>
      </c>
      <c r="Q1084" s="31">
        <v>28440.19</v>
      </c>
      <c r="R1084" s="33">
        <f>M1084/Q1084</f>
        <v>1080.3134578214845</v>
      </c>
    </row>
    <row r="1085" spans="1:18" s="30" customFormat="1" ht="15" customHeight="1">
      <c r="A1085" s="37" t="s">
        <v>356</v>
      </c>
      <c r="B1085" s="26" t="s">
        <v>1540</v>
      </c>
      <c r="C1085" s="39">
        <v>174</v>
      </c>
      <c r="D1085" s="40" t="s">
        <v>1768</v>
      </c>
      <c r="E1085" s="38" t="s">
        <v>4</v>
      </c>
      <c r="F1085" s="38" t="s">
        <v>11</v>
      </c>
      <c r="G1085" s="32">
        <v>0</v>
      </c>
      <c r="H1085" s="32">
        <v>0</v>
      </c>
      <c r="I1085" s="32">
        <v>554836.01250434003</v>
      </c>
      <c r="J1085" s="35">
        <f>+G1085-H1085+I1085</f>
        <v>554836.01250434003</v>
      </c>
      <c r="K1085" s="28">
        <v>0</v>
      </c>
      <c r="L1085" s="32">
        <v>0</v>
      </c>
      <c r="M1085" s="35">
        <f>+J1085+L1085</f>
        <v>554836.01250434003</v>
      </c>
      <c r="N1085" s="28" t="s">
        <v>1542</v>
      </c>
      <c r="O1085" s="29" t="s">
        <v>1543</v>
      </c>
      <c r="P1085" s="36">
        <v>43427</v>
      </c>
      <c r="Q1085" s="31">
        <v>27507.17</v>
      </c>
      <c r="R1085" s="33">
        <f>M1085/Q1085</f>
        <v>20.170595975679799</v>
      </c>
    </row>
    <row r="1086" spans="1:18" s="30" customFormat="1" ht="15" customHeight="1">
      <c r="A1086" s="37" t="s">
        <v>39</v>
      </c>
      <c r="B1086" s="26" t="s">
        <v>1658</v>
      </c>
      <c r="C1086" s="39">
        <v>174</v>
      </c>
      <c r="D1086" s="40" t="s">
        <v>1769</v>
      </c>
      <c r="E1086" s="38" t="s">
        <v>4</v>
      </c>
      <c r="F1086" s="38" t="s">
        <v>12</v>
      </c>
      <c r="G1086" s="32">
        <v>0</v>
      </c>
      <c r="H1086" s="32">
        <v>0</v>
      </c>
      <c r="I1086" s="32">
        <v>46557962</v>
      </c>
      <c r="J1086" s="35">
        <f>+G1086-H1086+I1086</f>
        <v>46557962</v>
      </c>
      <c r="K1086" s="28">
        <v>0</v>
      </c>
      <c r="L1086" s="32">
        <v>0</v>
      </c>
      <c r="M1086" s="35">
        <f>+J1086+L1086</f>
        <v>46557962</v>
      </c>
      <c r="N1086" s="28" t="s">
        <v>1742</v>
      </c>
      <c r="O1086" s="29" t="s">
        <v>1743</v>
      </c>
      <c r="P1086" s="36">
        <v>43720</v>
      </c>
      <c r="Q1086" s="31">
        <v>28014.93</v>
      </c>
      <c r="R1086" s="33">
        <f>M1086/Q1086</f>
        <v>1661.8982092762681</v>
      </c>
    </row>
    <row r="1087" spans="1:18" s="30" customFormat="1" ht="15" customHeight="1">
      <c r="A1087" s="37" t="s">
        <v>688</v>
      </c>
      <c r="B1087" s="26" t="s">
        <v>1728</v>
      </c>
      <c r="C1087" s="39">
        <v>174</v>
      </c>
      <c r="D1087" s="40" t="s">
        <v>1770</v>
      </c>
      <c r="E1087" s="38" t="s">
        <v>4</v>
      </c>
      <c r="F1087" s="38" t="s">
        <v>13</v>
      </c>
      <c r="G1087" s="32">
        <v>1602711</v>
      </c>
      <c r="H1087" s="32">
        <v>0</v>
      </c>
      <c r="I1087" s="52">
        <v>0</v>
      </c>
      <c r="J1087" s="35">
        <f>+G1087-H1087+I1087</f>
        <v>1602711</v>
      </c>
      <c r="K1087" s="28">
        <v>0</v>
      </c>
      <c r="L1087" s="32">
        <v>0</v>
      </c>
      <c r="M1087" s="35">
        <f>+J1087+L1087</f>
        <v>1602711</v>
      </c>
      <c r="N1087" s="28" t="s">
        <v>1730</v>
      </c>
      <c r="O1087" s="29" t="s">
        <v>1731</v>
      </c>
      <c r="P1087" s="36">
        <v>43444</v>
      </c>
      <c r="Q1087" s="31">
        <v>27565.79</v>
      </c>
      <c r="R1087" s="33">
        <f>M1087/Q1087</f>
        <v>58.141304856490599</v>
      </c>
    </row>
    <row r="1088" spans="1:18" s="30" customFormat="1" ht="15" customHeight="1">
      <c r="A1088" s="37" t="s">
        <v>293</v>
      </c>
      <c r="B1088" s="26" t="s">
        <v>294</v>
      </c>
      <c r="C1088" s="39">
        <v>173</v>
      </c>
      <c r="D1088" s="40" t="s">
        <v>1771</v>
      </c>
      <c r="E1088" s="38" t="s">
        <v>3</v>
      </c>
      <c r="F1088" s="38" t="s">
        <v>11</v>
      </c>
      <c r="G1088" s="32">
        <v>7166000</v>
      </c>
      <c r="H1088" s="32">
        <v>63891970</v>
      </c>
      <c r="I1088" s="32">
        <v>99300024</v>
      </c>
      <c r="J1088" s="35">
        <f>+G1088-H1088+I1088</f>
        <v>42574054</v>
      </c>
      <c r="K1088" s="28">
        <v>0</v>
      </c>
      <c r="L1088" s="32">
        <v>0</v>
      </c>
      <c r="M1088" s="35">
        <f>+J1088+L1088</f>
        <v>42574054</v>
      </c>
      <c r="N1088" s="28" t="s">
        <v>1626</v>
      </c>
      <c r="O1088" s="29" t="s">
        <v>1627</v>
      </c>
      <c r="P1088" s="36">
        <v>43886</v>
      </c>
      <c r="Q1088" s="31">
        <v>28440.19</v>
      </c>
      <c r="R1088" s="33">
        <f>M1088/Q1088</f>
        <v>1496.9679879072539</v>
      </c>
    </row>
    <row r="1089" spans="1:18" s="30" customFormat="1" ht="15" customHeight="1">
      <c r="A1089" s="37" t="s">
        <v>39</v>
      </c>
      <c r="B1089" s="26" t="s">
        <v>1658</v>
      </c>
      <c r="C1089" s="39">
        <v>173</v>
      </c>
      <c r="D1089" s="40" t="s">
        <v>1772</v>
      </c>
      <c r="E1089" s="38" t="s">
        <v>4</v>
      </c>
      <c r="F1089" s="38" t="s">
        <v>11</v>
      </c>
      <c r="G1089" s="32">
        <v>15183499</v>
      </c>
      <c r="H1089" s="32">
        <v>21217079</v>
      </c>
      <c r="I1089" s="32">
        <v>34529847</v>
      </c>
      <c r="J1089" s="35">
        <f>+G1089-H1089+I1089</f>
        <v>28496267</v>
      </c>
      <c r="K1089" s="28">
        <v>0</v>
      </c>
      <c r="L1089" s="32">
        <v>0</v>
      </c>
      <c r="M1089" s="35">
        <f>+J1089+L1089</f>
        <v>28496267</v>
      </c>
      <c r="N1089" s="28" t="s">
        <v>1742</v>
      </c>
      <c r="O1089" s="29" t="s">
        <v>1743</v>
      </c>
      <c r="P1089" s="36">
        <v>43720</v>
      </c>
      <c r="Q1089" s="31">
        <v>28014.93</v>
      </c>
      <c r="R1089" s="33">
        <f>M1089/Q1089</f>
        <v>1017.1814457505337</v>
      </c>
    </row>
    <row r="1090" spans="1:18" s="30" customFormat="1" ht="15" customHeight="1">
      <c r="A1090" s="37" t="s">
        <v>688</v>
      </c>
      <c r="B1090" s="26" t="s">
        <v>1728</v>
      </c>
      <c r="C1090" s="39">
        <v>173</v>
      </c>
      <c r="D1090" s="40" t="s">
        <v>1773</v>
      </c>
      <c r="E1090" s="38" t="s">
        <v>4</v>
      </c>
      <c r="F1090" s="38" t="s">
        <v>12</v>
      </c>
      <c r="G1090" s="32">
        <v>0</v>
      </c>
      <c r="H1090" s="32">
        <v>2932160</v>
      </c>
      <c r="I1090" s="52">
        <v>0</v>
      </c>
      <c r="J1090" s="35">
        <f>+G1090-H1090+I1090</f>
        <v>-2932160</v>
      </c>
      <c r="K1090" s="28">
        <v>0</v>
      </c>
      <c r="L1090" s="32">
        <v>0</v>
      </c>
      <c r="M1090" s="35">
        <f>+J1090+L1090</f>
        <v>-2932160</v>
      </c>
      <c r="N1090" s="28" t="s">
        <v>1730</v>
      </c>
      <c r="O1090" s="29" t="s">
        <v>1731</v>
      </c>
      <c r="P1090" s="36">
        <v>43444</v>
      </c>
      <c r="Q1090" s="31">
        <v>27565.79</v>
      </c>
      <c r="R1090" s="33">
        <f>M1090/Q1090</f>
        <v>-106.36952541537899</v>
      </c>
    </row>
    <row r="1091" spans="1:18" s="30" customFormat="1" ht="15" customHeight="1">
      <c r="A1091" s="37" t="s">
        <v>293</v>
      </c>
      <c r="B1091" s="26" t="s">
        <v>294</v>
      </c>
      <c r="C1091" s="39">
        <v>172</v>
      </c>
      <c r="D1091" s="40" t="s">
        <v>1774</v>
      </c>
      <c r="E1091" s="38" t="s">
        <v>3</v>
      </c>
      <c r="F1091" s="38" t="s">
        <v>11</v>
      </c>
      <c r="G1091" s="32">
        <v>72474251</v>
      </c>
      <c r="H1091" s="32">
        <v>50996428</v>
      </c>
      <c r="I1091" s="52">
        <v>0</v>
      </c>
      <c r="J1091" s="35">
        <f>+G1091-H1091+I1091</f>
        <v>21477823</v>
      </c>
      <c r="K1091" s="28">
        <v>0</v>
      </c>
      <c r="L1091" s="32">
        <v>0</v>
      </c>
      <c r="M1091" s="35">
        <f>+J1091+L1091</f>
        <v>21477823</v>
      </c>
      <c r="N1091" s="28" t="s">
        <v>1537</v>
      </c>
      <c r="O1091" s="29" t="s">
        <v>1538</v>
      </c>
      <c r="P1091" s="36">
        <v>43914</v>
      </c>
      <c r="Q1091" s="31">
        <v>28331.86</v>
      </c>
      <c r="R1091" s="33">
        <f>M1091/Q1091</f>
        <v>758.08023193676661</v>
      </c>
    </row>
    <row r="1092" spans="1:18" s="30" customFormat="1" ht="15" customHeight="1">
      <c r="A1092" s="37" t="s">
        <v>39</v>
      </c>
      <c r="B1092" s="26" t="s">
        <v>1658</v>
      </c>
      <c r="C1092" s="39">
        <v>172</v>
      </c>
      <c r="D1092" s="40" t="s">
        <v>1775</v>
      </c>
      <c r="E1092" s="38" t="s">
        <v>4</v>
      </c>
      <c r="F1092" s="38" t="s">
        <v>11</v>
      </c>
      <c r="G1092" s="32">
        <v>0</v>
      </c>
      <c r="H1092" s="32">
        <v>0</v>
      </c>
      <c r="I1092" s="32">
        <v>1705465</v>
      </c>
      <c r="J1092" s="35">
        <f>+G1092-H1092+I1092</f>
        <v>1705465</v>
      </c>
      <c r="K1092" s="28">
        <v>0</v>
      </c>
      <c r="L1092" s="32">
        <v>0</v>
      </c>
      <c r="M1092" s="35">
        <f>+J1092+L1092</f>
        <v>1705465</v>
      </c>
      <c r="N1092" s="28" t="s">
        <v>1742</v>
      </c>
      <c r="O1092" s="29" t="s">
        <v>1743</v>
      </c>
      <c r="P1092" s="36">
        <v>43720</v>
      </c>
      <c r="Q1092" s="31">
        <v>28014.93</v>
      </c>
      <c r="R1092" s="33">
        <f>M1092/Q1092</f>
        <v>60.87700379761791</v>
      </c>
    </row>
    <row r="1093" spans="1:18" s="30" customFormat="1" ht="15" customHeight="1">
      <c r="A1093" s="37" t="s">
        <v>356</v>
      </c>
      <c r="B1093" s="26" t="s">
        <v>1540</v>
      </c>
      <c r="C1093" s="39">
        <v>171</v>
      </c>
      <c r="D1093" s="40" t="s">
        <v>1776</v>
      </c>
      <c r="E1093" s="38" t="s">
        <v>3</v>
      </c>
      <c r="F1093" s="38" t="s">
        <v>11</v>
      </c>
      <c r="G1093" s="32">
        <v>2568177</v>
      </c>
      <c r="H1093" s="32">
        <v>232032</v>
      </c>
      <c r="I1093" s="52">
        <v>0</v>
      </c>
      <c r="J1093" s="35">
        <f>+G1093-H1093+I1093</f>
        <v>2336145</v>
      </c>
      <c r="K1093" s="28">
        <v>0</v>
      </c>
      <c r="L1093" s="32">
        <v>0</v>
      </c>
      <c r="M1093" s="35">
        <f>+J1093+L1093</f>
        <v>2336145</v>
      </c>
      <c r="N1093" s="28" t="s">
        <v>1603</v>
      </c>
      <c r="O1093" s="29" t="s">
        <v>1543</v>
      </c>
      <c r="P1093" s="36">
        <v>43384</v>
      </c>
      <c r="Q1093" s="31">
        <v>27379.14</v>
      </c>
      <c r="R1093" s="33">
        <f>M1093/Q1093</f>
        <v>85.325726081973357</v>
      </c>
    </row>
    <row r="1094" spans="1:18" s="30" customFormat="1" ht="15" customHeight="1">
      <c r="A1094" s="37" t="s">
        <v>39</v>
      </c>
      <c r="B1094" s="26" t="s">
        <v>1658</v>
      </c>
      <c r="C1094" s="39">
        <v>171</v>
      </c>
      <c r="D1094" s="40" t="s">
        <v>1777</v>
      </c>
      <c r="E1094" s="38" t="s">
        <v>4</v>
      </c>
      <c r="F1094" s="38" t="s">
        <v>12</v>
      </c>
      <c r="G1094" s="32">
        <v>0</v>
      </c>
      <c r="H1094" s="32">
        <v>0</v>
      </c>
      <c r="I1094" s="32">
        <v>8047244</v>
      </c>
      <c r="J1094" s="35">
        <f>+G1094-H1094+I1094</f>
        <v>8047244</v>
      </c>
      <c r="K1094" s="28">
        <v>0</v>
      </c>
      <c r="L1094" s="32">
        <v>0</v>
      </c>
      <c r="M1094" s="35">
        <f>+J1094+L1094</f>
        <v>8047244</v>
      </c>
      <c r="N1094" s="28" t="s">
        <v>1742</v>
      </c>
      <c r="O1094" s="29" t="s">
        <v>1743</v>
      </c>
      <c r="P1094" s="36">
        <v>43720</v>
      </c>
      <c r="Q1094" s="31">
        <v>28014.93</v>
      </c>
      <c r="R1094" s="33">
        <f>M1094/Q1094</f>
        <v>287.24840647469046</v>
      </c>
    </row>
    <row r="1095" spans="1:18" s="30" customFormat="1" ht="15" customHeight="1">
      <c r="A1095" s="37" t="s">
        <v>293</v>
      </c>
      <c r="B1095" s="26" t="s">
        <v>294</v>
      </c>
      <c r="C1095" s="39">
        <v>170</v>
      </c>
      <c r="D1095" s="40" t="s">
        <v>1778</v>
      </c>
      <c r="E1095" s="38" t="s">
        <v>3</v>
      </c>
      <c r="F1095" s="38" t="s">
        <v>11</v>
      </c>
      <c r="G1095" s="32">
        <v>33528842</v>
      </c>
      <c r="H1095" s="32">
        <v>27070088</v>
      </c>
      <c r="I1095" s="52">
        <v>0</v>
      </c>
      <c r="J1095" s="35">
        <f>+G1095-H1095+I1095</f>
        <v>6458754</v>
      </c>
      <c r="K1095" s="28">
        <v>0</v>
      </c>
      <c r="L1095" s="32">
        <v>0</v>
      </c>
      <c r="M1095" s="35">
        <f>+J1095+L1095</f>
        <v>6458754</v>
      </c>
      <c r="N1095" s="28" t="s">
        <v>1537</v>
      </c>
      <c r="O1095" s="29" t="s">
        <v>1538</v>
      </c>
      <c r="P1095" s="36">
        <v>43914</v>
      </c>
      <c r="Q1095" s="31">
        <v>28331.86</v>
      </c>
      <c r="R1095" s="33">
        <f>M1095/Q1095</f>
        <v>227.96787785906042</v>
      </c>
    </row>
    <row r="1096" spans="1:18" s="30" customFormat="1" ht="15" customHeight="1">
      <c r="A1096" s="37" t="s">
        <v>293</v>
      </c>
      <c r="B1096" s="26" t="s">
        <v>294</v>
      </c>
      <c r="C1096" s="39">
        <v>558</v>
      </c>
      <c r="D1096" s="40" t="s">
        <v>1779</v>
      </c>
      <c r="E1096" s="38" t="s">
        <v>4</v>
      </c>
      <c r="F1096" s="38" t="s">
        <v>15</v>
      </c>
      <c r="G1096" s="32">
        <v>2127545</v>
      </c>
      <c r="H1096" s="32">
        <v>529534</v>
      </c>
      <c r="I1096" s="32">
        <v>3960040</v>
      </c>
      <c r="J1096" s="35">
        <f>+G1096-H1096+I1096</f>
        <v>5558051</v>
      </c>
      <c r="K1096" s="27" t="s">
        <v>297</v>
      </c>
      <c r="L1096" s="32">
        <v>0</v>
      </c>
      <c r="M1096" s="35">
        <f>+J1096+L1096</f>
        <v>5558051</v>
      </c>
      <c r="N1096" s="55" t="s">
        <v>298</v>
      </c>
      <c r="O1096" s="56" t="s">
        <v>299</v>
      </c>
      <c r="P1096" s="56">
        <v>44502</v>
      </c>
      <c r="Q1096" s="49">
        <v>30403.919999999998</v>
      </c>
      <c r="R1096" s="57">
        <f>+M1096/Q1096</f>
        <v>182.80705251164983</v>
      </c>
    </row>
    <row r="1097" spans="1:18" s="30" customFormat="1" ht="15" customHeight="1">
      <c r="A1097" s="37" t="s">
        <v>293</v>
      </c>
      <c r="B1097" s="26" t="s">
        <v>294</v>
      </c>
      <c r="C1097" s="39">
        <v>467</v>
      </c>
      <c r="D1097" s="40" t="s">
        <v>1780</v>
      </c>
      <c r="E1097" s="38" t="s">
        <v>4</v>
      </c>
      <c r="F1097" s="38" t="s">
        <v>11</v>
      </c>
      <c r="G1097" s="32">
        <v>2135468</v>
      </c>
      <c r="H1097" s="32">
        <v>733722</v>
      </c>
      <c r="I1097" s="32">
        <v>8748082</v>
      </c>
      <c r="J1097" s="35">
        <f>+G1097-H1097+I1097</f>
        <v>10149828</v>
      </c>
      <c r="K1097" s="27" t="s">
        <v>297</v>
      </c>
      <c r="L1097" s="32">
        <v>0</v>
      </c>
      <c r="M1097" s="35">
        <f>+J1097+L1097</f>
        <v>10149828</v>
      </c>
      <c r="N1097" s="28" t="s">
        <v>459</v>
      </c>
      <c r="O1097" s="29" t="s">
        <v>460</v>
      </c>
      <c r="P1097" s="36" t="s">
        <v>461</v>
      </c>
      <c r="Q1097" s="31">
        <v>30683.439999999999</v>
      </c>
      <c r="R1097" s="33">
        <f>+M1097/Q1097</f>
        <v>330.79172348341649</v>
      </c>
    </row>
    <row r="1098" spans="1:18" s="30" customFormat="1" ht="15" customHeight="1">
      <c r="A1098" s="37" t="s">
        <v>391</v>
      </c>
      <c r="B1098" s="26" t="s">
        <v>392</v>
      </c>
      <c r="C1098" s="39">
        <v>138</v>
      </c>
      <c r="D1098" s="40" t="s">
        <v>1781</v>
      </c>
      <c r="E1098" s="38" t="s">
        <v>3</v>
      </c>
      <c r="F1098" s="38" t="s">
        <v>10</v>
      </c>
      <c r="G1098" s="32">
        <v>2135524</v>
      </c>
      <c r="H1098" s="32">
        <v>494841</v>
      </c>
      <c r="I1098" s="32">
        <v>2989993</v>
      </c>
      <c r="J1098" s="35">
        <f>+G1098-H1098+I1098</f>
        <v>4630676</v>
      </c>
      <c r="K1098" s="27"/>
      <c r="L1098" s="32">
        <v>0</v>
      </c>
      <c r="M1098" s="35">
        <f>+J1098+L1098</f>
        <v>4630676</v>
      </c>
      <c r="N1098" s="28" t="s">
        <v>481</v>
      </c>
      <c r="O1098" s="29" t="s">
        <v>482</v>
      </c>
      <c r="P1098" s="36">
        <v>44130</v>
      </c>
      <c r="Q1098" s="31">
        <v>28810.82</v>
      </c>
      <c r="R1098" s="33">
        <f>M1098/Q1098</f>
        <v>160.72697687882538</v>
      </c>
    </row>
    <row r="1099" spans="1:18" s="30" customFormat="1" ht="15" customHeight="1">
      <c r="A1099" s="37" t="s">
        <v>356</v>
      </c>
      <c r="B1099" s="26" t="s">
        <v>1540</v>
      </c>
      <c r="C1099" s="39">
        <v>170</v>
      </c>
      <c r="D1099" s="40" t="s">
        <v>1782</v>
      </c>
      <c r="E1099" s="38" t="s">
        <v>4</v>
      </c>
      <c r="F1099" s="38" t="s">
        <v>11</v>
      </c>
      <c r="G1099" s="32">
        <v>1839789</v>
      </c>
      <c r="H1099" s="32">
        <v>0</v>
      </c>
      <c r="I1099" s="32">
        <v>14146334</v>
      </c>
      <c r="J1099" s="35">
        <f>+G1099-H1099+I1099</f>
        <v>15986123</v>
      </c>
      <c r="K1099" s="28">
        <v>0</v>
      </c>
      <c r="L1099" s="32">
        <v>0</v>
      </c>
      <c r="M1099" s="35">
        <f>+J1099+L1099</f>
        <v>15986123</v>
      </c>
      <c r="N1099" s="28" t="s">
        <v>1632</v>
      </c>
      <c r="O1099" s="29" t="s">
        <v>1543</v>
      </c>
      <c r="P1099" s="36">
        <v>43336</v>
      </c>
      <c r="Q1099" s="31">
        <v>27262.98</v>
      </c>
      <c r="R1099" s="33">
        <f>M1099/Q1099</f>
        <v>586.36741104604118</v>
      </c>
    </row>
    <row r="1100" spans="1:18" s="30" customFormat="1" ht="15" customHeight="1">
      <c r="A1100" s="37" t="s">
        <v>39</v>
      </c>
      <c r="B1100" s="26" t="s">
        <v>1658</v>
      </c>
      <c r="C1100" s="39">
        <v>170</v>
      </c>
      <c r="D1100" s="40" t="s">
        <v>1783</v>
      </c>
      <c r="E1100" s="38" t="s">
        <v>4</v>
      </c>
      <c r="F1100" s="38" t="s">
        <v>18</v>
      </c>
      <c r="G1100" s="32">
        <v>3526030</v>
      </c>
      <c r="H1100" s="32">
        <v>0</v>
      </c>
      <c r="I1100" s="52">
        <v>0</v>
      </c>
      <c r="J1100" s="35">
        <f>+G1100-H1100+I1100</f>
        <v>3526030</v>
      </c>
      <c r="K1100" s="28">
        <v>0</v>
      </c>
      <c r="L1100" s="32">
        <v>0</v>
      </c>
      <c r="M1100" s="35">
        <f>+J1100+L1100</f>
        <v>3526030</v>
      </c>
      <c r="N1100" s="28" t="s">
        <v>1742</v>
      </c>
      <c r="O1100" s="29" t="s">
        <v>1743</v>
      </c>
      <c r="P1100" s="36">
        <v>43720</v>
      </c>
      <c r="Q1100" s="31">
        <v>28014.93</v>
      </c>
      <c r="R1100" s="33">
        <f>M1100/Q1100</f>
        <v>125.86253115749352</v>
      </c>
    </row>
    <row r="1101" spans="1:18" s="30" customFormat="1" ht="15" customHeight="1">
      <c r="A1101" s="37" t="s">
        <v>293</v>
      </c>
      <c r="B1101" s="26" t="s">
        <v>294</v>
      </c>
      <c r="C1101" s="39">
        <v>546</v>
      </c>
      <c r="D1101" s="40" t="s">
        <v>1784</v>
      </c>
      <c r="E1101" s="38" t="s">
        <v>3</v>
      </c>
      <c r="F1101" s="38" t="s">
        <v>13</v>
      </c>
      <c r="G1101" s="32">
        <v>2143254</v>
      </c>
      <c r="H1101" s="32">
        <v>0</v>
      </c>
      <c r="I1101" s="32">
        <v>178025</v>
      </c>
      <c r="J1101" s="35">
        <f>+G1101-H1101+I1101</f>
        <v>2321279</v>
      </c>
      <c r="K1101" s="27" t="s">
        <v>401</v>
      </c>
      <c r="L1101" s="32">
        <v>0</v>
      </c>
      <c r="M1101" s="35">
        <f>+J1101+L1101</f>
        <v>2321279</v>
      </c>
      <c r="N1101" s="55" t="s">
        <v>402</v>
      </c>
      <c r="O1101" s="56" t="s">
        <v>403</v>
      </c>
      <c r="P1101" s="56">
        <v>44524</v>
      </c>
      <c r="Q1101" s="49">
        <v>30683.439999999999</v>
      </c>
      <c r="R1101" s="57">
        <f>+M1101/Q1101</f>
        <v>75.6525018055342</v>
      </c>
    </row>
    <row r="1102" spans="1:18" s="30" customFormat="1" ht="15" customHeight="1">
      <c r="A1102" s="37" t="s">
        <v>688</v>
      </c>
      <c r="B1102" s="26" t="s">
        <v>1728</v>
      </c>
      <c r="C1102" s="39">
        <v>170</v>
      </c>
      <c r="D1102" s="40" t="s">
        <v>1785</v>
      </c>
      <c r="E1102" s="38" t="s">
        <v>4</v>
      </c>
      <c r="F1102" s="38" t="s">
        <v>16</v>
      </c>
      <c r="G1102" s="32">
        <v>0</v>
      </c>
      <c r="H1102" s="32">
        <v>3584637</v>
      </c>
      <c r="I1102" s="52">
        <v>0</v>
      </c>
      <c r="J1102" s="35">
        <f>+G1102-H1102+I1102</f>
        <v>-3584637</v>
      </c>
      <c r="K1102" s="28">
        <v>0</v>
      </c>
      <c r="L1102" s="32">
        <v>0</v>
      </c>
      <c r="M1102" s="35">
        <f>+J1102+L1102</f>
        <v>-3584637</v>
      </c>
      <c r="N1102" s="28" t="s">
        <v>1730</v>
      </c>
      <c r="O1102" s="29" t="s">
        <v>1731</v>
      </c>
      <c r="P1102" s="36">
        <v>43444</v>
      </c>
      <c r="Q1102" s="31">
        <v>27565.79</v>
      </c>
      <c r="R1102" s="33">
        <f>M1102/Q1102</f>
        <v>-130.03933498731578</v>
      </c>
    </row>
    <row r="1103" spans="1:18" s="30" customFormat="1" ht="15" customHeight="1">
      <c r="A1103" s="37" t="s">
        <v>293</v>
      </c>
      <c r="B1103" s="26" t="s">
        <v>294</v>
      </c>
      <c r="C1103" s="39">
        <v>169</v>
      </c>
      <c r="D1103" s="40" t="s">
        <v>1786</v>
      </c>
      <c r="E1103" s="38" t="s">
        <v>3</v>
      </c>
      <c r="F1103" s="38" t="s">
        <v>11</v>
      </c>
      <c r="G1103" s="32">
        <v>105348542</v>
      </c>
      <c r="H1103" s="32">
        <v>111588103</v>
      </c>
      <c r="I1103" s="52">
        <v>0</v>
      </c>
      <c r="J1103" s="35">
        <f>+G1103-H1103+I1103</f>
        <v>-6239561</v>
      </c>
      <c r="K1103" s="28">
        <v>0</v>
      </c>
      <c r="L1103" s="32">
        <v>0</v>
      </c>
      <c r="M1103" s="35">
        <f>+J1103+L1103</f>
        <v>-6239561</v>
      </c>
      <c r="N1103" s="28" t="s">
        <v>1537</v>
      </c>
      <c r="O1103" s="29" t="s">
        <v>1538</v>
      </c>
      <c r="P1103" s="36">
        <v>43914</v>
      </c>
      <c r="Q1103" s="31">
        <v>28331.86</v>
      </c>
      <c r="R1103" s="33">
        <f>M1103/Q1103</f>
        <v>-220.23125202510531</v>
      </c>
    </row>
    <row r="1104" spans="1:18" s="30" customFormat="1" ht="15" customHeight="1">
      <c r="A1104" s="37" t="s">
        <v>39</v>
      </c>
      <c r="B1104" s="26" t="s">
        <v>1658</v>
      </c>
      <c r="C1104" s="39">
        <v>169</v>
      </c>
      <c r="D1104" s="40" t="s">
        <v>1787</v>
      </c>
      <c r="E1104" s="38" t="s">
        <v>4</v>
      </c>
      <c r="F1104" s="38" t="s">
        <v>11</v>
      </c>
      <c r="G1104" s="32">
        <v>7366722</v>
      </c>
      <c r="H1104" s="32">
        <v>3359939</v>
      </c>
      <c r="I1104" s="52">
        <v>0</v>
      </c>
      <c r="J1104" s="35">
        <f>+G1104-H1104+I1104</f>
        <v>4006783</v>
      </c>
      <c r="K1104" s="28">
        <v>0</v>
      </c>
      <c r="L1104" s="32">
        <v>0</v>
      </c>
      <c r="M1104" s="35">
        <f>+J1104+L1104</f>
        <v>4006783</v>
      </c>
      <c r="N1104" s="28" t="s">
        <v>1742</v>
      </c>
      <c r="O1104" s="29" t="s">
        <v>1743</v>
      </c>
      <c r="P1104" s="36">
        <v>43720</v>
      </c>
      <c r="Q1104" s="31">
        <v>28014.93</v>
      </c>
      <c r="R1104" s="33">
        <f>M1104/Q1104</f>
        <v>143.02313088056974</v>
      </c>
    </row>
    <row r="1105" spans="1:18" s="30" customFormat="1" ht="15" customHeight="1">
      <c r="A1105" s="37" t="s">
        <v>391</v>
      </c>
      <c r="B1105" s="26" t="s">
        <v>392</v>
      </c>
      <c r="C1105" s="39">
        <v>107</v>
      </c>
      <c r="D1105" s="40" t="s">
        <v>1788</v>
      </c>
      <c r="E1105" s="38" t="s">
        <v>3</v>
      </c>
      <c r="F1105" s="38" t="s">
        <v>10</v>
      </c>
      <c r="G1105" s="32">
        <v>2166040</v>
      </c>
      <c r="H1105" s="32">
        <v>2772295</v>
      </c>
      <c r="I1105" s="32">
        <v>1319987</v>
      </c>
      <c r="J1105" s="35">
        <f>+G1105-H1105+I1105</f>
        <v>713732</v>
      </c>
      <c r="K1105" s="27"/>
      <c r="L1105" s="32">
        <v>0</v>
      </c>
      <c r="M1105" s="35">
        <f>+J1105+L1105</f>
        <v>713732</v>
      </c>
      <c r="N1105" s="28" t="s">
        <v>481</v>
      </c>
      <c r="O1105" s="29" t="s">
        <v>482</v>
      </c>
      <c r="P1105" s="36">
        <v>44130</v>
      </c>
      <c r="Q1105" s="31">
        <v>28810.82</v>
      </c>
      <c r="R1105" s="33">
        <f>M1105/Q1105</f>
        <v>24.773054012346751</v>
      </c>
    </row>
    <row r="1106" spans="1:18" s="30" customFormat="1" ht="15" customHeight="1">
      <c r="A1106" s="37" t="s">
        <v>293</v>
      </c>
      <c r="B1106" s="26" t="s">
        <v>294</v>
      </c>
      <c r="C1106" s="39">
        <v>168</v>
      </c>
      <c r="D1106" s="40" t="s">
        <v>1789</v>
      </c>
      <c r="E1106" s="38" t="s">
        <v>3</v>
      </c>
      <c r="F1106" s="38" t="s">
        <v>12</v>
      </c>
      <c r="G1106" s="32">
        <v>9589197</v>
      </c>
      <c r="H1106" s="32">
        <v>12658164</v>
      </c>
      <c r="I1106" s="32">
        <v>8320750</v>
      </c>
      <c r="J1106" s="35">
        <f>+G1106-H1106+I1106</f>
        <v>5251783</v>
      </c>
      <c r="K1106" s="28">
        <v>0</v>
      </c>
      <c r="L1106" s="32">
        <v>0</v>
      </c>
      <c r="M1106" s="35">
        <f>+J1106+L1106</f>
        <v>5251783</v>
      </c>
      <c r="N1106" s="28" t="s">
        <v>1537</v>
      </c>
      <c r="O1106" s="29" t="s">
        <v>1538</v>
      </c>
      <c r="P1106" s="36">
        <v>43914</v>
      </c>
      <c r="Q1106" s="31">
        <v>28331.86</v>
      </c>
      <c r="R1106" s="33">
        <f>M1106/Q1106</f>
        <v>185.36668612650212</v>
      </c>
    </row>
    <row r="1107" spans="1:18" s="30" customFormat="1" ht="15" customHeight="1">
      <c r="A1107" s="37" t="s">
        <v>356</v>
      </c>
      <c r="B1107" s="26" t="s">
        <v>1540</v>
      </c>
      <c r="C1107" s="39">
        <v>168</v>
      </c>
      <c r="D1107" s="40" t="s">
        <v>1790</v>
      </c>
      <c r="E1107" s="38" t="s">
        <v>198</v>
      </c>
      <c r="F1107" s="38" t="s">
        <v>21</v>
      </c>
      <c r="G1107" s="32">
        <v>12878556</v>
      </c>
      <c r="H1107" s="32">
        <v>11385936</v>
      </c>
      <c r="I1107" s="52">
        <v>0</v>
      </c>
      <c r="J1107" s="35">
        <f>+G1107-H1107+I1107</f>
        <v>1492620</v>
      </c>
      <c r="K1107" s="28">
        <v>0</v>
      </c>
      <c r="L1107" s="32">
        <v>0</v>
      </c>
      <c r="M1107" s="35">
        <f>+J1107+L1107</f>
        <v>1492620</v>
      </c>
      <c r="N1107" s="28" t="s">
        <v>1603</v>
      </c>
      <c r="O1107" s="29" t="s">
        <v>1543</v>
      </c>
      <c r="P1107" s="36">
        <v>43384</v>
      </c>
      <c r="Q1107" s="31">
        <v>27379.14</v>
      </c>
      <c r="R1107" s="33">
        <f>M1107/Q1107</f>
        <v>54.516686791477014</v>
      </c>
    </row>
    <row r="1108" spans="1:18" s="30" customFormat="1" ht="15" customHeight="1">
      <c r="A1108" s="37" t="s">
        <v>39</v>
      </c>
      <c r="B1108" s="26" t="s">
        <v>1658</v>
      </c>
      <c r="C1108" s="39">
        <v>168</v>
      </c>
      <c r="D1108" s="40" t="s">
        <v>1791</v>
      </c>
      <c r="E1108" s="38" t="s">
        <v>4</v>
      </c>
      <c r="F1108" s="38" t="s">
        <v>11</v>
      </c>
      <c r="G1108" s="32">
        <v>2235056</v>
      </c>
      <c r="H1108" s="32">
        <v>1280949</v>
      </c>
      <c r="I1108" s="32">
        <v>604699</v>
      </c>
      <c r="J1108" s="35">
        <f>+G1108-H1108+I1108</f>
        <v>1558806</v>
      </c>
      <c r="K1108" s="28">
        <v>0</v>
      </c>
      <c r="L1108" s="32">
        <v>0</v>
      </c>
      <c r="M1108" s="35">
        <f>+J1108+L1108</f>
        <v>1558806</v>
      </c>
      <c r="N1108" s="28" t="s">
        <v>1742</v>
      </c>
      <c r="O1108" s="29" t="s">
        <v>1743</v>
      </c>
      <c r="P1108" s="36">
        <v>43720</v>
      </c>
      <c r="Q1108" s="31">
        <v>28014.93</v>
      </c>
      <c r="R1108" s="33">
        <f>M1108/Q1108</f>
        <v>55.641973761847701</v>
      </c>
    </row>
    <row r="1109" spans="1:18" s="30" customFormat="1" ht="15" customHeight="1">
      <c r="A1109" s="37" t="s">
        <v>688</v>
      </c>
      <c r="B1109" s="26" t="s">
        <v>1728</v>
      </c>
      <c r="C1109" s="39">
        <v>168</v>
      </c>
      <c r="D1109" s="40" t="s">
        <v>1792</v>
      </c>
      <c r="E1109" s="38" t="s">
        <v>4</v>
      </c>
      <c r="F1109" s="38" t="s">
        <v>11</v>
      </c>
      <c r="G1109" s="32">
        <v>555968</v>
      </c>
      <c r="H1109" s="32">
        <v>304640</v>
      </c>
      <c r="I1109" s="52">
        <v>0</v>
      </c>
      <c r="J1109" s="35">
        <f>+G1109-H1109+I1109</f>
        <v>251328</v>
      </c>
      <c r="K1109" s="28">
        <v>0</v>
      </c>
      <c r="L1109" s="32">
        <v>0</v>
      </c>
      <c r="M1109" s="35">
        <f>+J1109+L1109</f>
        <v>251328</v>
      </c>
      <c r="N1109" s="28" t="s">
        <v>1730</v>
      </c>
      <c r="O1109" s="29" t="s">
        <v>1731</v>
      </c>
      <c r="P1109" s="36">
        <v>43444</v>
      </c>
      <c r="Q1109" s="31">
        <v>27565.79</v>
      </c>
      <c r="R1109" s="33">
        <f>M1109/Q1109</f>
        <v>9.1173878927467698</v>
      </c>
    </row>
    <row r="1110" spans="1:18" s="30" customFormat="1" ht="15" customHeight="1">
      <c r="A1110" s="37" t="s">
        <v>293</v>
      </c>
      <c r="B1110" s="26" t="s">
        <v>294</v>
      </c>
      <c r="C1110" s="39">
        <v>167</v>
      </c>
      <c r="D1110" s="40" t="s">
        <v>1793</v>
      </c>
      <c r="E1110" s="38" t="s">
        <v>6</v>
      </c>
      <c r="F1110" s="38" t="s">
        <v>11</v>
      </c>
      <c r="G1110" s="32">
        <v>80395520</v>
      </c>
      <c r="H1110" s="32">
        <v>54041526</v>
      </c>
      <c r="I1110" s="52">
        <v>0</v>
      </c>
      <c r="J1110" s="35">
        <f>+G1110-H1110+I1110</f>
        <v>26353994</v>
      </c>
      <c r="K1110" s="28">
        <v>0</v>
      </c>
      <c r="L1110" s="32">
        <v>0</v>
      </c>
      <c r="M1110" s="35">
        <f>+J1110+L1110</f>
        <v>26353994</v>
      </c>
      <c r="N1110" s="28" t="s">
        <v>1411</v>
      </c>
      <c r="O1110" s="29" t="s">
        <v>1412</v>
      </c>
      <c r="P1110" s="36" t="s">
        <v>1413</v>
      </c>
      <c r="Q1110" s="31">
        <v>29598.01</v>
      </c>
      <c r="R1110" s="33">
        <f>+M1110/Q1110</f>
        <v>890.39749631816471</v>
      </c>
    </row>
    <row r="1111" spans="1:18" s="30" customFormat="1" ht="15" customHeight="1">
      <c r="A1111" s="37" t="s">
        <v>356</v>
      </c>
      <c r="B1111" s="26" t="s">
        <v>1540</v>
      </c>
      <c r="C1111" s="39">
        <v>167</v>
      </c>
      <c r="D1111" s="40" t="s">
        <v>1794</v>
      </c>
      <c r="E1111" s="38" t="s">
        <v>4</v>
      </c>
      <c r="F1111" s="38" t="s">
        <v>11</v>
      </c>
      <c r="G1111" s="32">
        <v>1174868</v>
      </c>
      <c r="H1111" s="32">
        <v>0</v>
      </c>
      <c r="I1111" s="32">
        <v>1964690</v>
      </c>
      <c r="J1111" s="35">
        <f>+G1111-H1111+I1111</f>
        <v>3139558</v>
      </c>
      <c r="K1111" s="28">
        <v>0</v>
      </c>
      <c r="L1111" s="32">
        <v>0</v>
      </c>
      <c r="M1111" s="35">
        <f>+J1111+L1111</f>
        <v>3139558</v>
      </c>
      <c r="N1111" s="28" t="s">
        <v>1632</v>
      </c>
      <c r="O1111" s="29" t="s">
        <v>1543</v>
      </c>
      <c r="P1111" s="36">
        <v>43336</v>
      </c>
      <c r="Q1111" s="31">
        <v>27262.98</v>
      </c>
      <c r="R1111" s="33">
        <f>M1111/Q1111</f>
        <v>115.15828423745313</v>
      </c>
    </row>
    <row r="1112" spans="1:18" s="30" customFormat="1" ht="15" customHeight="1">
      <c r="A1112" s="37" t="s">
        <v>39</v>
      </c>
      <c r="B1112" s="26" t="s">
        <v>1658</v>
      </c>
      <c r="C1112" s="39">
        <v>167</v>
      </c>
      <c r="D1112" s="40" t="s">
        <v>1795</v>
      </c>
      <c r="E1112" s="38" t="s">
        <v>4</v>
      </c>
      <c r="F1112" s="38" t="s">
        <v>15</v>
      </c>
      <c r="G1112" s="32">
        <v>0</v>
      </c>
      <c r="H1112" s="32">
        <v>0</v>
      </c>
      <c r="I1112" s="32">
        <v>7213774</v>
      </c>
      <c r="J1112" s="35">
        <f>+G1112-H1112+I1112</f>
        <v>7213774</v>
      </c>
      <c r="K1112" s="28">
        <v>0</v>
      </c>
      <c r="L1112" s="32">
        <v>0</v>
      </c>
      <c r="M1112" s="35">
        <f>+J1112+L1112</f>
        <v>7213774</v>
      </c>
      <c r="N1112" s="28" t="s">
        <v>1742</v>
      </c>
      <c r="O1112" s="29" t="s">
        <v>1743</v>
      </c>
      <c r="P1112" s="36">
        <v>43720</v>
      </c>
      <c r="Q1112" s="31">
        <v>28014.93</v>
      </c>
      <c r="R1112" s="33">
        <f>M1112/Q1112</f>
        <v>257.49748437708035</v>
      </c>
    </row>
    <row r="1113" spans="1:18" s="30" customFormat="1" ht="15" customHeight="1">
      <c r="A1113" s="37" t="s">
        <v>688</v>
      </c>
      <c r="B1113" s="26" t="s">
        <v>1728</v>
      </c>
      <c r="C1113" s="39">
        <v>167</v>
      </c>
      <c r="D1113" s="40" t="s">
        <v>1796</v>
      </c>
      <c r="E1113" s="38" t="s">
        <v>3</v>
      </c>
      <c r="F1113" s="38" t="s">
        <v>13</v>
      </c>
      <c r="G1113" s="32">
        <v>0</v>
      </c>
      <c r="H1113" s="32">
        <v>0</v>
      </c>
      <c r="I1113" s="32">
        <v>11828867</v>
      </c>
      <c r="J1113" s="35">
        <f>+G1113-H1113+I1113</f>
        <v>11828867</v>
      </c>
      <c r="K1113" s="28">
        <v>0</v>
      </c>
      <c r="L1113" s="32">
        <v>0</v>
      </c>
      <c r="M1113" s="35">
        <f>+J1113+L1113</f>
        <v>11828867</v>
      </c>
      <c r="N1113" s="28" t="s">
        <v>1797</v>
      </c>
      <c r="O1113" s="29" t="s">
        <v>1798</v>
      </c>
      <c r="P1113" s="36">
        <v>43027</v>
      </c>
      <c r="Q1113" s="31">
        <v>26655.55</v>
      </c>
      <c r="R1113" s="33">
        <f>M1113/Q1113</f>
        <v>443.76750807993085</v>
      </c>
    </row>
    <row r="1114" spans="1:18" s="30" customFormat="1" ht="15" customHeight="1">
      <c r="A1114" s="37" t="s">
        <v>293</v>
      </c>
      <c r="B1114" s="26" t="s">
        <v>294</v>
      </c>
      <c r="C1114" s="39">
        <v>166</v>
      </c>
      <c r="D1114" s="40" t="s">
        <v>1799</v>
      </c>
      <c r="E1114" s="38" t="s">
        <v>3</v>
      </c>
      <c r="F1114" s="38" t="s">
        <v>11</v>
      </c>
      <c r="G1114" s="32">
        <v>4413757</v>
      </c>
      <c r="H1114" s="32">
        <v>59440452</v>
      </c>
      <c r="I1114" s="32">
        <v>126504983</v>
      </c>
      <c r="J1114" s="35">
        <f>+G1114-H1114+I1114</f>
        <v>71478288</v>
      </c>
      <c r="K1114" s="28">
        <v>0</v>
      </c>
      <c r="L1114" s="32">
        <v>0</v>
      </c>
      <c r="M1114" s="35">
        <f>+J1114+L1114</f>
        <v>71478288</v>
      </c>
      <c r="N1114" s="28" t="s">
        <v>1626</v>
      </c>
      <c r="O1114" s="29" t="s">
        <v>1627</v>
      </c>
      <c r="P1114" s="36">
        <v>43886</v>
      </c>
      <c r="Q1114" s="31">
        <v>28440.19</v>
      </c>
      <c r="R1114" s="33">
        <f>M1114/Q1114</f>
        <v>2513.2844752443639</v>
      </c>
    </row>
    <row r="1115" spans="1:18" s="30" customFormat="1" ht="15" customHeight="1">
      <c r="A1115" s="37" t="s">
        <v>39</v>
      </c>
      <c r="B1115" s="26" t="s">
        <v>1658</v>
      </c>
      <c r="C1115" s="39">
        <v>166</v>
      </c>
      <c r="D1115" s="40" t="s">
        <v>1800</v>
      </c>
      <c r="E1115" s="38" t="s">
        <v>4</v>
      </c>
      <c r="F1115" s="38" t="s">
        <v>11</v>
      </c>
      <c r="G1115" s="32">
        <v>6973138</v>
      </c>
      <c r="H1115" s="32">
        <v>156761668</v>
      </c>
      <c r="I1115" s="32">
        <v>129578144</v>
      </c>
      <c r="J1115" s="35">
        <f>+G1115-H1115+I1115</f>
        <v>-20210386</v>
      </c>
      <c r="K1115" s="28">
        <v>0</v>
      </c>
      <c r="L1115" s="32">
        <v>0</v>
      </c>
      <c r="M1115" s="35">
        <f>+J1115+L1115</f>
        <v>-20210386</v>
      </c>
      <c r="N1115" s="28" t="s">
        <v>1742</v>
      </c>
      <c r="O1115" s="29" t="s">
        <v>1743</v>
      </c>
      <c r="P1115" s="36">
        <v>43720</v>
      </c>
      <c r="Q1115" s="31">
        <v>28014.93</v>
      </c>
      <c r="R1115" s="33">
        <f>M1115/Q1115</f>
        <v>-721.41483130602148</v>
      </c>
    </row>
    <row r="1116" spans="1:18" s="30" customFormat="1" ht="15" customHeight="1">
      <c r="A1116" s="37" t="s">
        <v>293</v>
      </c>
      <c r="B1116" s="26" t="s">
        <v>294</v>
      </c>
      <c r="C1116" s="39">
        <v>165</v>
      </c>
      <c r="D1116" s="40" t="s">
        <v>1801</v>
      </c>
      <c r="E1116" s="38" t="s">
        <v>3</v>
      </c>
      <c r="F1116" s="38" t="s">
        <v>11</v>
      </c>
      <c r="G1116" s="32">
        <v>56485694</v>
      </c>
      <c r="H1116" s="32">
        <v>17461556</v>
      </c>
      <c r="I1116" s="52">
        <v>0</v>
      </c>
      <c r="J1116" s="35">
        <f>+G1116-H1116+I1116</f>
        <v>39024138</v>
      </c>
      <c r="K1116" s="28">
        <v>0</v>
      </c>
      <c r="L1116" s="32">
        <v>0</v>
      </c>
      <c r="M1116" s="35">
        <f>+J1116+L1116</f>
        <v>39024138</v>
      </c>
      <c r="N1116" s="28" t="s">
        <v>1537</v>
      </c>
      <c r="O1116" s="29" t="s">
        <v>1538</v>
      </c>
      <c r="P1116" s="36">
        <v>43914</v>
      </c>
      <c r="Q1116" s="31">
        <v>28331.86</v>
      </c>
      <c r="R1116" s="33">
        <f>M1116/Q1116</f>
        <v>1377.3941421424502</v>
      </c>
    </row>
    <row r="1117" spans="1:18" s="30" customFormat="1" ht="15" customHeight="1">
      <c r="A1117" s="37" t="s">
        <v>39</v>
      </c>
      <c r="B1117" s="26" t="s">
        <v>1658</v>
      </c>
      <c r="C1117" s="39">
        <v>165</v>
      </c>
      <c r="D1117" s="40" t="s">
        <v>1802</v>
      </c>
      <c r="E1117" s="38" t="s">
        <v>4</v>
      </c>
      <c r="F1117" s="38" t="s">
        <v>12</v>
      </c>
      <c r="G1117" s="32">
        <v>31534366</v>
      </c>
      <c r="H1117" s="32">
        <v>99708817</v>
      </c>
      <c r="I1117" s="52">
        <v>0</v>
      </c>
      <c r="J1117" s="35">
        <f>+G1117-H1117+I1117</f>
        <v>-68174451</v>
      </c>
      <c r="K1117" s="28">
        <v>0</v>
      </c>
      <c r="L1117" s="32">
        <v>0</v>
      </c>
      <c r="M1117" s="35">
        <f>+J1117+L1117</f>
        <v>-68174451</v>
      </c>
      <c r="N1117" s="28" t="s">
        <v>1742</v>
      </c>
      <c r="O1117" s="29" t="s">
        <v>1743</v>
      </c>
      <c r="P1117" s="36">
        <v>43720</v>
      </c>
      <c r="Q1117" s="31">
        <v>28014.93</v>
      </c>
      <c r="R1117" s="33">
        <f>M1117/Q1117</f>
        <v>-2433.504242202283</v>
      </c>
    </row>
    <row r="1118" spans="1:18" s="30" customFormat="1" ht="15" customHeight="1">
      <c r="A1118" s="37" t="s">
        <v>293</v>
      </c>
      <c r="B1118" s="26" t="s">
        <v>294</v>
      </c>
      <c r="C1118" s="39">
        <v>164</v>
      </c>
      <c r="D1118" s="40" t="s">
        <v>1803</v>
      </c>
      <c r="E1118" s="38" t="s">
        <v>3</v>
      </c>
      <c r="F1118" s="38" t="s">
        <v>11</v>
      </c>
      <c r="G1118" s="32">
        <v>44668179</v>
      </c>
      <c r="H1118" s="32">
        <v>121964622</v>
      </c>
      <c r="I1118" s="32">
        <v>80480362</v>
      </c>
      <c r="J1118" s="35">
        <f>+G1118-H1118+I1118</f>
        <v>3183919</v>
      </c>
      <c r="K1118" s="28">
        <v>0</v>
      </c>
      <c r="L1118" s="32">
        <v>0</v>
      </c>
      <c r="M1118" s="35">
        <f>+J1118+L1118</f>
        <v>3183919</v>
      </c>
      <c r="N1118" s="28" t="s">
        <v>1537</v>
      </c>
      <c r="O1118" s="29" t="s">
        <v>1538</v>
      </c>
      <c r="P1118" s="36">
        <v>43914</v>
      </c>
      <c r="Q1118" s="31">
        <v>28331.86</v>
      </c>
      <c r="R1118" s="33">
        <f>M1118/Q1118</f>
        <v>112.3794554963917</v>
      </c>
    </row>
    <row r="1119" spans="1:18" s="30" customFormat="1" ht="15" customHeight="1">
      <c r="A1119" s="37" t="s">
        <v>39</v>
      </c>
      <c r="B1119" s="26" t="s">
        <v>1658</v>
      </c>
      <c r="C1119" s="39">
        <v>164</v>
      </c>
      <c r="D1119" s="40" t="s">
        <v>1804</v>
      </c>
      <c r="E1119" s="38" t="s">
        <v>4</v>
      </c>
      <c r="F1119" s="38" t="s">
        <v>13</v>
      </c>
      <c r="G1119" s="32">
        <v>0</v>
      </c>
      <c r="H1119" s="32">
        <v>0</v>
      </c>
      <c r="I1119" s="32">
        <v>9481252</v>
      </c>
      <c r="J1119" s="35">
        <f>+G1119-H1119+I1119</f>
        <v>9481252</v>
      </c>
      <c r="K1119" s="28">
        <v>0</v>
      </c>
      <c r="L1119" s="32">
        <v>0</v>
      </c>
      <c r="M1119" s="35">
        <f>+J1119+L1119</f>
        <v>9481252</v>
      </c>
      <c r="N1119" s="28" t="s">
        <v>1742</v>
      </c>
      <c r="O1119" s="29" t="s">
        <v>1743</v>
      </c>
      <c r="P1119" s="36">
        <v>43720</v>
      </c>
      <c r="Q1119" s="31">
        <v>28014.93</v>
      </c>
      <c r="R1119" s="33">
        <f>M1119/Q1119</f>
        <v>338.43568411557692</v>
      </c>
    </row>
    <row r="1120" spans="1:18" s="30" customFormat="1" ht="15" customHeight="1">
      <c r="A1120" s="37" t="s">
        <v>688</v>
      </c>
      <c r="B1120" s="26" t="s">
        <v>1728</v>
      </c>
      <c r="C1120" s="39">
        <v>164</v>
      </c>
      <c r="D1120" s="40" t="s">
        <v>1805</v>
      </c>
      <c r="E1120" s="38" t="s">
        <v>4</v>
      </c>
      <c r="F1120" s="38" t="s">
        <v>11</v>
      </c>
      <c r="G1120" s="32">
        <v>0</v>
      </c>
      <c r="H1120" s="32">
        <v>5635840</v>
      </c>
      <c r="I1120" s="32">
        <v>1142400</v>
      </c>
      <c r="J1120" s="35">
        <f>+G1120-H1120+I1120</f>
        <v>-4493440</v>
      </c>
      <c r="K1120" s="28">
        <v>0</v>
      </c>
      <c r="L1120" s="32">
        <v>0</v>
      </c>
      <c r="M1120" s="35">
        <f>+J1120+L1120</f>
        <v>-4493440</v>
      </c>
      <c r="N1120" s="28" t="s">
        <v>1730</v>
      </c>
      <c r="O1120" s="29" t="s">
        <v>1731</v>
      </c>
      <c r="P1120" s="36">
        <v>43444</v>
      </c>
      <c r="Q1120" s="31">
        <v>27565.79</v>
      </c>
      <c r="R1120" s="33">
        <f>M1120/Q1120</f>
        <v>-163.00784414304832</v>
      </c>
    </row>
    <row r="1121" spans="1:18" s="30" customFormat="1" ht="15" customHeight="1">
      <c r="A1121" s="37" t="s">
        <v>293</v>
      </c>
      <c r="B1121" s="26" t="s">
        <v>294</v>
      </c>
      <c r="C1121" s="39">
        <v>163</v>
      </c>
      <c r="D1121" s="40" t="s">
        <v>1806</v>
      </c>
      <c r="E1121" s="38" t="s">
        <v>3</v>
      </c>
      <c r="F1121" s="38" t="s">
        <v>11</v>
      </c>
      <c r="G1121" s="32">
        <v>3068573</v>
      </c>
      <c r="H1121" s="32">
        <v>71085342</v>
      </c>
      <c r="I1121" s="32">
        <v>104567875</v>
      </c>
      <c r="J1121" s="35">
        <f>+G1121-H1121+I1121</f>
        <v>36551106</v>
      </c>
      <c r="K1121" s="28">
        <v>0</v>
      </c>
      <c r="L1121" s="32">
        <v>0</v>
      </c>
      <c r="M1121" s="35">
        <f>+J1121+L1121</f>
        <v>36551106</v>
      </c>
      <c r="N1121" s="28" t="s">
        <v>1626</v>
      </c>
      <c r="O1121" s="29" t="s">
        <v>1627</v>
      </c>
      <c r="P1121" s="36">
        <v>43886</v>
      </c>
      <c r="Q1121" s="31">
        <v>28440.19</v>
      </c>
      <c r="R1121" s="33">
        <f>M1121/Q1121</f>
        <v>1285.1920468885758</v>
      </c>
    </row>
    <row r="1122" spans="1:18" s="30" customFormat="1" ht="15" customHeight="1">
      <c r="A1122" s="37" t="s">
        <v>39</v>
      </c>
      <c r="B1122" s="26" t="s">
        <v>1658</v>
      </c>
      <c r="C1122" s="39">
        <v>163</v>
      </c>
      <c r="D1122" s="40" t="s">
        <v>1807</v>
      </c>
      <c r="E1122" s="38" t="s">
        <v>4</v>
      </c>
      <c r="F1122" s="38" t="s">
        <v>11</v>
      </c>
      <c r="G1122" s="32">
        <v>0</v>
      </c>
      <c r="H1122" s="32">
        <v>0</v>
      </c>
      <c r="I1122" s="32">
        <v>16693890</v>
      </c>
      <c r="J1122" s="35">
        <f>+G1122-H1122+I1122</f>
        <v>16693890</v>
      </c>
      <c r="K1122" s="28">
        <v>0</v>
      </c>
      <c r="L1122" s="32">
        <v>0</v>
      </c>
      <c r="M1122" s="35">
        <f>+J1122+L1122</f>
        <v>16693890</v>
      </c>
      <c r="N1122" s="28" t="s">
        <v>1742</v>
      </c>
      <c r="O1122" s="29" t="s">
        <v>1743</v>
      </c>
      <c r="P1122" s="36">
        <v>43720</v>
      </c>
      <c r="Q1122" s="31">
        <v>28014.93</v>
      </c>
      <c r="R1122" s="33">
        <f>M1122/Q1122</f>
        <v>595.89261868582219</v>
      </c>
    </row>
    <row r="1123" spans="1:18" s="30" customFormat="1" ht="15" customHeight="1">
      <c r="A1123" s="37" t="s">
        <v>688</v>
      </c>
      <c r="B1123" s="26" t="s">
        <v>1728</v>
      </c>
      <c r="C1123" s="39">
        <v>163</v>
      </c>
      <c r="D1123" s="40" t="s">
        <v>1808</v>
      </c>
      <c r="E1123" s="38" t="s">
        <v>4</v>
      </c>
      <c r="F1123" s="38" t="s">
        <v>13</v>
      </c>
      <c r="G1123" s="32">
        <v>1084518</v>
      </c>
      <c r="H1123" s="32">
        <v>0</v>
      </c>
      <c r="I1123" s="52">
        <v>0</v>
      </c>
      <c r="J1123" s="35">
        <f>+G1123-H1123+I1123</f>
        <v>1084518</v>
      </c>
      <c r="K1123" s="28">
        <v>0</v>
      </c>
      <c r="L1123" s="32">
        <v>0</v>
      </c>
      <c r="M1123" s="35">
        <f>+J1123+L1123</f>
        <v>1084518</v>
      </c>
      <c r="N1123" s="28" t="s">
        <v>1730</v>
      </c>
      <c r="O1123" s="29" t="s">
        <v>1731</v>
      </c>
      <c r="P1123" s="36">
        <v>43444</v>
      </c>
      <c r="Q1123" s="31">
        <v>27565.79</v>
      </c>
      <c r="R1123" s="33">
        <f>M1123/Q1123</f>
        <v>39.342895668870725</v>
      </c>
    </row>
    <row r="1124" spans="1:18" s="30" customFormat="1" ht="15" customHeight="1">
      <c r="A1124" s="37" t="s">
        <v>39</v>
      </c>
      <c r="B1124" s="26" t="s">
        <v>1658</v>
      </c>
      <c r="C1124" s="39">
        <v>162</v>
      </c>
      <c r="D1124" s="40" t="s">
        <v>1809</v>
      </c>
      <c r="E1124" s="38" t="s">
        <v>4</v>
      </c>
      <c r="F1124" s="38" t="s">
        <v>11</v>
      </c>
      <c r="G1124" s="32">
        <v>5475997</v>
      </c>
      <c r="H1124" s="32">
        <v>17336038</v>
      </c>
      <c r="I1124" s="32">
        <v>16571399</v>
      </c>
      <c r="J1124" s="35">
        <f>+G1124-H1124+I1124</f>
        <v>4711358</v>
      </c>
      <c r="K1124" s="28">
        <v>0</v>
      </c>
      <c r="L1124" s="32">
        <v>0</v>
      </c>
      <c r="M1124" s="35">
        <f>+J1124+L1124</f>
        <v>4711358</v>
      </c>
      <c r="N1124" s="28" t="s">
        <v>1742</v>
      </c>
      <c r="O1124" s="29" t="s">
        <v>1743</v>
      </c>
      <c r="P1124" s="36">
        <v>43720</v>
      </c>
      <c r="Q1124" s="31">
        <v>28014.93</v>
      </c>
      <c r="R1124" s="33">
        <f>M1124/Q1124</f>
        <v>168.17311340774364</v>
      </c>
    </row>
    <row r="1125" spans="1:18" s="30" customFormat="1" ht="15" customHeight="1">
      <c r="A1125" s="37" t="s">
        <v>391</v>
      </c>
      <c r="B1125" s="26" t="s">
        <v>392</v>
      </c>
      <c r="C1125" s="39">
        <v>69</v>
      </c>
      <c r="D1125" s="40" t="s">
        <v>1810</v>
      </c>
      <c r="E1125" s="38" t="s">
        <v>3</v>
      </c>
      <c r="F1125" s="38" t="s">
        <v>10</v>
      </c>
      <c r="G1125" s="32">
        <v>2364463</v>
      </c>
      <c r="H1125" s="32">
        <v>0</v>
      </c>
      <c r="I1125" s="32">
        <v>5351919</v>
      </c>
      <c r="J1125" s="35">
        <f>+G1125-H1125+I1125</f>
        <v>7716382</v>
      </c>
      <c r="K1125" s="27"/>
      <c r="L1125" s="32">
        <v>0</v>
      </c>
      <c r="M1125" s="35">
        <f>+J1125+L1125</f>
        <v>7716382</v>
      </c>
      <c r="N1125" s="28" t="s">
        <v>765</v>
      </c>
      <c r="O1125" s="29" t="s">
        <v>766</v>
      </c>
      <c r="P1125" s="36">
        <v>44140</v>
      </c>
      <c r="Q1125" s="31">
        <v>28866.47</v>
      </c>
      <c r="R1125" s="33">
        <f>M1125/Q1125</f>
        <v>267.31297591981286</v>
      </c>
    </row>
    <row r="1126" spans="1:18" s="30" customFormat="1" ht="15" customHeight="1">
      <c r="A1126" s="37" t="s">
        <v>391</v>
      </c>
      <c r="B1126" s="26" t="s">
        <v>392</v>
      </c>
      <c r="C1126" s="39">
        <v>161</v>
      </c>
      <c r="D1126" s="40" t="s">
        <v>1811</v>
      </c>
      <c r="E1126" s="38" t="s">
        <v>3</v>
      </c>
      <c r="F1126" s="38" t="s">
        <v>11</v>
      </c>
      <c r="G1126" s="32">
        <v>2239688</v>
      </c>
      <c r="H1126" s="32">
        <v>0</v>
      </c>
      <c r="I1126" s="52">
        <v>0</v>
      </c>
      <c r="J1126" s="35">
        <f>+G1126-H1126+I1126</f>
        <v>2239688</v>
      </c>
      <c r="K1126" s="28">
        <v>0</v>
      </c>
      <c r="L1126" s="32">
        <v>0</v>
      </c>
      <c r="M1126" s="35">
        <f>+J1126+L1126</f>
        <v>2239688</v>
      </c>
      <c r="N1126" s="28" t="s">
        <v>481</v>
      </c>
      <c r="O1126" s="29" t="s">
        <v>482</v>
      </c>
      <c r="P1126" s="36">
        <v>44130</v>
      </c>
      <c r="Q1126" s="31">
        <v>28810.82</v>
      </c>
      <c r="R1126" s="33">
        <f>M1126/Q1126</f>
        <v>77.737738807850661</v>
      </c>
    </row>
    <row r="1127" spans="1:18" s="30" customFormat="1" ht="15" customHeight="1">
      <c r="A1127" s="37" t="s">
        <v>627</v>
      </c>
      <c r="B1127" s="26" t="s">
        <v>1347</v>
      </c>
      <c r="C1127" s="39">
        <v>1</v>
      </c>
      <c r="D1127" s="40" t="s">
        <v>1812</v>
      </c>
      <c r="E1127" s="38" t="s">
        <v>198</v>
      </c>
      <c r="F1127" s="38" t="s">
        <v>11</v>
      </c>
      <c r="G1127" s="32">
        <v>2369987</v>
      </c>
      <c r="H1127" s="32">
        <v>54621</v>
      </c>
      <c r="I1127" s="32">
        <v>2475183</v>
      </c>
      <c r="J1127" s="35">
        <f>+G1127-H1127+I1127</f>
        <v>4790549</v>
      </c>
      <c r="K1127" s="27">
        <v>20</v>
      </c>
      <c r="L1127" s="32">
        <v>0</v>
      </c>
      <c r="M1127" s="35">
        <f>+J1127+L1127</f>
        <v>4790549</v>
      </c>
      <c r="N1127" s="28" t="s">
        <v>1349</v>
      </c>
      <c r="O1127" s="29" t="s">
        <v>1350</v>
      </c>
      <c r="P1127" s="36">
        <v>44833</v>
      </c>
      <c r="Q1127" s="31">
        <v>33806.17</v>
      </c>
      <c r="R1127" s="33">
        <f>M1127/Q1127</f>
        <v>141.70635123706708</v>
      </c>
    </row>
    <row r="1128" spans="1:18" s="30" customFormat="1" ht="15" customHeight="1">
      <c r="A1128" s="37" t="s">
        <v>293</v>
      </c>
      <c r="B1128" s="26" t="s">
        <v>294</v>
      </c>
      <c r="C1128" s="39">
        <v>161</v>
      </c>
      <c r="D1128" s="40" t="s">
        <v>1813</v>
      </c>
      <c r="E1128" s="38" t="s">
        <v>3</v>
      </c>
      <c r="F1128" s="38" t="s">
        <v>10</v>
      </c>
      <c r="G1128" s="32">
        <v>109499</v>
      </c>
      <c r="H1128" s="32">
        <v>0</v>
      </c>
      <c r="I1128" s="32">
        <v>187965</v>
      </c>
      <c r="J1128" s="35">
        <f>+G1128-H1128+I1128</f>
        <v>297464</v>
      </c>
      <c r="K1128" s="28">
        <v>0</v>
      </c>
      <c r="L1128" s="32">
        <v>0</v>
      </c>
      <c r="M1128" s="35">
        <f>+J1128+L1128</f>
        <v>297464</v>
      </c>
      <c r="N1128" s="28" t="s">
        <v>1626</v>
      </c>
      <c r="O1128" s="29" t="s">
        <v>1627</v>
      </c>
      <c r="P1128" s="36">
        <v>43886</v>
      </c>
      <c r="Q1128" s="31">
        <v>28440.19</v>
      </c>
      <c r="R1128" s="33">
        <f>M1128/Q1128</f>
        <v>10.459283148249011</v>
      </c>
    </row>
    <row r="1129" spans="1:18" s="30" customFormat="1" ht="15" customHeight="1">
      <c r="A1129" s="37" t="s">
        <v>39</v>
      </c>
      <c r="B1129" s="26" t="s">
        <v>1658</v>
      </c>
      <c r="C1129" s="39">
        <v>161</v>
      </c>
      <c r="D1129" s="40" t="s">
        <v>1814</v>
      </c>
      <c r="E1129" s="38" t="s">
        <v>4</v>
      </c>
      <c r="F1129" s="38" t="s">
        <v>11</v>
      </c>
      <c r="G1129" s="32">
        <v>25595552</v>
      </c>
      <c r="H1129" s="32">
        <v>0</v>
      </c>
      <c r="I1129" s="32">
        <v>6192652</v>
      </c>
      <c r="J1129" s="35">
        <f>+G1129-H1129+I1129</f>
        <v>31788204</v>
      </c>
      <c r="K1129" s="28">
        <v>0</v>
      </c>
      <c r="L1129" s="32">
        <v>0</v>
      </c>
      <c r="M1129" s="35">
        <f>+J1129+L1129</f>
        <v>31788204</v>
      </c>
      <c r="N1129" s="28" t="s">
        <v>1742</v>
      </c>
      <c r="O1129" s="29" t="s">
        <v>1743</v>
      </c>
      <c r="P1129" s="36">
        <v>43720</v>
      </c>
      <c r="Q1129" s="31">
        <v>28014.93</v>
      </c>
      <c r="R1129" s="33">
        <f>M1129/Q1129</f>
        <v>1134.687968165546</v>
      </c>
    </row>
    <row r="1130" spans="1:18" s="30" customFormat="1" ht="15" customHeight="1">
      <c r="A1130" s="37" t="s">
        <v>293</v>
      </c>
      <c r="B1130" s="26" t="s">
        <v>294</v>
      </c>
      <c r="C1130" s="39">
        <v>160</v>
      </c>
      <c r="D1130" s="40" t="s">
        <v>1815</v>
      </c>
      <c r="E1130" s="38" t="s">
        <v>3</v>
      </c>
      <c r="F1130" s="38" t="s">
        <v>10</v>
      </c>
      <c r="G1130" s="32">
        <v>523556</v>
      </c>
      <c r="H1130" s="32">
        <v>0</v>
      </c>
      <c r="I1130" s="52">
        <v>0</v>
      </c>
      <c r="J1130" s="35">
        <f>+G1130-H1130+I1130</f>
        <v>523556</v>
      </c>
      <c r="K1130" s="28">
        <v>0</v>
      </c>
      <c r="L1130" s="32">
        <v>0</v>
      </c>
      <c r="M1130" s="35">
        <f>+J1130+L1130</f>
        <v>523556</v>
      </c>
      <c r="N1130" s="28" t="s">
        <v>1626</v>
      </c>
      <c r="O1130" s="29" t="s">
        <v>1627</v>
      </c>
      <c r="P1130" s="36">
        <v>43886</v>
      </c>
      <c r="Q1130" s="31">
        <v>28440.19</v>
      </c>
      <c r="R1130" s="33">
        <f>M1130/Q1130</f>
        <v>18.409019067734782</v>
      </c>
    </row>
    <row r="1131" spans="1:18" s="30" customFormat="1" ht="15" customHeight="1">
      <c r="A1131" s="37" t="s">
        <v>39</v>
      </c>
      <c r="B1131" s="26" t="s">
        <v>1658</v>
      </c>
      <c r="C1131" s="39">
        <v>160</v>
      </c>
      <c r="D1131" s="40" t="s">
        <v>1816</v>
      </c>
      <c r="E1131" s="38" t="s">
        <v>4</v>
      </c>
      <c r="F1131" s="38" t="s">
        <v>11</v>
      </c>
      <c r="G1131" s="32">
        <v>9500486</v>
      </c>
      <c r="H1131" s="32">
        <v>70346</v>
      </c>
      <c r="I1131" s="32">
        <v>7229709</v>
      </c>
      <c r="J1131" s="35">
        <f>+G1131-H1131+I1131</f>
        <v>16659849</v>
      </c>
      <c r="K1131" s="28">
        <v>0</v>
      </c>
      <c r="L1131" s="32">
        <v>0</v>
      </c>
      <c r="M1131" s="35">
        <f>+J1131+L1131</f>
        <v>16659849</v>
      </c>
      <c r="N1131" s="28" t="s">
        <v>1742</v>
      </c>
      <c r="O1131" s="29" t="s">
        <v>1743</v>
      </c>
      <c r="P1131" s="36">
        <v>43720</v>
      </c>
      <c r="Q1131" s="31">
        <v>28014.93</v>
      </c>
      <c r="R1131" s="33">
        <f>M1131/Q1131</f>
        <v>594.67751659561532</v>
      </c>
    </row>
    <row r="1132" spans="1:18" s="30" customFormat="1" ht="15" customHeight="1">
      <c r="A1132" s="37" t="s">
        <v>688</v>
      </c>
      <c r="B1132" s="26" t="s">
        <v>1728</v>
      </c>
      <c r="C1132" s="39">
        <v>160</v>
      </c>
      <c r="D1132" s="40" t="s">
        <v>1817</v>
      </c>
      <c r="E1132" s="38" t="s">
        <v>4</v>
      </c>
      <c r="F1132" s="38" t="s">
        <v>13</v>
      </c>
      <c r="G1132" s="32">
        <v>335104</v>
      </c>
      <c r="H1132" s="32">
        <v>0</v>
      </c>
      <c r="I1132" s="52">
        <v>0</v>
      </c>
      <c r="J1132" s="35">
        <f>+G1132-H1132+I1132</f>
        <v>335104</v>
      </c>
      <c r="K1132" s="28">
        <v>0</v>
      </c>
      <c r="L1132" s="32">
        <v>0</v>
      </c>
      <c r="M1132" s="35">
        <f>+J1132+L1132</f>
        <v>335104</v>
      </c>
      <c r="N1132" s="28" t="s">
        <v>1730</v>
      </c>
      <c r="O1132" s="29" t="s">
        <v>1731</v>
      </c>
      <c r="P1132" s="36">
        <v>43444</v>
      </c>
      <c r="Q1132" s="31">
        <v>27565.79</v>
      </c>
      <c r="R1132" s="33">
        <f>M1132/Q1132</f>
        <v>12.156517190329026</v>
      </c>
    </row>
    <row r="1133" spans="1:18" s="30" customFormat="1" ht="15" customHeight="1">
      <c r="A1133" s="37" t="s">
        <v>293</v>
      </c>
      <c r="B1133" s="26" t="s">
        <v>294</v>
      </c>
      <c r="C1133" s="39">
        <v>159</v>
      </c>
      <c r="D1133" s="40" t="s">
        <v>1818</v>
      </c>
      <c r="E1133" s="38" t="s">
        <v>3</v>
      </c>
      <c r="F1133" s="38" t="s">
        <v>11</v>
      </c>
      <c r="G1133" s="32">
        <v>3724683</v>
      </c>
      <c r="H1133" s="32">
        <v>73982679</v>
      </c>
      <c r="I1133" s="32">
        <v>116183792</v>
      </c>
      <c r="J1133" s="35">
        <f>+G1133-H1133+I1133</f>
        <v>45925796</v>
      </c>
      <c r="K1133" s="28">
        <v>0</v>
      </c>
      <c r="L1133" s="32">
        <v>0</v>
      </c>
      <c r="M1133" s="35">
        <f>+J1133+L1133</f>
        <v>45925796</v>
      </c>
      <c r="N1133" s="28" t="s">
        <v>1626</v>
      </c>
      <c r="O1133" s="29" t="s">
        <v>1627</v>
      </c>
      <c r="P1133" s="36">
        <v>43886</v>
      </c>
      <c r="Q1133" s="31">
        <v>28440.19</v>
      </c>
      <c r="R1133" s="33">
        <f>M1133/Q1133</f>
        <v>1614.8202948011249</v>
      </c>
    </row>
    <row r="1134" spans="1:18" s="30" customFormat="1" ht="15" customHeight="1">
      <c r="A1134" s="37" t="s">
        <v>39</v>
      </c>
      <c r="B1134" s="26" t="s">
        <v>1658</v>
      </c>
      <c r="C1134" s="39">
        <v>159</v>
      </c>
      <c r="D1134" s="40" t="s">
        <v>1819</v>
      </c>
      <c r="E1134" s="38" t="s">
        <v>4</v>
      </c>
      <c r="F1134" s="38" t="s">
        <v>11</v>
      </c>
      <c r="G1134" s="32">
        <v>13222083</v>
      </c>
      <c r="H1134" s="32">
        <v>0</v>
      </c>
      <c r="I1134" s="32">
        <v>2684841</v>
      </c>
      <c r="J1134" s="35">
        <f>+G1134-H1134+I1134</f>
        <v>15906924</v>
      </c>
      <c r="K1134" s="28">
        <v>0</v>
      </c>
      <c r="L1134" s="32">
        <v>0</v>
      </c>
      <c r="M1134" s="35">
        <f>+J1134+L1134</f>
        <v>15906924</v>
      </c>
      <c r="N1134" s="28" t="s">
        <v>1742</v>
      </c>
      <c r="O1134" s="29" t="s">
        <v>1743</v>
      </c>
      <c r="P1134" s="36">
        <v>43720</v>
      </c>
      <c r="Q1134" s="31">
        <v>28014.93</v>
      </c>
      <c r="R1134" s="33">
        <f>M1134/Q1134</f>
        <v>567.80166861027317</v>
      </c>
    </row>
    <row r="1135" spans="1:18" s="30" customFormat="1" ht="15" customHeight="1">
      <c r="A1135" s="37" t="s">
        <v>688</v>
      </c>
      <c r="B1135" s="26" t="s">
        <v>1728</v>
      </c>
      <c r="C1135" s="39">
        <v>159</v>
      </c>
      <c r="D1135" s="40" t="s">
        <v>1820</v>
      </c>
      <c r="E1135" s="38" t="s">
        <v>4</v>
      </c>
      <c r="F1135" s="38" t="s">
        <v>13</v>
      </c>
      <c r="G1135" s="32">
        <v>210202</v>
      </c>
      <c r="H1135" s="32">
        <v>0</v>
      </c>
      <c r="I1135" s="32">
        <v>605807</v>
      </c>
      <c r="J1135" s="35">
        <f>+G1135-H1135+I1135</f>
        <v>816009</v>
      </c>
      <c r="K1135" s="28">
        <v>0</v>
      </c>
      <c r="L1135" s="32">
        <v>0</v>
      </c>
      <c r="M1135" s="35">
        <f>+J1135+L1135</f>
        <v>816009</v>
      </c>
      <c r="N1135" s="28" t="s">
        <v>1730</v>
      </c>
      <c r="O1135" s="29" t="s">
        <v>1731</v>
      </c>
      <c r="P1135" s="36">
        <v>43444</v>
      </c>
      <c r="Q1135" s="31">
        <v>27565.79</v>
      </c>
      <c r="R1135" s="33">
        <f>M1135/Q1135</f>
        <v>29.602235234324862</v>
      </c>
    </row>
    <row r="1136" spans="1:18" s="30" customFormat="1" ht="15" customHeight="1">
      <c r="A1136" s="37" t="s">
        <v>356</v>
      </c>
      <c r="B1136" s="26" t="s">
        <v>1540</v>
      </c>
      <c r="C1136" s="39">
        <v>158</v>
      </c>
      <c r="D1136" s="40" t="s">
        <v>1821</v>
      </c>
      <c r="E1136" s="38" t="s">
        <v>4</v>
      </c>
      <c r="F1136" s="38" t="s">
        <v>12</v>
      </c>
      <c r="G1136" s="32">
        <v>638513</v>
      </c>
      <c r="H1136" s="32">
        <v>0</v>
      </c>
      <c r="I1136" s="52">
        <v>0</v>
      </c>
      <c r="J1136" s="35">
        <f>+G1136-H1136+I1136</f>
        <v>638513</v>
      </c>
      <c r="K1136" s="28">
        <v>0</v>
      </c>
      <c r="L1136" s="32">
        <v>0</v>
      </c>
      <c r="M1136" s="35">
        <f>+J1136+L1136</f>
        <v>638513</v>
      </c>
      <c r="N1136" s="28" t="s">
        <v>1632</v>
      </c>
      <c r="O1136" s="29" t="s">
        <v>1543</v>
      </c>
      <c r="P1136" s="36">
        <v>43336</v>
      </c>
      <c r="Q1136" s="31">
        <v>27262.98</v>
      </c>
      <c r="R1136" s="33">
        <f>M1136/Q1136</f>
        <v>23.420513824974378</v>
      </c>
    </row>
    <row r="1137" spans="1:18" s="30" customFormat="1" ht="15" customHeight="1">
      <c r="A1137" s="37" t="s">
        <v>39</v>
      </c>
      <c r="B1137" s="26" t="s">
        <v>1658</v>
      </c>
      <c r="C1137" s="39">
        <v>158</v>
      </c>
      <c r="D1137" s="40" t="s">
        <v>1822</v>
      </c>
      <c r="E1137" s="38" t="s">
        <v>4</v>
      </c>
      <c r="F1137" s="38" t="s">
        <v>21</v>
      </c>
      <c r="G1137" s="32">
        <v>55039421</v>
      </c>
      <c r="H1137" s="32">
        <v>74446583</v>
      </c>
      <c r="I1137" s="32">
        <v>12014891</v>
      </c>
      <c r="J1137" s="35">
        <f>+G1137-H1137+I1137</f>
        <v>-7392271</v>
      </c>
      <c r="K1137" s="28">
        <v>0</v>
      </c>
      <c r="L1137" s="32">
        <v>0</v>
      </c>
      <c r="M1137" s="35">
        <f>+J1137+L1137</f>
        <v>-7392271</v>
      </c>
      <c r="N1137" s="28" t="s">
        <v>1742</v>
      </c>
      <c r="O1137" s="29" t="s">
        <v>1743</v>
      </c>
      <c r="P1137" s="36">
        <v>43720</v>
      </c>
      <c r="Q1137" s="31">
        <v>28014.93</v>
      </c>
      <c r="R1137" s="33">
        <f>M1137/Q1137</f>
        <v>-263.86897986180941</v>
      </c>
    </row>
    <row r="1138" spans="1:18" s="30" customFormat="1" ht="15" customHeight="1">
      <c r="A1138" s="37" t="s">
        <v>688</v>
      </c>
      <c r="B1138" s="26" t="s">
        <v>1728</v>
      </c>
      <c r="C1138" s="39">
        <v>158</v>
      </c>
      <c r="D1138" s="40" t="s">
        <v>1823</v>
      </c>
      <c r="E1138" s="38" t="s">
        <v>3</v>
      </c>
      <c r="F1138" s="38" t="s">
        <v>11</v>
      </c>
      <c r="G1138" s="32">
        <v>3086197</v>
      </c>
      <c r="H1138" s="32">
        <v>17399442</v>
      </c>
      <c r="I1138" s="52">
        <v>0</v>
      </c>
      <c r="J1138" s="35">
        <f>+G1138-H1138+I1138</f>
        <v>-14313245</v>
      </c>
      <c r="K1138" s="28">
        <v>0</v>
      </c>
      <c r="L1138" s="32">
        <v>0</v>
      </c>
      <c r="M1138" s="35">
        <f>+J1138+L1138</f>
        <v>-14313245</v>
      </c>
      <c r="N1138" s="28" t="s">
        <v>1730</v>
      </c>
      <c r="O1138" s="29" t="s">
        <v>1731</v>
      </c>
      <c r="P1138" s="36">
        <v>43444</v>
      </c>
      <c r="Q1138" s="31">
        <v>27565.79</v>
      </c>
      <c r="R1138" s="33">
        <f>M1138/Q1138</f>
        <v>-519.23942684029737</v>
      </c>
    </row>
    <row r="1139" spans="1:18" s="30" customFormat="1" ht="15" customHeight="1">
      <c r="A1139" s="37" t="s">
        <v>293</v>
      </c>
      <c r="B1139" s="26" t="s">
        <v>294</v>
      </c>
      <c r="C1139" s="39">
        <v>157</v>
      </c>
      <c r="D1139" s="40" t="s">
        <v>1824</v>
      </c>
      <c r="E1139" s="38" t="s">
        <v>6</v>
      </c>
      <c r="F1139" s="38" t="s">
        <v>11</v>
      </c>
      <c r="G1139" s="32">
        <v>43062441</v>
      </c>
      <c r="H1139" s="32">
        <v>58703129</v>
      </c>
      <c r="I1139" s="52">
        <v>0</v>
      </c>
      <c r="J1139" s="35">
        <f>+G1139-H1139+I1139</f>
        <v>-15640688</v>
      </c>
      <c r="K1139" s="28">
        <v>0</v>
      </c>
      <c r="L1139" s="32">
        <v>0</v>
      </c>
      <c r="M1139" s="35">
        <f>+J1139+L1139</f>
        <v>-15640688</v>
      </c>
      <c r="N1139" s="28" t="s">
        <v>1626</v>
      </c>
      <c r="O1139" s="29" t="s">
        <v>1627</v>
      </c>
      <c r="P1139" s="36">
        <v>43886</v>
      </c>
      <c r="Q1139" s="31">
        <v>28440.19</v>
      </c>
      <c r="R1139" s="33">
        <f>M1139/Q1139</f>
        <v>-549.95019372233446</v>
      </c>
    </row>
    <row r="1140" spans="1:18" s="30" customFormat="1" ht="15" customHeight="1">
      <c r="A1140" s="37" t="s">
        <v>39</v>
      </c>
      <c r="B1140" s="26" t="s">
        <v>1658</v>
      </c>
      <c r="C1140" s="39">
        <v>157</v>
      </c>
      <c r="D1140" s="40" t="s">
        <v>1825</v>
      </c>
      <c r="E1140" s="38" t="s">
        <v>4</v>
      </c>
      <c r="F1140" s="38" t="s">
        <v>10</v>
      </c>
      <c r="G1140" s="32">
        <v>119288533</v>
      </c>
      <c r="H1140" s="32">
        <v>85610163</v>
      </c>
      <c r="I1140" s="52">
        <v>0</v>
      </c>
      <c r="J1140" s="35">
        <f>+G1140-H1140+I1140</f>
        <v>33678370</v>
      </c>
      <c r="K1140" s="28">
        <v>0</v>
      </c>
      <c r="L1140" s="32">
        <v>0</v>
      </c>
      <c r="M1140" s="35">
        <f>+J1140+L1140</f>
        <v>33678370</v>
      </c>
      <c r="N1140" s="28" t="s">
        <v>1742</v>
      </c>
      <c r="O1140" s="29" t="s">
        <v>1743</v>
      </c>
      <c r="P1140" s="36">
        <v>43720</v>
      </c>
      <c r="Q1140" s="31">
        <v>28014.93</v>
      </c>
      <c r="R1140" s="33">
        <f>M1140/Q1140</f>
        <v>1202.1579207943764</v>
      </c>
    </row>
    <row r="1141" spans="1:18" s="30" customFormat="1" ht="15" customHeight="1">
      <c r="A1141" s="37" t="s">
        <v>688</v>
      </c>
      <c r="B1141" s="26" t="s">
        <v>1728</v>
      </c>
      <c r="C1141" s="39">
        <v>157</v>
      </c>
      <c r="D1141" s="40" t="s">
        <v>1826</v>
      </c>
      <c r="E1141" s="38" t="s">
        <v>4</v>
      </c>
      <c r="F1141" s="38" t="s">
        <v>13</v>
      </c>
      <c r="G1141" s="32">
        <v>1008331</v>
      </c>
      <c r="H1141" s="32">
        <v>0</v>
      </c>
      <c r="I1141" s="52">
        <v>0</v>
      </c>
      <c r="J1141" s="35">
        <f>+G1141-H1141+I1141</f>
        <v>1008331</v>
      </c>
      <c r="K1141" s="28">
        <v>0</v>
      </c>
      <c r="L1141" s="32">
        <v>0</v>
      </c>
      <c r="M1141" s="35">
        <f>+J1141+L1141</f>
        <v>1008331</v>
      </c>
      <c r="N1141" s="28" t="s">
        <v>1730</v>
      </c>
      <c r="O1141" s="29" t="s">
        <v>1731</v>
      </c>
      <c r="P1141" s="36">
        <v>43444</v>
      </c>
      <c r="Q1141" s="31">
        <v>27565.79</v>
      </c>
      <c r="R1141" s="33">
        <f>M1141/Q1141</f>
        <v>36.579071377965221</v>
      </c>
    </row>
    <row r="1142" spans="1:18" s="30" customFormat="1" ht="15" customHeight="1">
      <c r="A1142" s="37" t="s">
        <v>293</v>
      </c>
      <c r="B1142" s="26" t="s">
        <v>294</v>
      </c>
      <c r="C1142" s="39">
        <v>156</v>
      </c>
      <c r="D1142" s="40" t="s">
        <v>1827</v>
      </c>
      <c r="E1142" s="38" t="s">
        <v>6</v>
      </c>
      <c r="F1142" s="38" t="s">
        <v>11</v>
      </c>
      <c r="G1142" s="32">
        <v>42177805</v>
      </c>
      <c r="H1142" s="32">
        <v>59381965</v>
      </c>
      <c r="I1142" s="52">
        <v>0</v>
      </c>
      <c r="J1142" s="35">
        <f>+G1142-H1142+I1142</f>
        <v>-17204160</v>
      </c>
      <c r="K1142" s="28">
        <v>0</v>
      </c>
      <c r="L1142" s="32">
        <v>0</v>
      </c>
      <c r="M1142" s="35">
        <f>+J1142+L1142</f>
        <v>-17204160</v>
      </c>
      <c r="N1142" s="28" t="s">
        <v>1626</v>
      </c>
      <c r="O1142" s="29" t="s">
        <v>1627</v>
      </c>
      <c r="P1142" s="36">
        <v>43886</v>
      </c>
      <c r="Q1142" s="31">
        <v>28440.19</v>
      </c>
      <c r="R1142" s="33">
        <f>M1142/Q1142</f>
        <v>-604.92422870592634</v>
      </c>
    </row>
    <row r="1143" spans="1:18" s="30" customFormat="1" ht="15" customHeight="1">
      <c r="A1143" s="37" t="s">
        <v>39</v>
      </c>
      <c r="B1143" s="26" t="s">
        <v>1658</v>
      </c>
      <c r="C1143" s="39">
        <v>156</v>
      </c>
      <c r="D1143" s="40" t="s">
        <v>1828</v>
      </c>
      <c r="E1143" s="38" t="s">
        <v>4</v>
      </c>
      <c r="F1143" s="38" t="s">
        <v>11</v>
      </c>
      <c r="G1143" s="32">
        <v>3129051</v>
      </c>
      <c r="H1143" s="32">
        <v>6419630</v>
      </c>
      <c r="I1143" s="32">
        <v>18094532</v>
      </c>
      <c r="J1143" s="35">
        <f>+G1143-H1143+I1143</f>
        <v>14803953</v>
      </c>
      <c r="K1143" s="28">
        <v>0</v>
      </c>
      <c r="L1143" s="32">
        <v>0</v>
      </c>
      <c r="M1143" s="35">
        <f>+J1143+L1143</f>
        <v>14803953</v>
      </c>
      <c r="N1143" s="28" t="s">
        <v>1742</v>
      </c>
      <c r="O1143" s="29" t="s">
        <v>1743</v>
      </c>
      <c r="P1143" s="36">
        <v>43720</v>
      </c>
      <c r="Q1143" s="31">
        <v>28014.93</v>
      </c>
      <c r="R1143" s="33">
        <f>M1143/Q1143</f>
        <v>528.4308402698133</v>
      </c>
    </row>
    <row r="1144" spans="1:18" ht="15" customHeight="1">
      <c r="A1144" s="37" t="s">
        <v>293</v>
      </c>
      <c r="B1144" s="26" t="s">
        <v>294</v>
      </c>
      <c r="C1144" s="39">
        <v>155</v>
      </c>
      <c r="D1144" s="40" t="s">
        <v>1829</v>
      </c>
      <c r="E1144" s="38" t="s">
        <v>3</v>
      </c>
      <c r="F1144" s="38" t="s">
        <v>10</v>
      </c>
      <c r="G1144" s="32">
        <v>19603</v>
      </c>
      <c r="H1144" s="32">
        <v>0</v>
      </c>
      <c r="I1144" s="32">
        <v>617469</v>
      </c>
      <c r="J1144" s="35">
        <f>+G1144-H1144+I1144</f>
        <v>637072</v>
      </c>
      <c r="K1144" s="28">
        <v>0</v>
      </c>
      <c r="L1144" s="32">
        <v>0</v>
      </c>
      <c r="M1144" s="35">
        <f>+J1144+L1144</f>
        <v>637072</v>
      </c>
      <c r="N1144" s="28" t="s">
        <v>1830</v>
      </c>
      <c r="O1144" s="29" t="s">
        <v>1831</v>
      </c>
      <c r="P1144" s="36">
        <v>43878</v>
      </c>
      <c r="Q1144" s="31">
        <v>28393.3</v>
      </c>
      <c r="R1144" s="33">
        <f>M1144/Q1144</f>
        <v>22.437406007755353</v>
      </c>
    </row>
    <row r="1145" spans="1:18" ht="15" customHeight="1">
      <c r="A1145" s="37" t="s">
        <v>39</v>
      </c>
      <c r="B1145" s="26" t="s">
        <v>1658</v>
      </c>
      <c r="C1145" s="39">
        <v>155</v>
      </c>
      <c r="D1145" s="40" t="s">
        <v>1832</v>
      </c>
      <c r="E1145" s="38" t="s">
        <v>4</v>
      </c>
      <c r="F1145" s="38" t="s">
        <v>14</v>
      </c>
      <c r="G1145" s="32">
        <v>1460306</v>
      </c>
      <c r="H1145" s="32">
        <v>0</v>
      </c>
      <c r="I1145" s="32">
        <v>10264707</v>
      </c>
      <c r="J1145" s="35">
        <f>+G1145-H1145+I1145</f>
        <v>11725013</v>
      </c>
      <c r="K1145" s="28">
        <v>0</v>
      </c>
      <c r="L1145" s="32">
        <v>0</v>
      </c>
      <c r="M1145" s="35">
        <f>+J1145+L1145</f>
        <v>11725013</v>
      </c>
      <c r="N1145" s="28" t="s">
        <v>1742</v>
      </c>
      <c r="O1145" s="29" t="s">
        <v>1743</v>
      </c>
      <c r="P1145" s="36">
        <v>43720</v>
      </c>
      <c r="Q1145" s="31">
        <v>28014.93</v>
      </c>
      <c r="R1145" s="33">
        <f>M1145/Q1145</f>
        <v>418.52729955063245</v>
      </c>
    </row>
    <row r="1146" spans="1:18" ht="15" customHeight="1">
      <c r="A1146" s="37" t="s">
        <v>688</v>
      </c>
      <c r="B1146" s="26" t="s">
        <v>1728</v>
      </c>
      <c r="C1146" s="39">
        <v>155</v>
      </c>
      <c r="D1146" s="40" t="s">
        <v>1833</v>
      </c>
      <c r="E1146" s="38" t="s">
        <v>4</v>
      </c>
      <c r="F1146" s="38" t="s">
        <v>14</v>
      </c>
      <c r="G1146" s="32">
        <v>1089764</v>
      </c>
      <c r="H1146" s="32">
        <v>1362210</v>
      </c>
      <c r="I1146" s="52">
        <v>0</v>
      </c>
      <c r="J1146" s="35">
        <f>+G1146-H1146+I1146</f>
        <v>-272446</v>
      </c>
      <c r="K1146" s="28">
        <v>0</v>
      </c>
      <c r="L1146" s="32">
        <v>0</v>
      </c>
      <c r="M1146" s="35">
        <f>+J1146+L1146</f>
        <v>-272446</v>
      </c>
      <c r="N1146" s="28" t="s">
        <v>1730</v>
      </c>
      <c r="O1146" s="29" t="s">
        <v>1731</v>
      </c>
      <c r="P1146" s="36">
        <v>43444</v>
      </c>
      <c r="Q1146" s="31">
        <v>27565.79</v>
      </c>
      <c r="R1146" s="33">
        <f>M1146/Q1146</f>
        <v>-9.8834823888595249</v>
      </c>
    </row>
    <row r="1147" spans="1:18" ht="15" customHeight="1">
      <c r="A1147" s="37" t="s">
        <v>293</v>
      </c>
      <c r="B1147" s="26" t="s">
        <v>294</v>
      </c>
      <c r="C1147" s="39">
        <v>154</v>
      </c>
      <c r="D1147" s="40" t="s">
        <v>1834</v>
      </c>
      <c r="E1147" s="38" t="s">
        <v>3</v>
      </c>
      <c r="F1147" s="38" t="s">
        <v>10</v>
      </c>
      <c r="G1147" s="32">
        <v>1095864</v>
      </c>
      <c r="H1147" s="32">
        <v>0</v>
      </c>
      <c r="I1147" s="32">
        <v>385285</v>
      </c>
      <c r="J1147" s="35">
        <f>+G1147-H1147+I1147</f>
        <v>1481149</v>
      </c>
      <c r="K1147" s="28">
        <v>0</v>
      </c>
      <c r="L1147" s="32">
        <v>0</v>
      </c>
      <c r="M1147" s="35">
        <f>+J1147+L1147</f>
        <v>1481149</v>
      </c>
      <c r="N1147" s="28" t="s">
        <v>1830</v>
      </c>
      <c r="O1147" s="29" t="s">
        <v>1831</v>
      </c>
      <c r="P1147" s="36">
        <v>43878</v>
      </c>
      <c r="Q1147" s="31">
        <v>28393.3</v>
      </c>
      <c r="R1147" s="33">
        <f>M1147/Q1147</f>
        <v>52.165440438413292</v>
      </c>
    </row>
    <row r="1148" spans="1:18" ht="15" customHeight="1">
      <c r="A1148" s="37" t="s">
        <v>39</v>
      </c>
      <c r="B1148" s="26" t="s">
        <v>1658</v>
      </c>
      <c r="C1148" s="39">
        <v>154</v>
      </c>
      <c r="D1148" s="40" t="s">
        <v>1835</v>
      </c>
      <c r="E1148" s="38" t="s">
        <v>198</v>
      </c>
      <c r="F1148" s="38" t="s">
        <v>21</v>
      </c>
      <c r="G1148" s="32">
        <v>4145351</v>
      </c>
      <c r="H1148" s="32">
        <v>0</v>
      </c>
      <c r="I1148" s="32">
        <v>123602501</v>
      </c>
      <c r="J1148" s="35">
        <f>+G1148-H1148+I1148</f>
        <v>127747852</v>
      </c>
      <c r="K1148" s="28">
        <v>0</v>
      </c>
      <c r="L1148" s="32">
        <v>0</v>
      </c>
      <c r="M1148" s="35">
        <f>+J1148+L1148</f>
        <v>127747852</v>
      </c>
      <c r="N1148" s="28" t="s">
        <v>1742</v>
      </c>
      <c r="O1148" s="29" t="s">
        <v>1743</v>
      </c>
      <c r="P1148" s="36">
        <v>43720</v>
      </c>
      <c r="Q1148" s="31">
        <v>28014.93</v>
      </c>
      <c r="R1148" s="33">
        <f>M1148/Q1148</f>
        <v>4559.9918329262291</v>
      </c>
    </row>
    <row r="1149" spans="1:18" ht="15" customHeight="1">
      <c r="A1149" s="37" t="s">
        <v>688</v>
      </c>
      <c r="B1149" s="26" t="s">
        <v>1728</v>
      </c>
      <c r="C1149" s="39">
        <v>154</v>
      </c>
      <c r="D1149" s="40" t="s">
        <v>1836</v>
      </c>
      <c r="E1149" s="38" t="s">
        <v>6</v>
      </c>
      <c r="F1149" s="38" t="s">
        <v>15</v>
      </c>
      <c r="G1149" s="32">
        <v>2522419</v>
      </c>
      <c r="H1149" s="32">
        <v>0</v>
      </c>
      <c r="I1149" s="32">
        <v>1012928</v>
      </c>
      <c r="J1149" s="35">
        <f>+G1149-H1149+I1149</f>
        <v>3535347</v>
      </c>
      <c r="K1149" s="28">
        <v>0</v>
      </c>
      <c r="L1149" s="32">
        <v>0</v>
      </c>
      <c r="M1149" s="35">
        <f>+J1149+L1149</f>
        <v>3535347</v>
      </c>
      <c r="N1149" s="28" t="s">
        <v>1730</v>
      </c>
      <c r="O1149" s="29" t="s">
        <v>1731</v>
      </c>
      <c r="P1149" s="36">
        <v>43444</v>
      </c>
      <c r="Q1149" s="31">
        <v>27565.79</v>
      </c>
      <c r="R1149" s="33">
        <f>M1149/Q1149</f>
        <v>128.25124910260143</v>
      </c>
    </row>
    <row r="1150" spans="1:18" ht="15" customHeight="1">
      <c r="A1150" s="37" t="s">
        <v>293</v>
      </c>
      <c r="B1150" s="26" t="s">
        <v>294</v>
      </c>
      <c r="C1150" s="39">
        <v>153</v>
      </c>
      <c r="D1150" s="40" t="s">
        <v>1837</v>
      </c>
      <c r="E1150" s="38" t="s">
        <v>3</v>
      </c>
      <c r="F1150" s="38" t="s">
        <v>10</v>
      </c>
      <c r="G1150" s="32">
        <v>2604947</v>
      </c>
      <c r="H1150" s="32">
        <v>1251736</v>
      </c>
      <c r="I1150" s="52">
        <v>0</v>
      </c>
      <c r="J1150" s="35">
        <f>+G1150-H1150+I1150</f>
        <v>1353211</v>
      </c>
      <c r="K1150" s="28">
        <v>0</v>
      </c>
      <c r="L1150" s="32">
        <v>0</v>
      </c>
      <c r="M1150" s="35">
        <f>+J1150+L1150</f>
        <v>1353211</v>
      </c>
      <c r="N1150" s="28" t="s">
        <v>1626</v>
      </c>
      <c r="O1150" s="29" t="s">
        <v>1627</v>
      </c>
      <c r="P1150" s="36">
        <v>43886</v>
      </c>
      <c r="Q1150" s="31">
        <v>28440.19</v>
      </c>
      <c r="R1150" s="33">
        <f>M1150/Q1150</f>
        <v>47.580940914951697</v>
      </c>
    </row>
    <row r="1151" spans="1:18" ht="15" customHeight="1">
      <c r="A1151" s="37" t="s">
        <v>39</v>
      </c>
      <c r="B1151" s="26" t="s">
        <v>1658</v>
      </c>
      <c r="C1151" s="39">
        <v>153</v>
      </c>
      <c r="D1151" s="40" t="s">
        <v>1838</v>
      </c>
      <c r="E1151" s="38" t="s">
        <v>4</v>
      </c>
      <c r="F1151" s="38" t="s">
        <v>12</v>
      </c>
      <c r="G1151" s="32">
        <v>14968969</v>
      </c>
      <c r="H1151" s="32">
        <v>4672624</v>
      </c>
      <c r="I1151" s="32">
        <v>20484096</v>
      </c>
      <c r="J1151" s="35">
        <f>+G1151-H1151+I1151</f>
        <v>30780441</v>
      </c>
      <c r="K1151" s="28">
        <v>0</v>
      </c>
      <c r="L1151" s="32">
        <v>0</v>
      </c>
      <c r="M1151" s="35">
        <f>+J1151+L1151</f>
        <v>30780441</v>
      </c>
      <c r="N1151" s="28" t="s">
        <v>1742</v>
      </c>
      <c r="O1151" s="29" t="s">
        <v>1743</v>
      </c>
      <c r="P1151" s="36">
        <v>43720</v>
      </c>
      <c r="Q1151" s="31">
        <v>28014.93</v>
      </c>
      <c r="R1151" s="33">
        <f>M1151/Q1151</f>
        <v>1098.7156134246989</v>
      </c>
    </row>
    <row r="1152" spans="1:18" ht="15" customHeight="1">
      <c r="A1152" s="37" t="s">
        <v>688</v>
      </c>
      <c r="B1152" s="26" t="s">
        <v>1728</v>
      </c>
      <c r="C1152" s="39">
        <v>153</v>
      </c>
      <c r="D1152" s="40" t="s">
        <v>1839</v>
      </c>
      <c r="E1152" s="38" t="s">
        <v>4</v>
      </c>
      <c r="F1152" s="38" t="s">
        <v>11</v>
      </c>
      <c r="G1152" s="32">
        <v>0</v>
      </c>
      <c r="H1152" s="32">
        <v>3550303</v>
      </c>
      <c r="I1152" s="52">
        <v>0</v>
      </c>
      <c r="J1152" s="35">
        <f>+G1152-H1152+I1152</f>
        <v>-3550303</v>
      </c>
      <c r="K1152" s="28">
        <v>0</v>
      </c>
      <c r="L1152" s="32">
        <v>0</v>
      </c>
      <c r="M1152" s="35">
        <f>+J1152+L1152</f>
        <v>-3550303</v>
      </c>
      <c r="N1152" s="28" t="s">
        <v>1730</v>
      </c>
      <c r="O1152" s="29" t="s">
        <v>1731</v>
      </c>
      <c r="P1152" s="36">
        <v>43444</v>
      </c>
      <c r="Q1152" s="31">
        <v>27565.79</v>
      </c>
      <c r="R1152" s="33">
        <f>M1152/Q1152</f>
        <v>-128.7938056554882</v>
      </c>
    </row>
    <row r="1153" spans="1:18" ht="15" customHeight="1">
      <c r="A1153" s="37" t="s">
        <v>293</v>
      </c>
      <c r="B1153" s="26" t="s">
        <v>294</v>
      </c>
      <c r="C1153" s="39">
        <v>152</v>
      </c>
      <c r="D1153" s="40" t="s">
        <v>1840</v>
      </c>
      <c r="E1153" s="38" t="s">
        <v>3</v>
      </c>
      <c r="F1153" s="38" t="s">
        <v>11</v>
      </c>
      <c r="G1153" s="32">
        <v>134839044</v>
      </c>
      <c r="H1153" s="32">
        <v>103391798</v>
      </c>
      <c r="I1153" s="52">
        <v>0</v>
      </c>
      <c r="J1153" s="35">
        <f>+G1153-H1153+I1153</f>
        <v>31447246</v>
      </c>
      <c r="K1153" s="28">
        <v>0</v>
      </c>
      <c r="L1153" s="32">
        <v>0</v>
      </c>
      <c r="M1153" s="35">
        <f>+J1153+L1153</f>
        <v>31447246</v>
      </c>
      <c r="N1153" s="28" t="s">
        <v>1411</v>
      </c>
      <c r="O1153" s="29" t="s">
        <v>1412</v>
      </c>
      <c r="P1153" s="36" t="s">
        <v>1413</v>
      </c>
      <c r="Q1153" s="31">
        <v>29598.01</v>
      </c>
      <c r="R1153" s="33">
        <f>+M1153/Q1153</f>
        <v>1062.4783895944356</v>
      </c>
    </row>
    <row r="1154" spans="1:18" ht="15" customHeight="1">
      <c r="A1154" s="37" t="s">
        <v>356</v>
      </c>
      <c r="B1154" s="26" t="s">
        <v>1841</v>
      </c>
      <c r="C1154" s="39">
        <v>152</v>
      </c>
      <c r="D1154" s="40" t="s">
        <v>1842</v>
      </c>
      <c r="E1154" s="38" t="s">
        <v>4</v>
      </c>
      <c r="F1154" s="38" t="s">
        <v>11</v>
      </c>
      <c r="G1154" s="32">
        <v>0</v>
      </c>
      <c r="H1154" s="32">
        <v>0</v>
      </c>
      <c r="I1154" s="32">
        <v>9434239</v>
      </c>
      <c r="J1154" s="35">
        <f>+G1154-H1154+I1154</f>
        <v>9434239</v>
      </c>
      <c r="K1154" s="28">
        <v>0</v>
      </c>
      <c r="L1154" s="32">
        <v>0</v>
      </c>
      <c r="M1154" s="35">
        <f>+J1154+L1154</f>
        <v>9434239</v>
      </c>
      <c r="N1154" s="28" t="s">
        <v>1843</v>
      </c>
      <c r="O1154" s="29" t="s">
        <v>1844</v>
      </c>
      <c r="P1154" s="36">
        <v>44405</v>
      </c>
      <c r="Q1154" s="31">
        <v>29754.76</v>
      </c>
      <c r="R1154" s="33">
        <f>M1154/Q1154</f>
        <v>317.06654666345821</v>
      </c>
    </row>
    <row r="1155" spans="1:18" ht="15" customHeight="1">
      <c r="A1155" s="37" t="s">
        <v>39</v>
      </c>
      <c r="B1155" s="26" t="s">
        <v>1658</v>
      </c>
      <c r="C1155" s="39">
        <v>152</v>
      </c>
      <c r="D1155" s="40" t="s">
        <v>1845</v>
      </c>
      <c r="E1155" s="38" t="s">
        <v>4</v>
      </c>
      <c r="F1155" s="38" t="s">
        <v>15</v>
      </c>
      <c r="G1155" s="32">
        <v>0</v>
      </c>
      <c r="H1155" s="32">
        <v>0</v>
      </c>
      <c r="I1155" s="32">
        <v>24153331</v>
      </c>
      <c r="J1155" s="35">
        <f>+G1155-H1155+I1155</f>
        <v>24153331</v>
      </c>
      <c r="K1155" s="28">
        <v>0</v>
      </c>
      <c r="L1155" s="32">
        <v>0</v>
      </c>
      <c r="M1155" s="35">
        <f>+J1155+L1155</f>
        <v>24153331</v>
      </c>
      <c r="N1155" s="28" t="s">
        <v>1742</v>
      </c>
      <c r="O1155" s="29" t="s">
        <v>1743</v>
      </c>
      <c r="P1155" s="36">
        <v>43720</v>
      </c>
      <c r="Q1155" s="31">
        <v>28014.93</v>
      </c>
      <c r="R1155" s="33">
        <f>M1155/Q1155</f>
        <v>862.15924865776924</v>
      </c>
    </row>
    <row r="1156" spans="1:18" ht="15" customHeight="1">
      <c r="A1156" s="37" t="s">
        <v>688</v>
      </c>
      <c r="B1156" s="26" t="s">
        <v>1728</v>
      </c>
      <c r="C1156" s="39">
        <v>152</v>
      </c>
      <c r="D1156" s="40" t="s">
        <v>1846</v>
      </c>
      <c r="E1156" s="38" t="s">
        <v>4</v>
      </c>
      <c r="F1156" s="38" t="s">
        <v>12</v>
      </c>
      <c r="G1156" s="32">
        <v>41126</v>
      </c>
      <c r="H1156" s="32">
        <v>2196454</v>
      </c>
      <c r="I1156" s="52">
        <v>0</v>
      </c>
      <c r="J1156" s="35">
        <f>+G1156-H1156+I1156</f>
        <v>-2155328</v>
      </c>
      <c r="K1156" s="28">
        <v>0</v>
      </c>
      <c r="L1156" s="32">
        <v>0</v>
      </c>
      <c r="M1156" s="35">
        <f>+J1156+L1156</f>
        <v>-2155328</v>
      </c>
      <c r="N1156" s="28" t="s">
        <v>1730</v>
      </c>
      <c r="O1156" s="29" t="s">
        <v>1731</v>
      </c>
      <c r="P1156" s="36">
        <v>43444</v>
      </c>
      <c r="Q1156" s="31">
        <v>27565.79</v>
      </c>
      <c r="R1156" s="33">
        <f>M1156/Q1156</f>
        <v>-78.188508292343514</v>
      </c>
    </row>
    <row r="1157" spans="1:18" ht="15" customHeight="1">
      <c r="A1157" s="37" t="s">
        <v>391</v>
      </c>
      <c r="B1157" s="26" t="s">
        <v>392</v>
      </c>
      <c r="C1157" s="39">
        <v>136</v>
      </c>
      <c r="D1157" s="40" t="s">
        <v>1847</v>
      </c>
      <c r="E1157" s="38" t="s">
        <v>4</v>
      </c>
      <c r="F1157" s="38" t="s">
        <v>11</v>
      </c>
      <c r="G1157" s="32">
        <v>2624034</v>
      </c>
      <c r="H1157" s="32">
        <v>1621078</v>
      </c>
      <c r="I1157" s="52">
        <v>0</v>
      </c>
      <c r="J1157" s="35">
        <f>+G1157-H1157+I1157</f>
        <v>1002956</v>
      </c>
      <c r="K1157" s="27">
        <v>2</v>
      </c>
      <c r="L1157" s="32">
        <v>0</v>
      </c>
      <c r="M1157" s="35">
        <f>+J1157+L1157</f>
        <v>1002956</v>
      </c>
      <c r="N1157" s="28" t="s">
        <v>481</v>
      </c>
      <c r="O1157" s="29" t="s">
        <v>482</v>
      </c>
      <c r="P1157" s="36">
        <v>44130</v>
      </c>
      <c r="Q1157" s="31">
        <v>28810.82</v>
      </c>
      <c r="R1157" s="33">
        <f>M1157/Q1157</f>
        <v>34.81178251781796</v>
      </c>
    </row>
    <row r="1158" spans="1:18" ht="15" customHeight="1">
      <c r="A1158" s="37" t="s">
        <v>293</v>
      </c>
      <c r="B1158" s="26" t="s">
        <v>294</v>
      </c>
      <c r="C1158" s="39">
        <v>151</v>
      </c>
      <c r="D1158" s="40" t="s">
        <v>1848</v>
      </c>
      <c r="E1158" s="38" t="s">
        <v>3</v>
      </c>
      <c r="F1158" s="38" t="s">
        <v>11</v>
      </c>
      <c r="G1158" s="32">
        <v>105915071</v>
      </c>
      <c r="H1158" s="32">
        <v>70657737</v>
      </c>
      <c r="I1158" s="52">
        <v>0</v>
      </c>
      <c r="J1158" s="35">
        <f>+G1158-H1158+I1158</f>
        <v>35257334</v>
      </c>
      <c r="K1158" s="28">
        <v>0</v>
      </c>
      <c r="L1158" s="32">
        <v>0</v>
      </c>
      <c r="M1158" s="35">
        <f>+J1158+L1158</f>
        <v>35257334</v>
      </c>
      <c r="N1158" s="28" t="s">
        <v>1411</v>
      </c>
      <c r="O1158" s="29" t="s">
        <v>1412</v>
      </c>
      <c r="P1158" s="36" t="s">
        <v>1413</v>
      </c>
      <c r="Q1158" s="31">
        <v>29598.01</v>
      </c>
      <c r="R1158" s="33">
        <f>+M1158/Q1158</f>
        <v>1191.2062331217539</v>
      </c>
    </row>
    <row r="1159" spans="1:18" ht="15" customHeight="1">
      <c r="A1159" s="37" t="s">
        <v>356</v>
      </c>
      <c r="B1159" s="26" t="s">
        <v>1841</v>
      </c>
      <c r="C1159" s="39">
        <v>151</v>
      </c>
      <c r="D1159" s="40" t="s">
        <v>1849</v>
      </c>
      <c r="E1159" s="38" t="s">
        <v>4</v>
      </c>
      <c r="F1159" s="38" t="s">
        <v>11</v>
      </c>
      <c r="G1159" s="32">
        <v>1713533</v>
      </c>
      <c r="H1159" s="32">
        <v>6198548</v>
      </c>
      <c r="I1159" s="32">
        <v>786281</v>
      </c>
      <c r="J1159" s="35">
        <f>+G1159-H1159+I1159</f>
        <v>-3698734</v>
      </c>
      <c r="K1159" s="28">
        <v>0</v>
      </c>
      <c r="L1159" s="32">
        <v>0</v>
      </c>
      <c r="M1159" s="35">
        <f>+J1159+L1159</f>
        <v>-3698734</v>
      </c>
      <c r="N1159" s="28" t="s">
        <v>1843</v>
      </c>
      <c r="O1159" s="29" t="s">
        <v>1844</v>
      </c>
      <c r="P1159" s="36">
        <v>44405</v>
      </c>
      <c r="Q1159" s="31">
        <v>29754.76</v>
      </c>
      <c r="R1159" s="33">
        <f>M1159/Q1159</f>
        <v>-124.30730410865354</v>
      </c>
    </row>
    <row r="1160" spans="1:18" ht="15" customHeight="1">
      <c r="A1160" s="37" t="s">
        <v>39</v>
      </c>
      <c r="B1160" s="26" t="s">
        <v>1658</v>
      </c>
      <c r="C1160" s="39">
        <v>151</v>
      </c>
      <c r="D1160" s="40" t="s">
        <v>1850</v>
      </c>
      <c r="E1160" s="38" t="s">
        <v>4</v>
      </c>
      <c r="F1160" s="38" t="s">
        <v>10</v>
      </c>
      <c r="G1160" s="32">
        <v>1734390</v>
      </c>
      <c r="H1160" s="32">
        <v>0</v>
      </c>
      <c r="I1160" s="32">
        <v>4288322</v>
      </c>
      <c r="J1160" s="35">
        <f>+G1160-H1160+I1160</f>
        <v>6022712</v>
      </c>
      <c r="K1160" s="28">
        <v>0</v>
      </c>
      <c r="L1160" s="32">
        <v>0</v>
      </c>
      <c r="M1160" s="35">
        <f>+J1160+L1160</f>
        <v>6022712</v>
      </c>
      <c r="N1160" s="28" t="s">
        <v>1742</v>
      </c>
      <c r="O1160" s="29" t="s">
        <v>1743</v>
      </c>
      <c r="P1160" s="36">
        <v>43720</v>
      </c>
      <c r="Q1160" s="31">
        <v>28014.93</v>
      </c>
      <c r="R1160" s="33">
        <f>M1160/Q1160</f>
        <v>214.98222554901974</v>
      </c>
    </row>
    <row r="1161" spans="1:18" ht="15" customHeight="1">
      <c r="A1161" s="37" t="s">
        <v>688</v>
      </c>
      <c r="B1161" s="26" t="s">
        <v>1728</v>
      </c>
      <c r="C1161" s="39">
        <v>151</v>
      </c>
      <c r="D1161" s="40" t="s">
        <v>1851</v>
      </c>
      <c r="E1161" s="38" t="s">
        <v>4</v>
      </c>
      <c r="F1161" s="38" t="s">
        <v>21</v>
      </c>
      <c r="G1161" s="32">
        <v>0</v>
      </c>
      <c r="H1161" s="32">
        <v>114728</v>
      </c>
      <c r="I1161" s="52">
        <v>0</v>
      </c>
      <c r="J1161" s="35">
        <f>+G1161-H1161+I1161</f>
        <v>-114728</v>
      </c>
      <c r="K1161" s="28">
        <v>0</v>
      </c>
      <c r="L1161" s="32">
        <v>0</v>
      </c>
      <c r="M1161" s="35">
        <f>+J1161+L1161</f>
        <v>-114728</v>
      </c>
      <c r="N1161" s="28" t="s">
        <v>1730</v>
      </c>
      <c r="O1161" s="29" t="s">
        <v>1731</v>
      </c>
      <c r="P1161" s="36">
        <v>43444</v>
      </c>
      <c r="Q1161" s="31">
        <v>27565.79</v>
      </c>
      <c r="R1161" s="33">
        <f>M1161/Q1161</f>
        <v>-4.1619703262630958</v>
      </c>
    </row>
    <row r="1162" spans="1:18" ht="15" customHeight="1">
      <c r="A1162" s="37" t="s">
        <v>293</v>
      </c>
      <c r="B1162" s="26" t="s">
        <v>294</v>
      </c>
      <c r="C1162" s="39">
        <v>150</v>
      </c>
      <c r="D1162" s="40" t="s">
        <v>1852</v>
      </c>
      <c r="E1162" s="38" t="s">
        <v>3</v>
      </c>
      <c r="F1162" s="38" t="s">
        <v>11</v>
      </c>
      <c r="G1162" s="32">
        <v>1468706</v>
      </c>
      <c r="H1162" s="32">
        <v>44766379</v>
      </c>
      <c r="I1162" s="32">
        <v>87155243</v>
      </c>
      <c r="J1162" s="35">
        <f>+G1162-H1162+I1162</f>
        <v>43857570</v>
      </c>
      <c r="K1162" s="28">
        <v>0</v>
      </c>
      <c r="L1162" s="32">
        <v>0</v>
      </c>
      <c r="M1162" s="35">
        <f>+J1162+L1162</f>
        <v>43857570</v>
      </c>
      <c r="N1162" s="28" t="s">
        <v>1626</v>
      </c>
      <c r="O1162" s="29" t="s">
        <v>1627</v>
      </c>
      <c r="P1162" s="36">
        <v>43886</v>
      </c>
      <c r="Q1162" s="31">
        <v>28440.19</v>
      </c>
      <c r="R1162" s="33">
        <f>M1162/Q1162</f>
        <v>1542.098347444233</v>
      </c>
    </row>
    <row r="1163" spans="1:18" ht="15" customHeight="1">
      <c r="A1163" s="37" t="s">
        <v>356</v>
      </c>
      <c r="B1163" s="26" t="s">
        <v>1841</v>
      </c>
      <c r="C1163" s="39">
        <v>150</v>
      </c>
      <c r="D1163" s="40" t="s">
        <v>1853</v>
      </c>
      <c r="E1163" s="38" t="s">
        <v>3</v>
      </c>
      <c r="F1163" s="38" t="s">
        <v>13</v>
      </c>
      <c r="G1163" s="32">
        <v>1548108</v>
      </c>
      <c r="H1163" s="32">
        <v>0</v>
      </c>
      <c r="I1163" s="32">
        <v>286522</v>
      </c>
      <c r="J1163" s="35">
        <f>+G1163-H1163+I1163</f>
        <v>1834630</v>
      </c>
      <c r="K1163" s="28">
        <v>0</v>
      </c>
      <c r="L1163" s="32">
        <v>0</v>
      </c>
      <c r="M1163" s="35">
        <f>+J1163+L1163</f>
        <v>1834630</v>
      </c>
      <c r="N1163" s="28" t="s">
        <v>1843</v>
      </c>
      <c r="O1163" s="29" t="s">
        <v>1844</v>
      </c>
      <c r="P1163" s="36">
        <v>44405</v>
      </c>
      <c r="Q1163" s="31">
        <v>29754.76</v>
      </c>
      <c r="R1163" s="33">
        <f>M1163/Q1163</f>
        <v>61.658369954924865</v>
      </c>
    </row>
    <row r="1164" spans="1:18" ht="15" customHeight="1">
      <c r="A1164" s="37" t="s">
        <v>39</v>
      </c>
      <c r="B1164" s="26" t="s">
        <v>1658</v>
      </c>
      <c r="C1164" s="39">
        <v>150</v>
      </c>
      <c r="D1164" s="40" t="s">
        <v>1854</v>
      </c>
      <c r="E1164" s="38" t="s">
        <v>4</v>
      </c>
      <c r="F1164" s="38" t="s">
        <v>12</v>
      </c>
      <c r="G1164" s="32">
        <v>5051132</v>
      </c>
      <c r="H1164" s="32">
        <v>0</v>
      </c>
      <c r="I1164" s="52">
        <v>0</v>
      </c>
      <c r="J1164" s="35">
        <f>+G1164-H1164+I1164</f>
        <v>5051132</v>
      </c>
      <c r="K1164" s="28">
        <v>0</v>
      </c>
      <c r="L1164" s="32">
        <v>0</v>
      </c>
      <c r="M1164" s="35">
        <f>+J1164+L1164</f>
        <v>5051132</v>
      </c>
      <c r="N1164" s="28" t="s">
        <v>1742</v>
      </c>
      <c r="O1164" s="29" t="s">
        <v>1743</v>
      </c>
      <c r="P1164" s="36">
        <v>43720</v>
      </c>
      <c r="Q1164" s="31">
        <v>28014.93</v>
      </c>
      <c r="R1164" s="33">
        <f>M1164/Q1164</f>
        <v>180.30143212922539</v>
      </c>
    </row>
    <row r="1165" spans="1:18" ht="15" customHeight="1">
      <c r="A1165" s="37" t="s">
        <v>688</v>
      </c>
      <c r="B1165" s="26" t="s">
        <v>1728</v>
      </c>
      <c r="C1165" s="39">
        <v>150</v>
      </c>
      <c r="D1165" s="40" t="s">
        <v>1855</v>
      </c>
      <c r="E1165" s="38" t="s">
        <v>4</v>
      </c>
      <c r="F1165" s="38" t="s">
        <v>15</v>
      </c>
      <c r="G1165" s="32">
        <v>721773</v>
      </c>
      <c r="H1165" s="32">
        <v>0</v>
      </c>
      <c r="I1165" s="52">
        <v>0</v>
      </c>
      <c r="J1165" s="35">
        <f>+G1165-H1165+I1165</f>
        <v>721773</v>
      </c>
      <c r="K1165" s="28">
        <v>0</v>
      </c>
      <c r="L1165" s="32">
        <v>0</v>
      </c>
      <c r="M1165" s="35">
        <f>+J1165+L1165</f>
        <v>721773</v>
      </c>
      <c r="N1165" s="28" t="s">
        <v>1730</v>
      </c>
      <c r="O1165" s="29" t="s">
        <v>1731</v>
      </c>
      <c r="P1165" s="36">
        <v>43444</v>
      </c>
      <c r="Q1165" s="31">
        <v>27565.79</v>
      </c>
      <c r="R1165" s="33">
        <f>M1165/Q1165</f>
        <v>26.183650096732215</v>
      </c>
    </row>
    <row r="1166" spans="1:18" ht="15" customHeight="1">
      <c r="A1166" s="37" t="s">
        <v>293</v>
      </c>
      <c r="B1166" s="26" t="s">
        <v>294</v>
      </c>
      <c r="C1166" s="39">
        <v>149</v>
      </c>
      <c r="D1166" s="40" t="s">
        <v>1856</v>
      </c>
      <c r="E1166" s="38" t="s">
        <v>3</v>
      </c>
      <c r="F1166" s="38" t="s">
        <v>11</v>
      </c>
      <c r="G1166" s="32">
        <v>0</v>
      </c>
      <c r="H1166" s="32">
        <v>39384403</v>
      </c>
      <c r="I1166" s="32">
        <v>94107201</v>
      </c>
      <c r="J1166" s="35">
        <f>+G1166-H1166+I1166</f>
        <v>54722798</v>
      </c>
      <c r="K1166" s="28">
        <v>0</v>
      </c>
      <c r="L1166" s="32">
        <v>0</v>
      </c>
      <c r="M1166" s="35">
        <f>+J1166+L1166</f>
        <v>54722798</v>
      </c>
      <c r="N1166" s="28" t="s">
        <v>1626</v>
      </c>
      <c r="O1166" s="29" t="s">
        <v>1627</v>
      </c>
      <c r="P1166" s="36">
        <v>43886</v>
      </c>
      <c r="Q1166" s="31">
        <v>28440.19</v>
      </c>
      <c r="R1166" s="33">
        <f>M1166/Q1166</f>
        <v>1924.1361608343686</v>
      </c>
    </row>
    <row r="1167" spans="1:18" ht="15" customHeight="1">
      <c r="A1167" s="37" t="s">
        <v>356</v>
      </c>
      <c r="B1167" s="26" t="s">
        <v>1841</v>
      </c>
      <c r="C1167" s="39">
        <v>149</v>
      </c>
      <c r="D1167" s="40" t="s">
        <v>1857</v>
      </c>
      <c r="E1167" s="38" t="s">
        <v>3</v>
      </c>
      <c r="F1167" s="38" t="s">
        <v>13</v>
      </c>
      <c r="G1167" s="32">
        <v>1253304</v>
      </c>
      <c r="H1167" s="32">
        <v>0</v>
      </c>
      <c r="I1167" s="52">
        <v>0</v>
      </c>
      <c r="J1167" s="35">
        <f>+G1167-H1167+I1167</f>
        <v>1253304</v>
      </c>
      <c r="K1167" s="28">
        <v>0</v>
      </c>
      <c r="L1167" s="32">
        <v>0</v>
      </c>
      <c r="M1167" s="35">
        <f>+J1167+L1167</f>
        <v>1253304</v>
      </c>
      <c r="N1167" s="28" t="s">
        <v>1843</v>
      </c>
      <c r="O1167" s="29" t="s">
        <v>1844</v>
      </c>
      <c r="P1167" s="36">
        <v>44405</v>
      </c>
      <c r="Q1167" s="31">
        <v>29754.76</v>
      </c>
      <c r="R1167" s="33">
        <f>M1167/Q1167</f>
        <v>42.121126166031928</v>
      </c>
    </row>
    <row r="1168" spans="1:18" ht="15" customHeight="1">
      <c r="A1168" s="37" t="s">
        <v>356</v>
      </c>
      <c r="B1168" s="26" t="s">
        <v>1540</v>
      </c>
      <c r="C1168" s="39">
        <v>149</v>
      </c>
      <c r="D1168" s="40" t="s">
        <v>1858</v>
      </c>
      <c r="E1168" s="38" t="s">
        <v>3</v>
      </c>
      <c r="F1168" s="38" t="s">
        <v>11</v>
      </c>
      <c r="G1168" s="32">
        <v>23327567</v>
      </c>
      <c r="H1168" s="32">
        <v>0</v>
      </c>
      <c r="I1168" s="32">
        <v>5287272.4104893589</v>
      </c>
      <c r="J1168" s="35">
        <f>+G1168-H1168+I1168</f>
        <v>28614839.410489358</v>
      </c>
      <c r="K1168" s="28">
        <v>0</v>
      </c>
      <c r="L1168" s="32">
        <v>0</v>
      </c>
      <c r="M1168" s="35">
        <f>+J1168+L1168</f>
        <v>28614839.410489358</v>
      </c>
      <c r="N1168" s="28" t="s">
        <v>1542</v>
      </c>
      <c r="O1168" s="29" t="s">
        <v>1543</v>
      </c>
      <c r="P1168" s="36">
        <v>43427</v>
      </c>
      <c r="Q1168" s="31">
        <v>27507.17</v>
      </c>
      <c r="R1168" s="33">
        <f>M1168/Q1168</f>
        <v>1040.2683885870251</v>
      </c>
    </row>
    <row r="1169" spans="1:18" ht="15" customHeight="1">
      <c r="A1169" s="37" t="s">
        <v>39</v>
      </c>
      <c r="B1169" s="26" t="s">
        <v>1658</v>
      </c>
      <c r="C1169" s="39">
        <v>149</v>
      </c>
      <c r="D1169" s="40" t="s">
        <v>1859</v>
      </c>
      <c r="E1169" s="38" t="s">
        <v>4</v>
      </c>
      <c r="F1169" s="38" t="s">
        <v>11</v>
      </c>
      <c r="G1169" s="32">
        <v>3247511</v>
      </c>
      <c r="H1169" s="32">
        <v>1119960</v>
      </c>
      <c r="I1169" s="32">
        <v>170525</v>
      </c>
      <c r="J1169" s="35">
        <f>+G1169-H1169+I1169</f>
        <v>2298076</v>
      </c>
      <c r="K1169" s="28">
        <v>0</v>
      </c>
      <c r="L1169" s="32">
        <v>0</v>
      </c>
      <c r="M1169" s="35">
        <f>+J1169+L1169</f>
        <v>2298076</v>
      </c>
      <c r="N1169" s="28" t="s">
        <v>1742</v>
      </c>
      <c r="O1169" s="29" t="s">
        <v>1743</v>
      </c>
      <c r="P1169" s="36">
        <v>43720</v>
      </c>
      <c r="Q1169" s="31">
        <v>28014.93</v>
      </c>
      <c r="R1169" s="33">
        <f>M1169/Q1169</f>
        <v>82.030403074360706</v>
      </c>
    </row>
    <row r="1170" spans="1:18" ht="15" customHeight="1">
      <c r="A1170" s="37" t="s">
        <v>688</v>
      </c>
      <c r="B1170" s="26" t="s">
        <v>1728</v>
      </c>
      <c r="C1170" s="39">
        <v>149</v>
      </c>
      <c r="D1170" s="40" t="s">
        <v>1860</v>
      </c>
      <c r="E1170" s="38" t="s">
        <v>3</v>
      </c>
      <c r="F1170" s="38" t="s">
        <v>11</v>
      </c>
      <c r="G1170" s="32">
        <v>0</v>
      </c>
      <c r="H1170" s="32">
        <v>3618635</v>
      </c>
      <c r="I1170" s="52">
        <v>0</v>
      </c>
      <c r="J1170" s="35">
        <f>+G1170-H1170+I1170</f>
        <v>-3618635</v>
      </c>
      <c r="K1170" s="28">
        <v>0</v>
      </c>
      <c r="L1170" s="32">
        <v>0</v>
      </c>
      <c r="M1170" s="35">
        <f>+J1170+L1170</f>
        <v>-3618635</v>
      </c>
      <c r="N1170" s="28" t="s">
        <v>1730</v>
      </c>
      <c r="O1170" s="29" t="s">
        <v>1731</v>
      </c>
      <c r="P1170" s="36">
        <v>43444</v>
      </c>
      <c r="Q1170" s="31">
        <v>27565.79</v>
      </c>
      <c r="R1170" s="33">
        <f>M1170/Q1170</f>
        <v>-131.2726752978964</v>
      </c>
    </row>
    <row r="1171" spans="1:18" ht="15" customHeight="1">
      <c r="A1171" s="37" t="s">
        <v>293</v>
      </c>
      <c r="B1171" s="26" t="s">
        <v>294</v>
      </c>
      <c r="C1171" s="39">
        <v>589</v>
      </c>
      <c r="D1171" s="40" t="s">
        <v>1861</v>
      </c>
      <c r="E1171" s="38" t="s">
        <v>3</v>
      </c>
      <c r="F1171" s="38" t="s">
        <v>13</v>
      </c>
      <c r="G1171" s="32">
        <v>2772144</v>
      </c>
      <c r="H1171" s="32">
        <v>9027947</v>
      </c>
      <c r="I1171" s="32">
        <v>2585720</v>
      </c>
      <c r="J1171" s="35">
        <f>+G1171-H1171+I1171</f>
        <v>-3670083</v>
      </c>
      <c r="K1171" s="27" t="s">
        <v>401</v>
      </c>
      <c r="L1171" s="32">
        <v>0</v>
      </c>
      <c r="M1171" s="35">
        <f>+J1171+L1171</f>
        <v>-3670083</v>
      </c>
      <c r="N1171" s="55" t="s">
        <v>402</v>
      </c>
      <c r="O1171" s="56" t="s">
        <v>403</v>
      </c>
      <c r="P1171" s="56">
        <v>44524</v>
      </c>
      <c r="Q1171" s="49">
        <v>30683.439999999999</v>
      </c>
      <c r="R1171" s="57">
        <f>+M1171/Q1171</f>
        <v>-119.61119744070417</v>
      </c>
    </row>
    <row r="1172" spans="1:18" ht="15" customHeight="1">
      <c r="A1172" s="37" t="s">
        <v>293</v>
      </c>
      <c r="B1172" s="26" t="s">
        <v>294</v>
      </c>
      <c r="C1172" s="39">
        <v>148</v>
      </c>
      <c r="D1172" s="40" t="s">
        <v>1862</v>
      </c>
      <c r="E1172" s="38" t="s">
        <v>3</v>
      </c>
      <c r="F1172" s="38" t="s">
        <v>11</v>
      </c>
      <c r="G1172" s="32">
        <v>0</v>
      </c>
      <c r="H1172" s="32">
        <v>29221340</v>
      </c>
      <c r="I1172" s="32">
        <v>67340219</v>
      </c>
      <c r="J1172" s="35">
        <f>+G1172-H1172+I1172</f>
        <v>38118879</v>
      </c>
      <c r="K1172" s="28">
        <v>0</v>
      </c>
      <c r="L1172" s="32">
        <v>0</v>
      </c>
      <c r="M1172" s="35">
        <f>+J1172+L1172</f>
        <v>38118879</v>
      </c>
      <c r="N1172" s="28" t="s">
        <v>1626</v>
      </c>
      <c r="O1172" s="29" t="s">
        <v>1627</v>
      </c>
      <c r="P1172" s="36">
        <v>43886</v>
      </c>
      <c r="Q1172" s="31">
        <v>28440.19</v>
      </c>
      <c r="R1172" s="33">
        <f>M1172/Q1172</f>
        <v>1340.3173115228838</v>
      </c>
    </row>
    <row r="1173" spans="1:18" ht="15" customHeight="1">
      <c r="A1173" s="37" t="s">
        <v>356</v>
      </c>
      <c r="B1173" s="26" t="s">
        <v>1540</v>
      </c>
      <c r="C1173" s="39">
        <v>148</v>
      </c>
      <c r="D1173" s="40" t="s">
        <v>1863</v>
      </c>
      <c r="E1173" s="38" t="s">
        <v>3</v>
      </c>
      <c r="F1173" s="38" t="s">
        <v>11</v>
      </c>
      <c r="G1173" s="32">
        <v>0</v>
      </c>
      <c r="H1173" s="32">
        <v>0</v>
      </c>
      <c r="I1173" s="32">
        <v>1798194.6129140658</v>
      </c>
      <c r="J1173" s="35">
        <f>+G1173-H1173+I1173</f>
        <v>1798194.6129140658</v>
      </c>
      <c r="K1173" s="28">
        <v>0</v>
      </c>
      <c r="L1173" s="32">
        <v>0</v>
      </c>
      <c r="M1173" s="35">
        <f>+J1173+L1173</f>
        <v>1798194.6129140658</v>
      </c>
      <c r="N1173" s="28" t="s">
        <v>1542</v>
      </c>
      <c r="O1173" s="29" t="s">
        <v>1543</v>
      </c>
      <c r="P1173" s="36">
        <v>43427</v>
      </c>
      <c r="Q1173" s="31">
        <v>27507.17</v>
      </c>
      <c r="R1173" s="33">
        <f>M1173/Q1173</f>
        <v>65.371850790687148</v>
      </c>
    </row>
    <row r="1174" spans="1:18" ht="15" customHeight="1">
      <c r="A1174" s="37" t="s">
        <v>39</v>
      </c>
      <c r="B1174" s="26" t="s">
        <v>1658</v>
      </c>
      <c r="C1174" s="39">
        <v>148</v>
      </c>
      <c r="D1174" s="40" t="s">
        <v>1864</v>
      </c>
      <c r="E1174" s="38" t="s">
        <v>4</v>
      </c>
      <c r="F1174" s="38" t="s">
        <v>11</v>
      </c>
      <c r="G1174" s="32">
        <v>0</v>
      </c>
      <c r="H1174" s="32">
        <v>0</v>
      </c>
      <c r="I1174" s="32">
        <v>16305165</v>
      </c>
      <c r="J1174" s="35">
        <f>+G1174-H1174+I1174</f>
        <v>16305165</v>
      </c>
      <c r="K1174" s="28">
        <v>0</v>
      </c>
      <c r="L1174" s="32">
        <v>0</v>
      </c>
      <c r="M1174" s="35">
        <f>+J1174+L1174</f>
        <v>16305165</v>
      </c>
      <c r="N1174" s="28" t="s">
        <v>1742</v>
      </c>
      <c r="O1174" s="29" t="s">
        <v>1743</v>
      </c>
      <c r="P1174" s="36">
        <v>43720</v>
      </c>
      <c r="Q1174" s="31">
        <v>28014.93</v>
      </c>
      <c r="R1174" s="33">
        <f>M1174/Q1174</f>
        <v>582.0169816594223</v>
      </c>
    </row>
    <row r="1175" spans="1:18" ht="15" customHeight="1">
      <c r="A1175" s="37" t="s">
        <v>688</v>
      </c>
      <c r="B1175" s="26" t="s">
        <v>1728</v>
      </c>
      <c r="C1175" s="39">
        <v>148</v>
      </c>
      <c r="D1175" s="40" t="s">
        <v>1865</v>
      </c>
      <c r="E1175" s="38" t="s">
        <v>4</v>
      </c>
      <c r="F1175" s="38" t="s">
        <v>15</v>
      </c>
      <c r="G1175" s="32">
        <v>705328</v>
      </c>
      <c r="H1175" s="32">
        <v>0</v>
      </c>
      <c r="I1175" s="32">
        <v>13695</v>
      </c>
      <c r="J1175" s="35">
        <f>+G1175-H1175+I1175</f>
        <v>719023</v>
      </c>
      <c r="K1175" s="28">
        <v>0</v>
      </c>
      <c r="L1175" s="32">
        <v>0</v>
      </c>
      <c r="M1175" s="35">
        <f>+J1175+L1175</f>
        <v>719023</v>
      </c>
      <c r="N1175" s="28" t="s">
        <v>1730</v>
      </c>
      <c r="O1175" s="29" t="s">
        <v>1731</v>
      </c>
      <c r="P1175" s="36">
        <v>43444</v>
      </c>
      <c r="Q1175" s="31">
        <v>27565.79</v>
      </c>
      <c r="R1175" s="33">
        <f>M1175/Q1175</f>
        <v>26.083888762121454</v>
      </c>
    </row>
    <row r="1176" spans="1:18" ht="15" customHeight="1">
      <c r="A1176" s="37" t="s">
        <v>293</v>
      </c>
      <c r="B1176" s="26" t="s">
        <v>294</v>
      </c>
      <c r="C1176" s="39">
        <v>448</v>
      </c>
      <c r="D1176" s="40" t="s">
        <v>1866</v>
      </c>
      <c r="E1176" s="38" t="s">
        <v>4</v>
      </c>
      <c r="F1176" s="38" t="s">
        <v>12</v>
      </c>
      <c r="G1176" s="32">
        <v>2849465</v>
      </c>
      <c r="H1176" s="32">
        <v>0</v>
      </c>
      <c r="I1176" s="32">
        <v>1354189</v>
      </c>
      <c r="J1176" s="35">
        <f>+G1176-H1176+I1176</f>
        <v>4203654</v>
      </c>
      <c r="K1176" s="27" t="s">
        <v>297</v>
      </c>
      <c r="L1176" s="32">
        <v>0</v>
      </c>
      <c r="M1176" s="35">
        <f>+J1176+L1176</f>
        <v>4203654</v>
      </c>
      <c r="N1176" s="28" t="s">
        <v>459</v>
      </c>
      <c r="O1176" s="29" t="s">
        <v>460</v>
      </c>
      <c r="P1176" s="36" t="s">
        <v>461</v>
      </c>
      <c r="Q1176" s="31">
        <v>30683.439999999999</v>
      </c>
      <c r="R1176" s="33">
        <f>+M1176/Q1176</f>
        <v>137.00074046456331</v>
      </c>
    </row>
    <row r="1177" spans="1:18" ht="15" customHeight="1">
      <c r="A1177" s="37" t="s">
        <v>293</v>
      </c>
      <c r="B1177" s="26" t="s">
        <v>294</v>
      </c>
      <c r="C1177" s="39">
        <v>147</v>
      </c>
      <c r="D1177" s="40" t="s">
        <v>1867</v>
      </c>
      <c r="E1177" s="38" t="s">
        <v>3</v>
      </c>
      <c r="F1177" s="38" t="s">
        <v>13</v>
      </c>
      <c r="G1177" s="32">
        <v>1620006</v>
      </c>
      <c r="H1177" s="32">
        <v>0</v>
      </c>
      <c r="I1177" s="52">
        <v>0</v>
      </c>
      <c r="J1177" s="35">
        <f>+G1177-H1177+I1177</f>
        <v>1620006</v>
      </c>
      <c r="K1177" s="28">
        <v>0</v>
      </c>
      <c r="L1177" s="32">
        <v>0</v>
      </c>
      <c r="M1177" s="35">
        <f>+J1177+L1177</f>
        <v>1620006</v>
      </c>
      <c r="N1177" s="28" t="s">
        <v>1830</v>
      </c>
      <c r="O1177" s="29" t="s">
        <v>1831</v>
      </c>
      <c r="P1177" s="36">
        <v>43878</v>
      </c>
      <c r="Q1177" s="31">
        <v>28393.3</v>
      </c>
      <c r="R1177" s="33">
        <f>M1177/Q1177</f>
        <v>57.055925165443959</v>
      </c>
    </row>
    <row r="1178" spans="1:18" ht="15" customHeight="1">
      <c r="A1178" s="37" t="s">
        <v>293</v>
      </c>
      <c r="B1178" s="26" t="s">
        <v>294</v>
      </c>
      <c r="C1178" s="39">
        <v>582</v>
      </c>
      <c r="D1178" s="40" t="s">
        <v>1868</v>
      </c>
      <c r="E1178" s="38" t="s">
        <v>3</v>
      </c>
      <c r="F1178" s="38" t="s">
        <v>296</v>
      </c>
      <c r="G1178" s="32">
        <v>2861440</v>
      </c>
      <c r="H1178" s="32">
        <v>0</v>
      </c>
      <c r="I1178" s="32">
        <v>279521</v>
      </c>
      <c r="J1178" s="35">
        <f>+G1178-H1178+I1178</f>
        <v>3140961</v>
      </c>
      <c r="K1178" s="27" t="s">
        <v>297</v>
      </c>
      <c r="L1178" s="32">
        <v>0</v>
      </c>
      <c r="M1178" s="35">
        <f>+J1178+L1178</f>
        <v>3140961</v>
      </c>
      <c r="N1178" s="55" t="s">
        <v>298</v>
      </c>
      <c r="O1178" s="56" t="s">
        <v>299</v>
      </c>
      <c r="P1178" s="56">
        <v>44502</v>
      </c>
      <c r="Q1178" s="49">
        <v>30403.919999999998</v>
      </c>
      <c r="R1178" s="57">
        <f>+M1178/Q1178</f>
        <v>103.30776426197676</v>
      </c>
    </row>
    <row r="1179" spans="1:18" ht="15" customHeight="1">
      <c r="A1179" s="37" t="s">
        <v>39</v>
      </c>
      <c r="B1179" s="26" t="s">
        <v>1658</v>
      </c>
      <c r="C1179" s="39">
        <v>147</v>
      </c>
      <c r="D1179" s="40" t="s">
        <v>1869</v>
      </c>
      <c r="E1179" s="38" t="s">
        <v>3</v>
      </c>
      <c r="F1179" s="38" t="s">
        <v>11</v>
      </c>
      <c r="G1179" s="32">
        <v>0</v>
      </c>
      <c r="H1179" s="32">
        <v>2471597630</v>
      </c>
      <c r="I1179" s="32">
        <v>1882683516</v>
      </c>
      <c r="J1179" s="35">
        <f>+G1179-H1179+I1179</f>
        <v>-588914114</v>
      </c>
      <c r="K1179" s="28">
        <v>0</v>
      </c>
      <c r="L1179" s="32">
        <v>0</v>
      </c>
      <c r="M1179" s="35">
        <f>+J1179+L1179</f>
        <v>-588914114</v>
      </c>
      <c r="N1179" s="28" t="s">
        <v>1870</v>
      </c>
      <c r="O1179" s="29" t="s">
        <v>1871</v>
      </c>
      <c r="P1179" s="36">
        <v>43636</v>
      </c>
      <c r="Q1179" s="31">
        <v>27847.71</v>
      </c>
      <c r="R1179" s="33">
        <f>M1179/Q1179</f>
        <v>-21147.667582002254</v>
      </c>
    </row>
    <row r="1180" spans="1:18" ht="15" customHeight="1">
      <c r="A1180" s="37" t="s">
        <v>688</v>
      </c>
      <c r="B1180" s="26" t="s">
        <v>1728</v>
      </c>
      <c r="C1180" s="39">
        <v>147</v>
      </c>
      <c r="D1180" s="40" t="s">
        <v>1872</v>
      </c>
      <c r="E1180" s="38" t="s">
        <v>4</v>
      </c>
      <c r="F1180" s="38" t="s">
        <v>15</v>
      </c>
      <c r="G1180" s="32">
        <v>685884</v>
      </c>
      <c r="H1180" s="32">
        <v>0</v>
      </c>
      <c r="I1180" s="52">
        <v>0</v>
      </c>
      <c r="J1180" s="35">
        <f>+G1180-H1180+I1180</f>
        <v>685884</v>
      </c>
      <c r="K1180" s="28">
        <v>0</v>
      </c>
      <c r="L1180" s="32">
        <v>0</v>
      </c>
      <c r="M1180" s="35">
        <f>+J1180+L1180</f>
        <v>685884</v>
      </c>
      <c r="N1180" s="28" t="s">
        <v>1730</v>
      </c>
      <c r="O1180" s="29" t="s">
        <v>1731</v>
      </c>
      <c r="P1180" s="36">
        <v>43444</v>
      </c>
      <c r="Q1180" s="31">
        <v>27565.79</v>
      </c>
      <c r="R1180" s="33">
        <f>M1180/Q1180</f>
        <v>24.881710264788346</v>
      </c>
    </row>
    <row r="1181" spans="1:18" ht="15" customHeight="1">
      <c r="A1181" s="37" t="s">
        <v>293</v>
      </c>
      <c r="B1181" s="26" t="s">
        <v>294</v>
      </c>
      <c r="C1181" s="39">
        <v>146</v>
      </c>
      <c r="D1181" s="40" t="s">
        <v>1873</v>
      </c>
      <c r="E1181" s="38" t="s">
        <v>3</v>
      </c>
      <c r="F1181" s="38" t="s">
        <v>11</v>
      </c>
      <c r="G1181" s="32">
        <v>0</v>
      </c>
      <c r="H1181" s="32">
        <v>0</v>
      </c>
      <c r="I1181" s="32">
        <v>15307070</v>
      </c>
      <c r="J1181" s="35">
        <f>+G1181-H1181+I1181</f>
        <v>15307070</v>
      </c>
      <c r="K1181" s="28">
        <v>0</v>
      </c>
      <c r="L1181" s="32">
        <v>0</v>
      </c>
      <c r="M1181" s="35">
        <f>+J1181+L1181</f>
        <v>15307070</v>
      </c>
      <c r="N1181" s="28" t="s">
        <v>1537</v>
      </c>
      <c r="O1181" s="29" t="s">
        <v>1538</v>
      </c>
      <c r="P1181" s="36">
        <v>43914</v>
      </c>
      <c r="Q1181" s="31">
        <v>28331.86</v>
      </c>
      <c r="R1181" s="33">
        <f>M1181/Q1181</f>
        <v>540.27762384820483</v>
      </c>
    </row>
    <row r="1182" spans="1:18" ht="15" customHeight="1">
      <c r="A1182" s="37" t="s">
        <v>39</v>
      </c>
      <c r="B1182" s="26" t="s">
        <v>1658</v>
      </c>
      <c r="C1182" s="39">
        <v>146</v>
      </c>
      <c r="D1182" s="40" t="s">
        <v>1874</v>
      </c>
      <c r="E1182" s="38" t="s">
        <v>4</v>
      </c>
      <c r="F1182" s="38" t="s">
        <v>12</v>
      </c>
      <c r="G1182" s="32">
        <v>4288233</v>
      </c>
      <c r="H1182" s="32">
        <v>14296152</v>
      </c>
      <c r="I1182" s="52">
        <v>0</v>
      </c>
      <c r="J1182" s="35">
        <f>+G1182-H1182+I1182</f>
        <v>-10007919</v>
      </c>
      <c r="K1182" s="28">
        <v>0</v>
      </c>
      <c r="L1182" s="32">
        <v>0</v>
      </c>
      <c r="M1182" s="35">
        <f>+J1182+L1182</f>
        <v>-10007919</v>
      </c>
      <c r="N1182" s="28" t="s">
        <v>1742</v>
      </c>
      <c r="O1182" s="29" t="s">
        <v>1743</v>
      </c>
      <c r="P1182" s="36">
        <v>43720</v>
      </c>
      <c r="Q1182" s="31">
        <v>28014.93</v>
      </c>
      <c r="R1182" s="33">
        <f>M1182/Q1182</f>
        <v>-357.23519566174178</v>
      </c>
    </row>
    <row r="1183" spans="1:18" ht="15" customHeight="1">
      <c r="A1183" s="37" t="s">
        <v>293</v>
      </c>
      <c r="B1183" s="26" t="s">
        <v>294</v>
      </c>
      <c r="C1183" s="39">
        <v>552</v>
      </c>
      <c r="D1183" s="40" t="s">
        <v>1875</v>
      </c>
      <c r="E1183" s="38" t="s">
        <v>3</v>
      </c>
      <c r="F1183" s="38" t="s">
        <v>12</v>
      </c>
      <c r="G1183" s="32">
        <v>2922700</v>
      </c>
      <c r="H1183" s="32">
        <v>0</v>
      </c>
      <c r="I1183" s="32">
        <v>1684100</v>
      </c>
      <c r="J1183" s="35">
        <f>+G1183-H1183+I1183</f>
        <v>4606800</v>
      </c>
      <c r="K1183" s="27" t="s">
        <v>297</v>
      </c>
      <c r="L1183" s="32">
        <v>0</v>
      </c>
      <c r="M1183" s="35">
        <f>+J1183+L1183</f>
        <v>4606800</v>
      </c>
      <c r="N1183" s="55" t="s">
        <v>298</v>
      </c>
      <c r="O1183" s="56" t="s">
        <v>299</v>
      </c>
      <c r="P1183" s="56">
        <v>44502</v>
      </c>
      <c r="Q1183" s="49">
        <v>30403.919999999998</v>
      </c>
      <c r="R1183" s="57">
        <f>+M1183/Q1183</f>
        <v>151.51993558725323</v>
      </c>
    </row>
    <row r="1184" spans="1:18" ht="15" customHeight="1">
      <c r="A1184" s="37" t="s">
        <v>688</v>
      </c>
      <c r="B1184" s="26" t="s">
        <v>1728</v>
      </c>
      <c r="C1184" s="39">
        <v>146</v>
      </c>
      <c r="D1184" s="40" t="s">
        <v>1876</v>
      </c>
      <c r="E1184" s="38" t="s">
        <v>4</v>
      </c>
      <c r="F1184" s="38" t="s">
        <v>12</v>
      </c>
      <c r="G1184" s="32">
        <v>0</v>
      </c>
      <c r="H1184" s="32">
        <v>1864258</v>
      </c>
      <c r="I1184" s="52">
        <v>0</v>
      </c>
      <c r="J1184" s="35">
        <f>+G1184-H1184+I1184</f>
        <v>-1864258</v>
      </c>
      <c r="K1184" s="28">
        <v>0</v>
      </c>
      <c r="L1184" s="32">
        <v>0</v>
      </c>
      <c r="M1184" s="35">
        <f>+J1184+L1184</f>
        <v>-1864258</v>
      </c>
      <c r="N1184" s="28" t="s">
        <v>1730</v>
      </c>
      <c r="O1184" s="29" t="s">
        <v>1731</v>
      </c>
      <c r="P1184" s="36">
        <v>43444</v>
      </c>
      <c r="Q1184" s="31">
        <v>27565.79</v>
      </c>
      <c r="R1184" s="33">
        <f>M1184/Q1184</f>
        <v>-67.629405868650963</v>
      </c>
    </row>
    <row r="1185" spans="1:18" ht="15" customHeight="1">
      <c r="A1185" s="37" t="s">
        <v>184</v>
      </c>
      <c r="B1185" s="26" t="s">
        <v>185</v>
      </c>
      <c r="C1185" s="39">
        <v>5</v>
      </c>
      <c r="D1185" s="40" t="s">
        <v>1877</v>
      </c>
      <c r="E1185" s="38" t="s">
        <v>4</v>
      </c>
      <c r="F1185" s="38" t="s">
        <v>13</v>
      </c>
      <c r="G1185" s="32">
        <v>2942582</v>
      </c>
      <c r="H1185" s="32">
        <v>52922275</v>
      </c>
      <c r="I1185" s="32">
        <v>28354580</v>
      </c>
      <c r="J1185" s="35">
        <f>+G1185-H1185+I1185</f>
        <v>-21625113</v>
      </c>
      <c r="K1185" s="27">
        <v>26</v>
      </c>
      <c r="L1185" s="32">
        <v>0</v>
      </c>
      <c r="M1185" s="35">
        <f>+J1185+L1185</f>
        <v>-21625113</v>
      </c>
      <c r="N1185" s="28" t="s">
        <v>187</v>
      </c>
      <c r="O1185" s="29" t="s">
        <v>188</v>
      </c>
      <c r="P1185" s="36">
        <v>44166</v>
      </c>
      <c r="Q1185" s="31">
        <v>29036.92</v>
      </c>
      <c r="R1185" s="33">
        <f>M1185/Q1185</f>
        <v>-744.74541376978004</v>
      </c>
    </row>
    <row r="1186" spans="1:18" ht="15" customHeight="1">
      <c r="A1186" s="37" t="s">
        <v>293</v>
      </c>
      <c r="B1186" s="26" t="s">
        <v>294</v>
      </c>
      <c r="C1186" s="39">
        <v>145</v>
      </c>
      <c r="D1186" s="40" t="s">
        <v>1878</v>
      </c>
      <c r="E1186" s="38" t="s">
        <v>3</v>
      </c>
      <c r="F1186" s="38" t="s">
        <v>14</v>
      </c>
      <c r="G1186" s="32">
        <v>17746172</v>
      </c>
      <c r="H1186" s="32">
        <v>9522110</v>
      </c>
      <c r="I1186" s="32">
        <v>25103094</v>
      </c>
      <c r="J1186" s="35">
        <f>+G1186-H1186+I1186</f>
        <v>33327156</v>
      </c>
      <c r="K1186" s="28">
        <v>0</v>
      </c>
      <c r="L1186" s="32">
        <v>0</v>
      </c>
      <c r="M1186" s="35">
        <f>+J1186+L1186</f>
        <v>33327156</v>
      </c>
      <c r="N1186" s="28" t="s">
        <v>1567</v>
      </c>
      <c r="O1186" s="29" t="s">
        <v>1568</v>
      </c>
      <c r="P1186" s="36">
        <v>43886</v>
      </c>
      <c r="Q1186" s="31">
        <v>28440.19</v>
      </c>
      <c r="R1186" s="33">
        <f>M1186/Q1186</f>
        <v>1171.8330995679003</v>
      </c>
    </row>
    <row r="1187" spans="1:18" ht="15" customHeight="1">
      <c r="A1187" s="37" t="s">
        <v>356</v>
      </c>
      <c r="B1187" s="26" t="s">
        <v>1841</v>
      </c>
      <c r="C1187" s="39">
        <v>145</v>
      </c>
      <c r="D1187" s="40" t="s">
        <v>1879</v>
      </c>
      <c r="E1187" s="38" t="s">
        <v>3</v>
      </c>
      <c r="F1187" s="38" t="s">
        <v>12</v>
      </c>
      <c r="G1187" s="32">
        <v>328746</v>
      </c>
      <c r="H1187" s="32">
        <v>0</v>
      </c>
      <c r="I1187" s="32">
        <v>4976816</v>
      </c>
      <c r="J1187" s="35">
        <f>+G1187-H1187+I1187</f>
        <v>5305562</v>
      </c>
      <c r="K1187" s="28">
        <v>0</v>
      </c>
      <c r="L1187" s="32">
        <v>0</v>
      </c>
      <c r="M1187" s="35">
        <f>+J1187+L1187</f>
        <v>5305562</v>
      </c>
      <c r="N1187" s="28" t="s">
        <v>1843</v>
      </c>
      <c r="O1187" s="29" t="s">
        <v>1844</v>
      </c>
      <c r="P1187" s="36">
        <v>44405</v>
      </c>
      <c r="Q1187" s="31">
        <v>29754.76</v>
      </c>
      <c r="R1187" s="33">
        <f>M1187/Q1187</f>
        <v>178.30968893716502</v>
      </c>
    </row>
    <row r="1188" spans="1:18" ht="15" customHeight="1">
      <c r="A1188" s="37" t="s">
        <v>39</v>
      </c>
      <c r="B1188" s="26" t="s">
        <v>1658</v>
      </c>
      <c r="C1188" s="39">
        <v>145</v>
      </c>
      <c r="D1188" s="40" t="s">
        <v>1880</v>
      </c>
      <c r="E1188" s="38" t="s">
        <v>4</v>
      </c>
      <c r="F1188" s="38" t="s">
        <v>12</v>
      </c>
      <c r="G1188" s="32">
        <v>5548046</v>
      </c>
      <c r="H1188" s="32">
        <v>9874910</v>
      </c>
      <c r="I1188" s="52">
        <v>0</v>
      </c>
      <c r="J1188" s="35">
        <f>+G1188-H1188+I1188</f>
        <v>-4326864</v>
      </c>
      <c r="K1188" s="28">
        <v>0</v>
      </c>
      <c r="L1188" s="32">
        <v>0</v>
      </c>
      <c r="M1188" s="35">
        <f>+J1188+L1188</f>
        <v>-4326864</v>
      </c>
      <c r="N1188" s="28" t="s">
        <v>1742</v>
      </c>
      <c r="O1188" s="29" t="s">
        <v>1743</v>
      </c>
      <c r="P1188" s="36">
        <v>43720</v>
      </c>
      <c r="Q1188" s="31">
        <v>28014.93</v>
      </c>
      <c r="R1188" s="33">
        <f>M1188/Q1188</f>
        <v>-154.44850299465321</v>
      </c>
    </row>
    <row r="1189" spans="1:18" ht="15" customHeight="1">
      <c r="A1189" s="37" t="s">
        <v>688</v>
      </c>
      <c r="B1189" s="26" t="s">
        <v>1728</v>
      </c>
      <c r="C1189" s="39">
        <v>145</v>
      </c>
      <c r="D1189" s="40" t="s">
        <v>1881</v>
      </c>
      <c r="E1189" s="38" t="s">
        <v>4</v>
      </c>
      <c r="F1189" s="38" t="s">
        <v>12</v>
      </c>
      <c r="G1189" s="32">
        <v>0</v>
      </c>
      <c r="H1189" s="32">
        <v>1527434</v>
      </c>
      <c r="I1189" s="52">
        <v>0</v>
      </c>
      <c r="J1189" s="35">
        <f>+G1189-H1189+I1189</f>
        <v>-1527434</v>
      </c>
      <c r="K1189" s="28">
        <v>0</v>
      </c>
      <c r="L1189" s="32">
        <v>0</v>
      </c>
      <c r="M1189" s="35">
        <f>+J1189+L1189</f>
        <v>-1527434</v>
      </c>
      <c r="N1189" s="28" t="s">
        <v>1730</v>
      </c>
      <c r="O1189" s="29" t="s">
        <v>1731</v>
      </c>
      <c r="P1189" s="36">
        <v>43444</v>
      </c>
      <c r="Q1189" s="31">
        <v>27565.79</v>
      </c>
      <c r="R1189" s="33">
        <f>M1189/Q1189</f>
        <v>-55.410492498129017</v>
      </c>
    </row>
    <row r="1190" spans="1:18" ht="15" customHeight="1">
      <c r="A1190" s="37" t="s">
        <v>293</v>
      </c>
      <c r="B1190" s="26" t="s">
        <v>294</v>
      </c>
      <c r="C1190" s="39">
        <v>144</v>
      </c>
      <c r="D1190" s="40" t="s">
        <v>1882</v>
      </c>
      <c r="E1190" s="38" t="s">
        <v>3</v>
      </c>
      <c r="F1190" s="38" t="s">
        <v>14</v>
      </c>
      <c r="G1190" s="32">
        <v>30003920</v>
      </c>
      <c r="H1190" s="32">
        <v>6714611</v>
      </c>
      <c r="I1190" s="32">
        <v>13724727</v>
      </c>
      <c r="J1190" s="35">
        <f>+G1190-H1190+I1190</f>
        <v>37014036</v>
      </c>
      <c r="K1190" s="28">
        <v>0</v>
      </c>
      <c r="L1190" s="32">
        <v>0</v>
      </c>
      <c r="M1190" s="35">
        <f>+J1190+L1190</f>
        <v>37014036</v>
      </c>
      <c r="N1190" s="28" t="s">
        <v>1567</v>
      </c>
      <c r="O1190" s="29" t="s">
        <v>1568</v>
      </c>
      <c r="P1190" s="36">
        <v>43886</v>
      </c>
      <c r="Q1190" s="31">
        <v>28440.19</v>
      </c>
      <c r="R1190" s="33">
        <f>M1190/Q1190</f>
        <v>1301.4693643045282</v>
      </c>
    </row>
    <row r="1191" spans="1:18" ht="15" customHeight="1">
      <c r="A1191" s="37" t="s">
        <v>39</v>
      </c>
      <c r="B1191" s="26" t="s">
        <v>1658</v>
      </c>
      <c r="C1191" s="39">
        <v>144</v>
      </c>
      <c r="D1191" s="40" t="s">
        <v>1883</v>
      </c>
      <c r="E1191" s="38" t="s">
        <v>4</v>
      </c>
      <c r="F1191" s="38" t="s">
        <v>12</v>
      </c>
      <c r="G1191" s="32">
        <v>7572192</v>
      </c>
      <c r="H1191" s="32">
        <v>14137071</v>
      </c>
      <c r="I1191" s="32">
        <v>10433743</v>
      </c>
      <c r="J1191" s="35">
        <f>+G1191-H1191+I1191</f>
        <v>3868864</v>
      </c>
      <c r="K1191" s="28">
        <v>0</v>
      </c>
      <c r="L1191" s="32">
        <v>0</v>
      </c>
      <c r="M1191" s="35">
        <f>+J1191+L1191</f>
        <v>3868864</v>
      </c>
      <c r="N1191" s="28" t="s">
        <v>1742</v>
      </c>
      <c r="O1191" s="29" t="s">
        <v>1743</v>
      </c>
      <c r="P1191" s="36">
        <v>43720</v>
      </c>
      <c r="Q1191" s="31">
        <v>28014.93</v>
      </c>
      <c r="R1191" s="33">
        <f>M1191/Q1191</f>
        <v>138.10007735161216</v>
      </c>
    </row>
    <row r="1192" spans="1:18" ht="15" customHeight="1">
      <c r="A1192" s="37" t="s">
        <v>688</v>
      </c>
      <c r="B1192" s="26" t="s">
        <v>1728</v>
      </c>
      <c r="C1192" s="39">
        <v>144</v>
      </c>
      <c r="D1192" s="40" t="s">
        <v>1884</v>
      </c>
      <c r="E1192" s="38" t="s">
        <v>4</v>
      </c>
      <c r="F1192" s="38" t="s">
        <v>15</v>
      </c>
      <c r="G1192" s="32">
        <v>0</v>
      </c>
      <c r="H1192" s="32">
        <v>550122</v>
      </c>
      <c r="I1192" s="52">
        <v>0</v>
      </c>
      <c r="J1192" s="35">
        <f>+G1192-H1192+I1192</f>
        <v>-550122</v>
      </c>
      <c r="K1192" s="28">
        <v>0</v>
      </c>
      <c r="L1192" s="32">
        <v>0</v>
      </c>
      <c r="M1192" s="35">
        <f>+J1192+L1192</f>
        <v>-550122</v>
      </c>
      <c r="N1192" s="28" t="s">
        <v>1730</v>
      </c>
      <c r="O1192" s="29" t="s">
        <v>1731</v>
      </c>
      <c r="P1192" s="36">
        <v>43444</v>
      </c>
      <c r="Q1192" s="31">
        <v>27565.79</v>
      </c>
      <c r="R1192" s="33">
        <f>M1192/Q1192</f>
        <v>-19.956692697724243</v>
      </c>
    </row>
    <row r="1193" spans="1:18" ht="15" customHeight="1">
      <c r="A1193" s="37" t="s">
        <v>391</v>
      </c>
      <c r="B1193" s="26" t="s">
        <v>392</v>
      </c>
      <c r="C1193" s="39">
        <v>143</v>
      </c>
      <c r="D1193" s="40" t="s">
        <v>1885</v>
      </c>
      <c r="E1193" s="38" t="s">
        <v>3</v>
      </c>
      <c r="F1193" s="38" t="s">
        <v>18</v>
      </c>
      <c r="G1193" s="32">
        <v>12331310</v>
      </c>
      <c r="H1193" s="32">
        <v>0</v>
      </c>
      <c r="I1193" s="32">
        <v>3847200</v>
      </c>
      <c r="J1193" s="35">
        <f>+G1193-H1193+I1193</f>
        <v>16178510</v>
      </c>
      <c r="K1193" s="28">
        <v>0</v>
      </c>
      <c r="L1193" s="32">
        <v>0</v>
      </c>
      <c r="M1193" s="35">
        <f>+J1193+L1193</f>
        <v>16178510</v>
      </c>
      <c r="N1193" s="28" t="s">
        <v>481</v>
      </c>
      <c r="O1193" s="29" t="s">
        <v>482</v>
      </c>
      <c r="P1193" s="36">
        <v>44130</v>
      </c>
      <c r="Q1193" s="31">
        <v>28810.82</v>
      </c>
      <c r="R1193" s="33">
        <f>M1193/Q1193</f>
        <v>561.54285091503823</v>
      </c>
    </row>
    <row r="1194" spans="1:18" ht="15" customHeight="1">
      <c r="A1194" s="37" t="s">
        <v>39</v>
      </c>
      <c r="B1194" s="26" t="s">
        <v>1658</v>
      </c>
      <c r="C1194" s="39">
        <v>143</v>
      </c>
      <c r="D1194" s="40" t="s">
        <v>1886</v>
      </c>
      <c r="E1194" s="38" t="s">
        <v>4</v>
      </c>
      <c r="F1194" s="38" t="s">
        <v>12</v>
      </c>
      <c r="G1194" s="32">
        <v>16851777</v>
      </c>
      <c r="H1194" s="32">
        <v>23211779</v>
      </c>
      <c r="I1194" s="32">
        <v>14723891</v>
      </c>
      <c r="J1194" s="35">
        <f>+G1194-H1194+I1194</f>
        <v>8363889</v>
      </c>
      <c r="K1194" s="28">
        <v>0</v>
      </c>
      <c r="L1194" s="32">
        <v>0</v>
      </c>
      <c r="M1194" s="35">
        <f>+J1194+L1194</f>
        <v>8363889</v>
      </c>
      <c r="N1194" s="28" t="s">
        <v>1742</v>
      </c>
      <c r="O1194" s="29" t="s">
        <v>1743</v>
      </c>
      <c r="P1194" s="36">
        <v>43720</v>
      </c>
      <c r="Q1194" s="31">
        <v>28014.93</v>
      </c>
      <c r="R1194" s="33">
        <f>M1194/Q1194</f>
        <v>298.55112970119859</v>
      </c>
    </row>
    <row r="1195" spans="1:18" ht="15" customHeight="1">
      <c r="A1195" s="37" t="s">
        <v>688</v>
      </c>
      <c r="B1195" s="26" t="s">
        <v>1728</v>
      </c>
      <c r="C1195" s="39">
        <v>143</v>
      </c>
      <c r="D1195" s="40" t="s">
        <v>1887</v>
      </c>
      <c r="E1195" s="38" t="s">
        <v>4</v>
      </c>
      <c r="F1195" s="38" t="s">
        <v>16</v>
      </c>
      <c r="G1195" s="32">
        <v>0</v>
      </c>
      <c r="H1195" s="32">
        <v>712248</v>
      </c>
      <c r="I1195" s="52">
        <v>0</v>
      </c>
      <c r="J1195" s="35">
        <f>+G1195-H1195+I1195</f>
        <v>-712248</v>
      </c>
      <c r="K1195" s="28">
        <v>0</v>
      </c>
      <c r="L1195" s="32">
        <v>0</v>
      </c>
      <c r="M1195" s="35">
        <f>+J1195+L1195</f>
        <v>-712248</v>
      </c>
      <c r="N1195" s="28" t="s">
        <v>1730</v>
      </c>
      <c r="O1195" s="29" t="s">
        <v>1731</v>
      </c>
      <c r="P1195" s="36">
        <v>43444</v>
      </c>
      <c r="Q1195" s="31">
        <v>27565.79</v>
      </c>
      <c r="R1195" s="33">
        <f>M1195/Q1195</f>
        <v>-25.838113110489488</v>
      </c>
    </row>
    <row r="1196" spans="1:18" ht="15" customHeight="1">
      <c r="A1196" s="37" t="s">
        <v>293</v>
      </c>
      <c r="B1196" s="26" t="s">
        <v>294</v>
      </c>
      <c r="C1196" s="39">
        <v>142</v>
      </c>
      <c r="D1196" s="40" t="s">
        <v>1888</v>
      </c>
      <c r="E1196" s="38" t="s">
        <v>3</v>
      </c>
      <c r="F1196" s="38" t="s">
        <v>18</v>
      </c>
      <c r="G1196" s="32">
        <v>0</v>
      </c>
      <c r="H1196" s="32">
        <v>1688122</v>
      </c>
      <c r="I1196" s="52">
        <v>0</v>
      </c>
      <c r="J1196" s="35">
        <f>+G1196-H1196+I1196</f>
        <v>-1688122</v>
      </c>
      <c r="K1196" s="28">
        <v>0</v>
      </c>
      <c r="L1196" s="32">
        <v>0</v>
      </c>
      <c r="M1196" s="35">
        <f>+J1196+L1196</f>
        <v>-1688122</v>
      </c>
      <c r="N1196" s="28" t="s">
        <v>1537</v>
      </c>
      <c r="O1196" s="29" t="s">
        <v>1538</v>
      </c>
      <c r="P1196" s="36">
        <v>43914</v>
      </c>
      <c r="Q1196" s="31">
        <v>28331.86</v>
      </c>
      <c r="R1196" s="33">
        <f>M1196/Q1196</f>
        <v>-59.583874832079502</v>
      </c>
    </row>
    <row r="1197" spans="1:18" ht="15" customHeight="1">
      <c r="A1197" s="37" t="s">
        <v>874</v>
      </c>
      <c r="B1197" s="26" t="s">
        <v>875</v>
      </c>
      <c r="C1197" s="39">
        <v>142</v>
      </c>
      <c r="D1197" s="40" t="s">
        <v>1889</v>
      </c>
      <c r="E1197" s="38" t="s">
        <v>3</v>
      </c>
      <c r="F1197" s="38" t="s">
        <v>11</v>
      </c>
      <c r="G1197" s="32">
        <v>1836135</v>
      </c>
      <c r="H1197" s="32">
        <v>726261</v>
      </c>
      <c r="I1197" s="32">
        <v>620841</v>
      </c>
      <c r="J1197" s="35">
        <f>+G1197-H1197+I1197</f>
        <v>1730715</v>
      </c>
      <c r="K1197" s="28">
        <v>0</v>
      </c>
      <c r="L1197" s="32">
        <v>0</v>
      </c>
      <c r="M1197" s="35">
        <f>+J1197+L1197</f>
        <v>1730715</v>
      </c>
      <c r="N1197" s="28" t="s">
        <v>1512</v>
      </c>
      <c r="O1197" s="29" t="s">
        <v>1513</v>
      </c>
      <c r="P1197" s="36">
        <v>44972</v>
      </c>
      <c r="Q1197" s="31">
        <v>35378.559999999998</v>
      </c>
      <c r="R1197" s="33">
        <f>M1197/Q1197</f>
        <v>48.919882550335572</v>
      </c>
    </row>
    <row r="1198" spans="1:18" ht="15" customHeight="1">
      <c r="A1198" s="37" t="s">
        <v>39</v>
      </c>
      <c r="B1198" s="26" t="s">
        <v>1658</v>
      </c>
      <c r="C1198" s="39">
        <v>142</v>
      </c>
      <c r="D1198" s="40" t="s">
        <v>1890</v>
      </c>
      <c r="E1198" s="38" t="s">
        <v>4</v>
      </c>
      <c r="F1198" s="38" t="s">
        <v>12</v>
      </c>
      <c r="G1198" s="32">
        <v>0</v>
      </c>
      <c r="H1198" s="32">
        <v>90500614</v>
      </c>
      <c r="I1198" s="52">
        <v>0</v>
      </c>
      <c r="J1198" s="35">
        <f>+G1198-H1198+I1198</f>
        <v>-90500614</v>
      </c>
      <c r="K1198" s="28">
        <v>0</v>
      </c>
      <c r="L1198" s="32">
        <v>0</v>
      </c>
      <c r="M1198" s="35">
        <f>+J1198+L1198</f>
        <v>-90500614</v>
      </c>
      <c r="N1198" s="28" t="s">
        <v>1742</v>
      </c>
      <c r="O1198" s="29" t="s">
        <v>1743</v>
      </c>
      <c r="P1198" s="36">
        <v>43720</v>
      </c>
      <c r="Q1198" s="31">
        <v>28014.93</v>
      </c>
      <c r="R1198" s="33">
        <f>M1198/Q1198</f>
        <v>-3230.4422677479474</v>
      </c>
    </row>
    <row r="1199" spans="1:18" ht="15" customHeight="1">
      <c r="A1199" s="37" t="s">
        <v>688</v>
      </c>
      <c r="B1199" s="26" t="s">
        <v>1728</v>
      </c>
      <c r="C1199" s="39">
        <v>142</v>
      </c>
      <c r="D1199" s="40" t="s">
        <v>1891</v>
      </c>
      <c r="E1199" s="38" t="s">
        <v>4</v>
      </c>
      <c r="F1199" s="38" t="s">
        <v>13</v>
      </c>
      <c r="G1199" s="32">
        <v>0</v>
      </c>
      <c r="H1199" s="32">
        <v>990080</v>
      </c>
      <c r="I1199" s="52">
        <v>0</v>
      </c>
      <c r="J1199" s="35">
        <f>+G1199-H1199+I1199</f>
        <v>-990080</v>
      </c>
      <c r="K1199" s="28">
        <v>0</v>
      </c>
      <c r="L1199" s="32">
        <v>0</v>
      </c>
      <c r="M1199" s="35">
        <f>+J1199+L1199</f>
        <v>-990080</v>
      </c>
      <c r="N1199" s="28" t="s">
        <v>1730</v>
      </c>
      <c r="O1199" s="29" t="s">
        <v>1731</v>
      </c>
      <c r="P1199" s="36">
        <v>43444</v>
      </c>
      <c r="Q1199" s="31">
        <v>27565.79</v>
      </c>
      <c r="R1199" s="33">
        <f>M1199/Q1199</f>
        <v>-35.91698260779031</v>
      </c>
    </row>
    <row r="1200" spans="1:18" ht="15" customHeight="1">
      <c r="A1200" s="37" t="s">
        <v>293</v>
      </c>
      <c r="B1200" s="26" t="s">
        <v>294</v>
      </c>
      <c r="C1200" s="39">
        <v>141</v>
      </c>
      <c r="D1200" s="40" t="s">
        <v>1892</v>
      </c>
      <c r="E1200" s="38" t="s">
        <v>3</v>
      </c>
      <c r="F1200" s="38" t="s">
        <v>20</v>
      </c>
      <c r="G1200" s="32">
        <v>415482</v>
      </c>
      <c r="H1200" s="32">
        <v>1410739</v>
      </c>
      <c r="I1200" s="32">
        <v>672492</v>
      </c>
      <c r="J1200" s="35">
        <f>+G1200-H1200+I1200</f>
        <v>-322765</v>
      </c>
      <c r="K1200" s="28">
        <v>0</v>
      </c>
      <c r="L1200" s="32">
        <v>0</v>
      </c>
      <c r="M1200" s="35">
        <f>+J1200+L1200</f>
        <v>-322765</v>
      </c>
      <c r="N1200" s="28" t="s">
        <v>1537</v>
      </c>
      <c r="O1200" s="29" t="s">
        <v>1538</v>
      </c>
      <c r="P1200" s="36">
        <v>43914</v>
      </c>
      <c r="Q1200" s="31">
        <v>28331.86</v>
      </c>
      <c r="R1200" s="33">
        <f>M1200/Q1200</f>
        <v>-11.392298281863598</v>
      </c>
    </row>
    <row r="1201" spans="1:18" ht="15" customHeight="1">
      <c r="A1201" s="37" t="s">
        <v>874</v>
      </c>
      <c r="B1201" s="26" t="s">
        <v>875</v>
      </c>
      <c r="C1201" s="39">
        <v>141</v>
      </c>
      <c r="D1201" s="40" t="s">
        <v>1893</v>
      </c>
      <c r="E1201" s="38" t="s">
        <v>3</v>
      </c>
      <c r="F1201" s="38" t="s">
        <v>13</v>
      </c>
      <c r="G1201" s="32">
        <v>7100095</v>
      </c>
      <c r="H1201" s="32">
        <v>0</v>
      </c>
      <c r="I1201" s="32">
        <v>0</v>
      </c>
      <c r="J1201" s="35">
        <f>+G1201-H1201+I1201</f>
        <v>7100095</v>
      </c>
      <c r="K1201" s="28">
        <v>0</v>
      </c>
      <c r="L1201" s="32">
        <v>0</v>
      </c>
      <c r="M1201" s="35">
        <f>+J1201+L1201</f>
        <v>7100095</v>
      </c>
      <c r="N1201" s="28" t="s">
        <v>1512</v>
      </c>
      <c r="O1201" s="29" t="s">
        <v>1513</v>
      </c>
      <c r="P1201" s="36">
        <v>44972</v>
      </c>
      <c r="Q1201" s="31">
        <v>35378.559999999998</v>
      </c>
      <c r="R1201" s="33">
        <f>M1201/Q1201</f>
        <v>200.68920272617089</v>
      </c>
    </row>
    <row r="1202" spans="1:18" ht="15" customHeight="1">
      <c r="A1202" s="37" t="s">
        <v>39</v>
      </c>
      <c r="B1202" s="26" t="s">
        <v>1658</v>
      </c>
      <c r="C1202" s="39">
        <v>141</v>
      </c>
      <c r="D1202" s="40" t="s">
        <v>1894</v>
      </c>
      <c r="E1202" s="38" t="s">
        <v>4</v>
      </c>
      <c r="F1202" s="38" t="s">
        <v>14</v>
      </c>
      <c r="G1202" s="32">
        <v>991364</v>
      </c>
      <c r="H1202" s="32">
        <v>0</v>
      </c>
      <c r="I1202" s="32">
        <v>334566</v>
      </c>
      <c r="J1202" s="35">
        <f>+G1202-H1202+I1202</f>
        <v>1325930</v>
      </c>
      <c r="K1202" s="28">
        <v>0</v>
      </c>
      <c r="L1202" s="32">
        <v>0</v>
      </c>
      <c r="M1202" s="35">
        <f>+J1202+L1202</f>
        <v>1325930</v>
      </c>
      <c r="N1202" s="28" t="s">
        <v>1742</v>
      </c>
      <c r="O1202" s="29" t="s">
        <v>1743</v>
      </c>
      <c r="P1202" s="36">
        <v>43720</v>
      </c>
      <c r="Q1202" s="31">
        <v>28014.93</v>
      </c>
      <c r="R1202" s="33">
        <f>M1202/Q1202</f>
        <v>47.329406141653756</v>
      </c>
    </row>
    <row r="1203" spans="1:18" ht="15" customHeight="1">
      <c r="A1203" s="37" t="s">
        <v>627</v>
      </c>
      <c r="B1203" s="26" t="s">
        <v>1895</v>
      </c>
      <c r="C1203" s="39">
        <v>20</v>
      </c>
      <c r="D1203" s="40" t="s">
        <v>1896</v>
      </c>
      <c r="E1203" s="38" t="s">
        <v>3</v>
      </c>
      <c r="F1203" s="38" t="s">
        <v>12</v>
      </c>
      <c r="G1203" s="32">
        <v>3084541.79</v>
      </c>
      <c r="H1203" s="32">
        <v>4046087</v>
      </c>
      <c r="I1203" s="32">
        <v>46159914.544766001</v>
      </c>
      <c r="J1203" s="35">
        <f>+G1203-H1203+I1203</f>
        <v>45198369.334766001</v>
      </c>
      <c r="K1203" s="27" t="s">
        <v>1897</v>
      </c>
      <c r="L1203" s="32">
        <v>0</v>
      </c>
      <c r="M1203" s="35">
        <f>+J1203+L1203</f>
        <v>45198369.334766001</v>
      </c>
      <c r="N1203" s="28" t="s">
        <v>1898</v>
      </c>
      <c r="O1203" s="29" t="s">
        <v>1899</v>
      </c>
      <c r="P1203" s="36">
        <v>43829</v>
      </c>
      <c r="Q1203" s="31">
        <v>28309.03</v>
      </c>
      <c r="R1203" s="33">
        <f>M1203/Q1203</f>
        <v>1596.6060770985796</v>
      </c>
    </row>
    <row r="1204" spans="1:18" ht="15" customHeight="1">
      <c r="A1204" s="37" t="s">
        <v>688</v>
      </c>
      <c r="B1204" s="26" t="s">
        <v>1728</v>
      </c>
      <c r="C1204" s="39">
        <v>141</v>
      </c>
      <c r="D1204" s="40" t="s">
        <v>1900</v>
      </c>
      <c r="E1204" s="38" t="s">
        <v>4</v>
      </c>
      <c r="F1204" s="38" t="s">
        <v>13</v>
      </c>
      <c r="G1204" s="32">
        <v>287885</v>
      </c>
      <c r="H1204" s="32">
        <v>523981</v>
      </c>
      <c r="I1204" s="52">
        <v>0</v>
      </c>
      <c r="J1204" s="35">
        <f>+G1204-H1204+I1204</f>
        <v>-236096</v>
      </c>
      <c r="K1204" s="28">
        <v>0</v>
      </c>
      <c r="L1204" s="32">
        <v>0</v>
      </c>
      <c r="M1204" s="35">
        <f>+J1204+L1204</f>
        <v>-236096</v>
      </c>
      <c r="N1204" s="28" t="s">
        <v>1730</v>
      </c>
      <c r="O1204" s="29" t="s">
        <v>1731</v>
      </c>
      <c r="P1204" s="36">
        <v>43444</v>
      </c>
      <c r="Q1204" s="31">
        <v>27565.79</v>
      </c>
      <c r="R1204" s="33">
        <f>M1204/Q1204</f>
        <v>-8.5648189295499968</v>
      </c>
    </row>
    <row r="1205" spans="1:18" ht="15" customHeight="1">
      <c r="A1205" s="37" t="s">
        <v>293</v>
      </c>
      <c r="B1205" s="26" t="s">
        <v>294</v>
      </c>
      <c r="C1205" s="39">
        <v>140</v>
      </c>
      <c r="D1205" s="40" t="s">
        <v>1901</v>
      </c>
      <c r="E1205" s="38" t="s">
        <v>3</v>
      </c>
      <c r="F1205" s="38" t="s">
        <v>12</v>
      </c>
      <c r="G1205" s="32">
        <v>6415368</v>
      </c>
      <c r="H1205" s="32">
        <v>4359171</v>
      </c>
      <c r="I1205" s="32">
        <v>2292636</v>
      </c>
      <c r="J1205" s="35">
        <f>+G1205-H1205+I1205</f>
        <v>4348833</v>
      </c>
      <c r="K1205" s="28">
        <v>0</v>
      </c>
      <c r="L1205" s="32">
        <v>0</v>
      </c>
      <c r="M1205" s="35">
        <f>+J1205+L1205</f>
        <v>4348833</v>
      </c>
      <c r="N1205" s="28" t="s">
        <v>1537</v>
      </c>
      <c r="O1205" s="29" t="s">
        <v>1538</v>
      </c>
      <c r="P1205" s="36">
        <v>43914</v>
      </c>
      <c r="Q1205" s="31">
        <v>28331.86</v>
      </c>
      <c r="R1205" s="33">
        <f>M1205/Q1205</f>
        <v>153.49620533208903</v>
      </c>
    </row>
    <row r="1206" spans="1:18" ht="15" customHeight="1">
      <c r="A1206" s="37" t="s">
        <v>874</v>
      </c>
      <c r="B1206" s="26" t="s">
        <v>875</v>
      </c>
      <c r="C1206" s="39">
        <v>140</v>
      </c>
      <c r="D1206" s="40" t="s">
        <v>1902</v>
      </c>
      <c r="E1206" s="38" t="s">
        <v>3</v>
      </c>
      <c r="F1206" s="38" t="s">
        <v>13</v>
      </c>
      <c r="G1206" s="32">
        <v>25262564</v>
      </c>
      <c r="H1206" s="32">
        <v>17916149</v>
      </c>
      <c r="I1206" s="32">
        <v>8762193</v>
      </c>
      <c r="J1206" s="35">
        <f>+G1206-H1206+I1206</f>
        <v>16108608</v>
      </c>
      <c r="K1206" s="28">
        <v>0</v>
      </c>
      <c r="L1206" s="32">
        <v>0</v>
      </c>
      <c r="M1206" s="35">
        <f>+J1206+L1206</f>
        <v>16108608</v>
      </c>
      <c r="N1206" s="28" t="s">
        <v>1512</v>
      </c>
      <c r="O1206" s="29" t="s">
        <v>1513</v>
      </c>
      <c r="P1206" s="36">
        <v>44972</v>
      </c>
      <c r="Q1206" s="31">
        <v>35378.559999999998</v>
      </c>
      <c r="R1206" s="33">
        <f>M1206/Q1206</f>
        <v>455.32118887823589</v>
      </c>
    </row>
    <row r="1207" spans="1:18" ht="15" customHeight="1">
      <c r="A1207" s="37" t="s">
        <v>356</v>
      </c>
      <c r="B1207" s="26" t="s">
        <v>1841</v>
      </c>
      <c r="C1207" s="39">
        <v>140</v>
      </c>
      <c r="D1207" s="40" t="s">
        <v>1903</v>
      </c>
      <c r="E1207" s="38" t="s">
        <v>4</v>
      </c>
      <c r="F1207" s="38" t="s">
        <v>12</v>
      </c>
      <c r="G1207" s="32">
        <v>0</v>
      </c>
      <c r="H1207" s="32">
        <v>5033646</v>
      </c>
      <c r="I1207" s="32">
        <v>15761692</v>
      </c>
      <c r="J1207" s="35">
        <f>+G1207-H1207+I1207</f>
        <v>10728046</v>
      </c>
      <c r="K1207" s="28">
        <v>0</v>
      </c>
      <c r="L1207" s="32">
        <v>0</v>
      </c>
      <c r="M1207" s="35">
        <f>+J1207+L1207</f>
        <v>10728046</v>
      </c>
      <c r="N1207" s="28" t="s">
        <v>1843</v>
      </c>
      <c r="O1207" s="29" t="s">
        <v>1844</v>
      </c>
      <c r="P1207" s="36">
        <v>44405</v>
      </c>
      <c r="Q1207" s="31">
        <v>29754.76</v>
      </c>
      <c r="R1207" s="33">
        <f>M1207/Q1207</f>
        <v>360.54890041122832</v>
      </c>
    </row>
    <row r="1208" spans="1:18" ht="15" customHeight="1">
      <c r="A1208" s="37" t="s">
        <v>39</v>
      </c>
      <c r="B1208" s="26" t="s">
        <v>1658</v>
      </c>
      <c r="C1208" s="39">
        <v>140</v>
      </c>
      <c r="D1208" s="40" t="s">
        <v>1904</v>
      </c>
      <c r="E1208" s="38" t="s">
        <v>4</v>
      </c>
      <c r="F1208" s="38" t="s">
        <v>11</v>
      </c>
      <c r="G1208" s="32">
        <v>0</v>
      </c>
      <c r="H1208" s="32">
        <v>4428051</v>
      </c>
      <c r="I1208" s="32">
        <v>27196223</v>
      </c>
      <c r="J1208" s="35">
        <f>+G1208-H1208+I1208</f>
        <v>22768172</v>
      </c>
      <c r="K1208" s="28">
        <v>0</v>
      </c>
      <c r="L1208" s="32">
        <v>0</v>
      </c>
      <c r="M1208" s="35">
        <f>+J1208+L1208</f>
        <v>22768172</v>
      </c>
      <c r="N1208" s="28" t="s">
        <v>1742</v>
      </c>
      <c r="O1208" s="29" t="s">
        <v>1743</v>
      </c>
      <c r="P1208" s="36">
        <v>43720</v>
      </c>
      <c r="Q1208" s="31">
        <v>28014.93</v>
      </c>
      <c r="R1208" s="33">
        <f>M1208/Q1208</f>
        <v>812.71564840604628</v>
      </c>
    </row>
    <row r="1209" spans="1:18" ht="15" customHeight="1">
      <c r="A1209" s="37" t="s">
        <v>688</v>
      </c>
      <c r="B1209" s="26" t="s">
        <v>1728</v>
      </c>
      <c r="C1209" s="39">
        <v>140</v>
      </c>
      <c r="D1209" s="40" t="s">
        <v>1905</v>
      </c>
      <c r="E1209" s="38" t="s">
        <v>4</v>
      </c>
      <c r="F1209" s="38" t="s">
        <v>11</v>
      </c>
      <c r="G1209" s="32">
        <v>0</v>
      </c>
      <c r="H1209" s="32">
        <v>2132480</v>
      </c>
      <c r="I1209" s="52">
        <v>0</v>
      </c>
      <c r="J1209" s="35">
        <f>+G1209-H1209+I1209</f>
        <v>-2132480</v>
      </c>
      <c r="K1209" s="28">
        <v>0</v>
      </c>
      <c r="L1209" s="32">
        <v>0</v>
      </c>
      <c r="M1209" s="35">
        <f>+J1209+L1209</f>
        <v>-2132480</v>
      </c>
      <c r="N1209" s="28" t="s">
        <v>1730</v>
      </c>
      <c r="O1209" s="29" t="s">
        <v>1731</v>
      </c>
      <c r="P1209" s="36">
        <v>43444</v>
      </c>
      <c r="Q1209" s="31">
        <v>27565.79</v>
      </c>
      <c r="R1209" s="33">
        <f>M1209/Q1209</f>
        <v>-77.359654847548356</v>
      </c>
    </row>
    <row r="1210" spans="1:18" ht="15" customHeight="1">
      <c r="A1210" s="37" t="s">
        <v>293</v>
      </c>
      <c r="B1210" s="26" t="s">
        <v>294</v>
      </c>
      <c r="C1210" s="39">
        <v>139</v>
      </c>
      <c r="D1210" s="40" t="s">
        <v>1906</v>
      </c>
      <c r="E1210" s="38" t="s">
        <v>3</v>
      </c>
      <c r="F1210" s="38" t="s">
        <v>20</v>
      </c>
      <c r="G1210" s="32">
        <v>20655050</v>
      </c>
      <c r="H1210" s="32">
        <v>0</v>
      </c>
      <c r="I1210" s="52">
        <v>0</v>
      </c>
      <c r="J1210" s="35">
        <f>+G1210-H1210+I1210</f>
        <v>20655050</v>
      </c>
      <c r="K1210" s="28">
        <v>0</v>
      </c>
      <c r="L1210" s="32">
        <v>0</v>
      </c>
      <c r="M1210" s="35">
        <f>+J1210+L1210</f>
        <v>20655050</v>
      </c>
      <c r="N1210" s="28" t="s">
        <v>1537</v>
      </c>
      <c r="O1210" s="29" t="s">
        <v>1538</v>
      </c>
      <c r="P1210" s="36">
        <v>43914</v>
      </c>
      <c r="Q1210" s="31">
        <v>28331.86</v>
      </c>
      <c r="R1210" s="33">
        <f>M1210/Q1210</f>
        <v>729.03967476897037</v>
      </c>
    </row>
    <row r="1211" spans="1:18" ht="15" customHeight="1">
      <c r="A1211" s="37" t="s">
        <v>356</v>
      </c>
      <c r="B1211" s="26" t="s">
        <v>1841</v>
      </c>
      <c r="C1211" s="39">
        <v>139</v>
      </c>
      <c r="D1211" s="40" t="s">
        <v>1907</v>
      </c>
      <c r="E1211" s="38" t="s">
        <v>4</v>
      </c>
      <c r="F1211" s="38" t="s">
        <v>15</v>
      </c>
      <c r="G1211" s="32">
        <v>19715665</v>
      </c>
      <c r="H1211" s="32">
        <v>53297553</v>
      </c>
      <c r="I1211" s="32">
        <v>20567404</v>
      </c>
      <c r="J1211" s="35">
        <f>+G1211-H1211+I1211</f>
        <v>-13014484</v>
      </c>
      <c r="K1211" s="28">
        <v>0</v>
      </c>
      <c r="L1211" s="32">
        <v>0</v>
      </c>
      <c r="M1211" s="35">
        <f>+J1211+L1211</f>
        <v>-13014484</v>
      </c>
      <c r="N1211" s="28" t="s">
        <v>1843</v>
      </c>
      <c r="O1211" s="29" t="s">
        <v>1844</v>
      </c>
      <c r="P1211" s="36">
        <v>44405</v>
      </c>
      <c r="Q1211" s="31">
        <v>29754.76</v>
      </c>
      <c r="R1211" s="33">
        <f>M1211/Q1211</f>
        <v>-437.39166439252074</v>
      </c>
    </row>
    <row r="1212" spans="1:18" ht="15" customHeight="1">
      <c r="A1212" s="37" t="s">
        <v>356</v>
      </c>
      <c r="B1212" s="26" t="s">
        <v>1540</v>
      </c>
      <c r="C1212" s="39">
        <v>139</v>
      </c>
      <c r="D1212" s="40" t="s">
        <v>1908</v>
      </c>
      <c r="E1212" s="38" t="s">
        <v>4</v>
      </c>
      <c r="F1212" s="38" t="s">
        <v>11</v>
      </c>
      <c r="G1212" s="32">
        <v>0</v>
      </c>
      <c r="H1212" s="32">
        <v>0</v>
      </c>
      <c r="I1212" s="32">
        <v>1780083</v>
      </c>
      <c r="J1212" s="35">
        <f>+G1212-H1212+I1212</f>
        <v>1780083</v>
      </c>
      <c r="K1212" s="28">
        <v>0</v>
      </c>
      <c r="L1212" s="32">
        <v>0</v>
      </c>
      <c r="M1212" s="35">
        <f>+J1212+L1212</f>
        <v>1780083</v>
      </c>
      <c r="N1212" s="28" t="s">
        <v>1632</v>
      </c>
      <c r="O1212" s="29" t="s">
        <v>1543</v>
      </c>
      <c r="P1212" s="36">
        <v>43336</v>
      </c>
      <c r="Q1212" s="31">
        <v>27262.98</v>
      </c>
      <c r="R1212" s="33">
        <f>M1212/Q1212</f>
        <v>65.29304573454553</v>
      </c>
    </row>
    <row r="1213" spans="1:18" ht="15" customHeight="1">
      <c r="A1213" s="37" t="s">
        <v>39</v>
      </c>
      <c r="B1213" s="26" t="s">
        <v>1658</v>
      </c>
      <c r="C1213" s="39">
        <v>139</v>
      </c>
      <c r="D1213" s="40" t="s">
        <v>1909</v>
      </c>
      <c r="E1213" s="38" t="s">
        <v>4</v>
      </c>
      <c r="F1213" s="38" t="s">
        <v>11</v>
      </c>
      <c r="G1213" s="32">
        <v>1809443</v>
      </c>
      <c r="H1213" s="32">
        <v>0</v>
      </c>
      <c r="I1213" s="52">
        <v>0</v>
      </c>
      <c r="J1213" s="35">
        <f>+G1213-H1213+I1213</f>
        <v>1809443</v>
      </c>
      <c r="K1213" s="28">
        <v>0</v>
      </c>
      <c r="L1213" s="32">
        <v>0</v>
      </c>
      <c r="M1213" s="35">
        <f>+J1213+L1213</f>
        <v>1809443</v>
      </c>
      <c r="N1213" s="28" t="s">
        <v>1742</v>
      </c>
      <c r="O1213" s="29" t="s">
        <v>1743</v>
      </c>
      <c r="P1213" s="36">
        <v>43720</v>
      </c>
      <c r="Q1213" s="31">
        <v>28014.93</v>
      </c>
      <c r="R1213" s="33">
        <f>M1213/Q1213</f>
        <v>64.588524761618174</v>
      </c>
    </row>
    <row r="1214" spans="1:18" ht="15" customHeight="1">
      <c r="A1214" s="37" t="s">
        <v>688</v>
      </c>
      <c r="B1214" s="26" t="s">
        <v>1728</v>
      </c>
      <c r="C1214" s="39">
        <v>139</v>
      </c>
      <c r="D1214" s="40" t="s">
        <v>1910</v>
      </c>
      <c r="E1214" s="38" t="s">
        <v>4</v>
      </c>
      <c r="F1214" s="38" t="s">
        <v>11</v>
      </c>
      <c r="G1214" s="32">
        <v>0</v>
      </c>
      <c r="H1214" s="32">
        <v>525504</v>
      </c>
      <c r="I1214" s="52">
        <v>0</v>
      </c>
      <c r="J1214" s="35">
        <f>+G1214-H1214+I1214</f>
        <v>-525504</v>
      </c>
      <c r="K1214" s="28">
        <v>0</v>
      </c>
      <c r="L1214" s="32">
        <v>0</v>
      </c>
      <c r="M1214" s="35">
        <f>+J1214+L1214</f>
        <v>-525504</v>
      </c>
      <c r="N1214" s="28" t="s">
        <v>1730</v>
      </c>
      <c r="O1214" s="29" t="s">
        <v>1731</v>
      </c>
      <c r="P1214" s="36">
        <v>43444</v>
      </c>
      <c r="Q1214" s="31">
        <v>27565.79</v>
      </c>
      <c r="R1214" s="33">
        <f>M1214/Q1214</f>
        <v>-19.063629230288701</v>
      </c>
    </row>
    <row r="1215" spans="1:18" ht="15" customHeight="1">
      <c r="A1215" s="37" t="s">
        <v>39</v>
      </c>
      <c r="B1215" s="26" t="s">
        <v>1658</v>
      </c>
      <c r="C1215" s="39">
        <v>138</v>
      </c>
      <c r="D1215" s="40" t="s">
        <v>1911</v>
      </c>
      <c r="E1215" s="38" t="s">
        <v>4</v>
      </c>
      <c r="F1215" s="38" t="s">
        <v>10</v>
      </c>
      <c r="G1215" s="32">
        <v>2566995</v>
      </c>
      <c r="H1215" s="32">
        <v>0</v>
      </c>
      <c r="I1215" s="52">
        <v>0</v>
      </c>
      <c r="J1215" s="35">
        <f>+G1215-H1215+I1215</f>
        <v>2566995</v>
      </c>
      <c r="K1215" s="28">
        <v>0</v>
      </c>
      <c r="L1215" s="32">
        <v>0</v>
      </c>
      <c r="M1215" s="35">
        <f>+J1215+L1215</f>
        <v>2566995</v>
      </c>
      <c r="N1215" s="28" t="s">
        <v>1742</v>
      </c>
      <c r="O1215" s="29" t="s">
        <v>1743</v>
      </c>
      <c r="P1215" s="36">
        <v>43720</v>
      </c>
      <c r="Q1215" s="31">
        <v>28014.93</v>
      </c>
      <c r="R1215" s="33">
        <f>M1215/Q1215</f>
        <v>91.62953468025799</v>
      </c>
    </row>
    <row r="1216" spans="1:18" ht="15" customHeight="1">
      <c r="A1216" s="37" t="s">
        <v>688</v>
      </c>
      <c r="B1216" s="26" t="s">
        <v>1728</v>
      </c>
      <c r="C1216" s="39">
        <v>138</v>
      </c>
      <c r="D1216" s="40" t="s">
        <v>1912</v>
      </c>
      <c r="E1216" s="38" t="s">
        <v>3</v>
      </c>
      <c r="F1216" s="38" t="s">
        <v>11</v>
      </c>
      <c r="G1216" s="32">
        <v>0</v>
      </c>
      <c r="H1216" s="32">
        <v>5108813</v>
      </c>
      <c r="I1216" s="52">
        <v>0</v>
      </c>
      <c r="J1216" s="35">
        <f>+G1216-H1216+I1216</f>
        <v>-5108813</v>
      </c>
      <c r="K1216" s="28">
        <v>0</v>
      </c>
      <c r="L1216" s="32">
        <v>0</v>
      </c>
      <c r="M1216" s="35">
        <f>+J1216+L1216</f>
        <v>-5108813</v>
      </c>
      <c r="N1216" s="28" t="s">
        <v>1730</v>
      </c>
      <c r="O1216" s="29" t="s">
        <v>1731</v>
      </c>
      <c r="P1216" s="36">
        <v>43444</v>
      </c>
      <c r="Q1216" s="31">
        <v>27565.79</v>
      </c>
      <c r="R1216" s="33">
        <f>M1216/Q1216</f>
        <v>-185.33163751156778</v>
      </c>
    </row>
    <row r="1217" spans="1:18" ht="15" customHeight="1">
      <c r="A1217" s="37" t="s">
        <v>293</v>
      </c>
      <c r="B1217" s="26" t="s">
        <v>294</v>
      </c>
      <c r="C1217" s="39">
        <v>137</v>
      </c>
      <c r="D1217" s="40" t="s">
        <v>1913</v>
      </c>
      <c r="E1217" s="38" t="s">
        <v>6</v>
      </c>
      <c r="F1217" s="38" t="s">
        <v>20</v>
      </c>
      <c r="G1217" s="32">
        <v>4609668</v>
      </c>
      <c r="H1217" s="32">
        <v>1094310</v>
      </c>
      <c r="I1217" s="32">
        <v>11432362</v>
      </c>
      <c r="J1217" s="35">
        <f>+G1217-H1217+I1217</f>
        <v>14947720</v>
      </c>
      <c r="K1217" s="28">
        <v>0</v>
      </c>
      <c r="L1217" s="32">
        <v>0</v>
      </c>
      <c r="M1217" s="35">
        <f>+J1217+L1217</f>
        <v>14947720</v>
      </c>
      <c r="N1217" s="28" t="s">
        <v>1537</v>
      </c>
      <c r="O1217" s="29" t="s">
        <v>1538</v>
      </c>
      <c r="P1217" s="36">
        <v>43914</v>
      </c>
      <c r="Q1217" s="31">
        <v>28331.86</v>
      </c>
      <c r="R1217" s="33">
        <f>M1217/Q1217</f>
        <v>527.59402312449663</v>
      </c>
    </row>
    <row r="1218" spans="1:18" ht="15" customHeight="1">
      <c r="A1218" s="37" t="s">
        <v>391</v>
      </c>
      <c r="B1218" s="26" t="s">
        <v>392</v>
      </c>
      <c r="C1218" s="39">
        <v>82</v>
      </c>
      <c r="D1218" s="40" t="s">
        <v>1914</v>
      </c>
      <c r="E1218" s="38" t="s">
        <v>4</v>
      </c>
      <c r="F1218" s="38" t="s">
        <v>13</v>
      </c>
      <c r="G1218" s="32">
        <v>3268027</v>
      </c>
      <c r="H1218" s="32">
        <v>0</v>
      </c>
      <c r="I1218" s="52">
        <v>0</v>
      </c>
      <c r="J1218" s="35">
        <f>+G1218-H1218+I1218</f>
        <v>3268027</v>
      </c>
      <c r="K1218" s="27"/>
      <c r="L1218" s="32">
        <v>0</v>
      </c>
      <c r="M1218" s="35">
        <f>+J1218+L1218</f>
        <v>3268027</v>
      </c>
      <c r="N1218" s="28" t="s">
        <v>765</v>
      </c>
      <c r="O1218" s="29" t="s">
        <v>766</v>
      </c>
      <c r="P1218" s="36">
        <v>44140</v>
      </c>
      <c r="Q1218" s="31">
        <v>28866.47</v>
      </c>
      <c r="R1218" s="33">
        <f>M1218/Q1218</f>
        <v>113.21186830256696</v>
      </c>
    </row>
    <row r="1219" spans="1:18" ht="15" customHeight="1">
      <c r="A1219" s="37" t="s">
        <v>874</v>
      </c>
      <c r="B1219" s="26" t="s">
        <v>875</v>
      </c>
      <c r="C1219" s="39">
        <v>137</v>
      </c>
      <c r="D1219" s="40" t="s">
        <v>1915</v>
      </c>
      <c r="E1219" s="38" t="s">
        <v>3</v>
      </c>
      <c r="F1219" s="38" t="s">
        <v>11</v>
      </c>
      <c r="G1219" s="32">
        <v>311304</v>
      </c>
      <c r="H1219" s="32">
        <v>0</v>
      </c>
      <c r="I1219" s="32">
        <v>0</v>
      </c>
      <c r="J1219" s="35">
        <f>+G1219-H1219+I1219</f>
        <v>311304</v>
      </c>
      <c r="K1219" s="28">
        <v>0</v>
      </c>
      <c r="L1219" s="32">
        <v>0</v>
      </c>
      <c r="M1219" s="35">
        <f>+J1219+L1219</f>
        <v>311304</v>
      </c>
      <c r="N1219" s="28" t="s">
        <v>1512</v>
      </c>
      <c r="O1219" s="29" t="s">
        <v>1513</v>
      </c>
      <c r="P1219" s="36">
        <v>44972</v>
      </c>
      <c r="Q1219" s="31">
        <v>35378.559999999998</v>
      </c>
      <c r="R1219" s="33">
        <f>M1219/Q1219</f>
        <v>8.7992275547676346</v>
      </c>
    </row>
    <row r="1220" spans="1:18" ht="15" customHeight="1">
      <c r="A1220" s="37" t="s">
        <v>39</v>
      </c>
      <c r="B1220" s="26" t="s">
        <v>1658</v>
      </c>
      <c r="C1220" s="39">
        <v>137</v>
      </c>
      <c r="D1220" s="40" t="s">
        <v>1916</v>
      </c>
      <c r="E1220" s="38" t="s">
        <v>3</v>
      </c>
      <c r="F1220" s="38" t="s">
        <v>10</v>
      </c>
      <c r="G1220" s="32">
        <v>0</v>
      </c>
      <c r="H1220" s="32">
        <v>0</v>
      </c>
      <c r="I1220" s="32">
        <v>1731076</v>
      </c>
      <c r="J1220" s="35">
        <f>+G1220-H1220+I1220</f>
        <v>1731076</v>
      </c>
      <c r="K1220" s="28">
        <v>0</v>
      </c>
      <c r="L1220" s="32">
        <v>0</v>
      </c>
      <c r="M1220" s="35">
        <f>+J1220+L1220</f>
        <v>1731076</v>
      </c>
      <c r="N1220" s="28" t="s">
        <v>1917</v>
      </c>
      <c r="O1220" s="29" t="s">
        <v>1918</v>
      </c>
      <c r="P1220" s="36">
        <v>43495</v>
      </c>
      <c r="Q1220" s="31">
        <v>27547.11</v>
      </c>
      <c r="R1220" s="33">
        <f>M1220/Q1220</f>
        <v>62.840566578490446</v>
      </c>
    </row>
    <row r="1221" spans="1:18" ht="15" customHeight="1">
      <c r="A1221" s="37" t="s">
        <v>688</v>
      </c>
      <c r="B1221" s="26" t="s">
        <v>1728</v>
      </c>
      <c r="C1221" s="39">
        <v>137</v>
      </c>
      <c r="D1221" s="40" t="s">
        <v>1919</v>
      </c>
      <c r="E1221" s="38" t="s">
        <v>3</v>
      </c>
      <c r="F1221" s="38" t="s">
        <v>11</v>
      </c>
      <c r="G1221" s="32">
        <v>0</v>
      </c>
      <c r="H1221" s="32">
        <v>3655680</v>
      </c>
      <c r="I1221" s="52">
        <v>0</v>
      </c>
      <c r="J1221" s="35">
        <f>+G1221-H1221+I1221</f>
        <v>-3655680</v>
      </c>
      <c r="K1221" s="28">
        <v>0</v>
      </c>
      <c r="L1221" s="32">
        <v>0</v>
      </c>
      <c r="M1221" s="35">
        <f>+J1221+L1221</f>
        <v>-3655680</v>
      </c>
      <c r="N1221" s="28" t="s">
        <v>1730</v>
      </c>
      <c r="O1221" s="29" t="s">
        <v>1731</v>
      </c>
      <c r="P1221" s="36">
        <v>43444</v>
      </c>
      <c r="Q1221" s="31">
        <v>27565.79</v>
      </c>
      <c r="R1221" s="33">
        <f>M1221/Q1221</f>
        <v>-132.61655116722574</v>
      </c>
    </row>
    <row r="1222" spans="1:18" ht="15" customHeight="1">
      <c r="A1222" s="37" t="s">
        <v>293</v>
      </c>
      <c r="B1222" s="26" t="s">
        <v>294</v>
      </c>
      <c r="C1222" s="39">
        <v>136</v>
      </c>
      <c r="D1222" s="40" t="s">
        <v>1920</v>
      </c>
      <c r="E1222" s="38" t="s">
        <v>3</v>
      </c>
      <c r="F1222" s="38" t="s">
        <v>15</v>
      </c>
      <c r="G1222" s="32">
        <v>31036944</v>
      </c>
      <c r="H1222" s="32">
        <v>595180</v>
      </c>
      <c r="I1222" s="52">
        <v>0</v>
      </c>
      <c r="J1222" s="35">
        <f>+G1222-H1222+I1222</f>
        <v>30441764</v>
      </c>
      <c r="K1222" s="28">
        <v>0</v>
      </c>
      <c r="L1222" s="32">
        <v>0</v>
      </c>
      <c r="M1222" s="35">
        <f>+J1222+L1222</f>
        <v>30441764</v>
      </c>
      <c r="N1222" s="28" t="s">
        <v>1567</v>
      </c>
      <c r="O1222" s="29" t="s">
        <v>1568</v>
      </c>
      <c r="P1222" s="36">
        <v>43886</v>
      </c>
      <c r="Q1222" s="31">
        <v>28440.19</v>
      </c>
      <c r="R1222" s="33">
        <f>M1222/Q1222</f>
        <v>1070.378362451165</v>
      </c>
    </row>
    <row r="1223" spans="1:18" ht="15" customHeight="1">
      <c r="A1223" s="37" t="s">
        <v>874</v>
      </c>
      <c r="B1223" s="26" t="s">
        <v>875</v>
      </c>
      <c r="C1223" s="39">
        <v>136</v>
      </c>
      <c r="D1223" s="40" t="s">
        <v>1921</v>
      </c>
      <c r="E1223" s="38" t="s">
        <v>3</v>
      </c>
      <c r="F1223" s="38" t="s">
        <v>13</v>
      </c>
      <c r="G1223" s="32">
        <v>4281420</v>
      </c>
      <c r="H1223" s="32">
        <v>0</v>
      </c>
      <c r="I1223" s="32">
        <v>137130</v>
      </c>
      <c r="J1223" s="35">
        <f>+G1223-H1223+I1223</f>
        <v>4418550</v>
      </c>
      <c r="K1223" s="28">
        <v>0</v>
      </c>
      <c r="L1223" s="32">
        <v>0</v>
      </c>
      <c r="M1223" s="35">
        <f>+J1223+L1223</f>
        <v>4418550</v>
      </c>
      <c r="N1223" s="28" t="s">
        <v>1512</v>
      </c>
      <c r="O1223" s="29" t="s">
        <v>1513</v>
      </c>
      <c r="P1223" s="36">
        <v>44972</v>
      </c>
      <c r="Q1223" s="31">
        <v>35378.559999999998</v>
      </c>
      <c r="R1223" s="33">
        <f>M1223/Q1223</f>
        <v>124.89343828578666</v>
      </c>
    </row>
    <row r="1224" spans="1:18" ht="15" customHeight="1">
      <c r="A1224" s="37" t="s">
        <v>356</v>
      </c>
      <c r="B1224" s="26" t="s">
        <v>1841</v>
      </c>
      <c r="C1224" s="39">
        <v>136</v>
      </c>
      <c r="D1224" s="40" t="s">
        <v>1922</v>
      </c>
      <c r="E1224" s="38" t="s">
        <v>3</v>
      </c>
      <c r="F1224" s="38" t="s">
        <v>12</v>
      </c>
      <c r="G1224" s="32">
        <v>1109629</v>
      </c>
      <c r="H1224" s="32">
        <v>2371863</v>
      </c>
      <c r="I1224" s="32">
        <v>6536394</v>
      </c>
      <c r="J1224" s="35">
        <f>+G1224-H1224+I1224</f>
        <v>5274160</v>
      </c>
      <c r="K1224" s="28">
        <v>0</v>
      </c>
      <c r="L1224" s="32">
        <v>0</v>
      </c>
      <c r="M1224" s="35">
        <f>+J1224+L1224</f>
        <v>5274160</v>
      </c>
      <c r="N1224" s="28" t="s">
        <v>1843</v>
      </c>
      <c r="O1224" s="29" t="s">
        <v>1844</v>
      </c>
      <c r="P1224" s="36">
        <v>44405</v>
      </c>
      <c r="Q1224" s="31">
        <v>29754.76</v>
      </c>
      <c r="R1224" s="33">
        <f>M1224/Q1224</f>
        <v>177.25432838308896</v>
      </c>
    </row>
    <row r="1225" spans="1:18" ht="15" customHeight="1">
      <c r="A1225" s="37" t="s">
        <v>39</v>
      </c>
      <c r="B1225" s="26" t="s">
        <v>1658</v>
      </c>
      <c r="C1225" s="39">
        <v>136</v>
      </c>
      <c r="D1225" s="40" t="s">
        <v>1923</v>
      </c>
      <c r="E1225" s="38" t="s">
        <v>4</v>
      </c>
      <c r="F1225" s="38" t="s">
        <v>11</v>
      </c>
      <c r="G1225" s="32">
        <v>0</v>
      </c>
      <c r="H1225" s="32">
        <v>0</v>
      </c>
      <c r="I1225" s="32">
        <v>1869734</v>
      </c>
      <c r="J1225" s="35">
        <f>+G1225-H1225+I1225</f>
        <v>1869734</v>
      </c>
      <c r="K1225" s="28">
        <v>0</v>
      </c>
      <c r="L1225" s="32">
        <v>0</v>
      </c>
      <c r="M1225" s="35">
        <f>+J1225+L1225</f>
        <v>1869734</v>
      </c>
      <c r="N1225" s="28" t="s">
        <v>1917</v>
      </c>
      <c r="O1225" s="29" t="s">
        <v>1918</v>
      </c>
      <c r="P1225" s="36">
        <v>43495</v>
      </c>
      <c r="Q1225" s="31">
        <v>27547.11</v>
      </c>
      <c r="R1225" s="33">
        <f>M1225/Q1225</f>
        <v>67.874052849827081</v>
      </c>
    </row>
    <row r="1226" spans="1:18" ht="15" customHeight="1">
      <c r="A1226" s="37" t="s">
        <v>688</v>
      </c>
      <c r="B1226" s="26" t="s">
        <v>1728</v>
      </c>
      <c r="C1226" s="39">
        <v>136</v>
      </c>
      <c r="D1226" s="40" t="s">
        <v>1924</v>
      </c>
      <c r="E1226" s="38" t="s">
        <v>3</v>
      </c>
      <c r="F1226" s="38" t="s">
        <v>11</v>
      </c>
      <c r="G1226" s="32">
        <v>0</v>
      </c>
      <c r="H1226" s="32">
        <v>3436339</v>
      </c>
      <c r="I1226" s="32">
        <v>119571</v>
      </c>
      <c r="J1226" s="35">
        <f>+G1226-H1226+I1226</f>
        <v>-3316768</v>
      </c>
      <c r="K1226" s="28">
        <v>0</v>
      </c>
      <c r="L1226" s="32">
        <v>0</v>
      </c>
      <c r="M1226" s="35">
        <f>+J1226+L1226</f>
        <v>-3316768</v>
      </c>
      <c r="N1226" s="28" t="s">
        <v>1730</v>
      </c>
      <c r="O1226" s="29" t="s">
        <v>1731</v>
      </c>
      <c r="P1226" s="36">
        <v>43444</v>
      </c>
      <c r="Q1226" s="31">
        <v>27565.79</v>
      </c>
      <c r="R1226" s="33">
        <f>M1226/Q1226</f>
        <v>-120.32189173609753</v>
      </c>
    </row>
    <row r="1227" spans="1:18" ht="15" customHeight="1">
      <c r="A1227" s="37" t="s">
        <v>293</v>
      </c>
      <c r="B1227" s="26" t="s">
        <v>294</v>
      </c>
      <c r="C1227" s="39">
        <v>135</v>
      </c>
      <c r="D1227" s="40" t="s">
        <v>1925</v>
      </c>
      <c r="E1227" s="38" t="s">
        <v>4</v>
      </c>
      <c r="F1227" s="38" t="s">
        <v>18</v>
      </c>
      <c r="G1227" s="32">
        <v>80855</v>
      </c>
      <c r="H1227" s="32">
        <v>186117</v>
      </c>
      <c r="I1227" s="52">
        <v>0</v>
      </c>
      <c r="J1227" s="35">
        <f>+G1227-H1227+I1227</f>
        <v>-105262</v>
      </c>
      <c r="K1227" s="28">
        <v>0</v>
      </c>
      <c r="L1227" s="32">
        <v>0</v>
      </c>
      <c r="M1227" s="35">
        <f>+J1227+L1227</f>
        <v>-105262</v>
      </c>
      <c r="N1227" s="28" t="s">
        <v>1537</v>
      </c>
      <c r="O1227" s="29" t="s">
        <v>1538</v>
      </c>
      <c r="P1227" s="36">
        <v>43914</v>
      </c>
      <c r="Q1227" s="31">
        <v>28331.86</v>
      </c>
      <c r="R1227" s="33">
        <f>M1227/Q1227</f>
        <v>-3.7153226085403501</v>
      </c>
    </row>
    <row r="1228" spans="1:18" ht="15" customHeight="1">
      <c r="A1228" s="37" t="s">
        <v>874</v>
      </c>
      <c r="B1228" s="26" t="s">
        <v>875</v>
      </c>
      <c r="C1228" s="39">
        <v>135</v>
      </c>
      <c r="D1228" s="40" t="s">
        <v>1926</v>
      </c>
      <c r="E1228" s="38" t="s">
        <v>3</v>
      </c>
      <c r="F1228" s="38" t="s">
        <v>11</v>
      </c>
      <c r="G1228" s="32">
        <v>0</v>
      </c>
      <c r="H1228" s="32">
        <v>0</v>
      </c>
      <c r="I1228" s="32">
        <v>1751377</v>
      </c>
      <c r="J1228" s="35">
        <f>+G1228-H1228+I1228</f>
        <v>1751377</v>
      </c>
      <c r="K1228" s="28">
        <v>0</v>
      </c>
      <c r="L1228" s="32">
        <v>0</v>
      </c>
      <c r="M1228" s="35">
        <f>+J1228+L1228</f>
        <v>1751377</v>
      </c>
      <c r="N1228" s="28" t="s">
        <v>1512</v>
      </c>
      <c r="O1228" s="29" t="s">
        <v>1513</v>
      </c>
      <c r="P1228" s="36">
        <v>44972</v>
      </c>
      <c r="Q1228" s="31">
        <v>35378.559999999998</v>
      </c>
      <c r="R1228" s="33">
        <f>M1228/Q1228</f>
        <v>49.503908581920804</v>
      </c>
    </row>
    <row r="1229" spans="1:18" ht="15" customHeight="1">
      <c r="A1229" s="37" t="s">
        <v>356</v>
      </c>
      <c r="B1229" s="26" t="s">
        <v>1841</v>
      </c>
      <c r="C1229" s="39">
        <v>135</v>
      </c>
      <c r="D1229" s="40" t="s">
        <v>1927</v>
      </c>
      <c r="E1229" s="38" t="s">
        <v>3</v>
      </c>
      <c r="F1229" s="38" t="s">
        <v>13</v>
      </c>
      <c r="G1229" s="32">
        <v>384182</v>
      </c>
      <c r="H1229" s="32">
        <v>0</v>
      </c>
      <c r="I1229" s="32">
        <v>1787430</v>
      </c>
      <c r="J1229" s="35">
        <f>+G1229-H1229+I1229</f>
        <v>2171612</v>
      </c>
      <c r="K1229" s="28">
        <v>0</v>
      </c>
      <c r="L1229" s="32">
        <v>0</v>
      </c>
      <c r="M1229" s="35">
        <f>+J1229+L1229</f>
        <v>2171612</v>
      </c>
      <c r="N1229" s="28" t="s">
        <v>1843</v>
      </c>
      <c r="O1229" s="29" t="s">
        <v>1844</v>
      </c>
      <c r="P1229" s="36">
        <v>44405</v>
      </c>
      <c r="Q1229" s="31">
        <v>29754.76</v>
      </c>
      <c r="R1229" s="33">
        <f>M1229/Q1229</f>
        <v>72.983683955105008</v>
      </c>
    </row>
    <row r="1230" spans="1:18" ht="15" customHeight="1">
      <c r="A1230" s="37" t="s">
        <v>39</v>
      </c>
      <c r="B1230" s="26" t="s">
        <v>1658</v>
      </c>
      <c r="C1230" s="39">
        <v>135</v>
      </c>
      <c r="D1230" s="40" t="s">
        <v>1928</v>
      </c>
      <c r="E1230" s="38" t="s">
        <v>4</v>
      </c>
      <c r="F1230" s="38" t="s">
        <v>11</v>
      </c>
      <c r="G1230" s="32">
        <v>0</v>
      </c>
      <c r="H1230" s="32">
        <v>0</v>
      </c>
      <c r="I1230" s="32">
        <v>3763282</v>
      </c>
      <c r="J1230" s="35">
        <f>+G1230-H1230+I1230</f>
        <v>3763282</v>
      </c>
      <c r="K1230" s="28">
        <v>0</v>
      </c>
      <c r="L1230" s="32">
        <v>0</v>
      </c>
      <c r="M1230" s="35">
        <f>+J1230+L1230</f>
        <v>3763282</v>
      </c>
      <c r="N1230" s="28" t="s">
        <v>1917</v>
      </c>
      <c r="O1230" s="29" t="s">
        <v>1918</v>
      </c>
      <c r="P1230" s="36">
        <v>43495</v>
      </c>
      <c r="Q1230" s="31">
        <v>27547.11</v>
      </c>
      <c r="R1230" s="33">
        <f>M1230/Q1230</f>
        <v>136.61258839856521</v>
      </c>
    </row>
    <row r="1231" spans="1:18" ht="15" customHeight="1">
      <c r="A1231" s="37" t="s">
        <v>688</v>
      </c>
      <c r="B1231" s="26" t="s">
        <v>1728</v>
      </c>
      <c r="C1231" s="39">
        <v>135</v>
      </c>
      <c r="D1231" s="40" t="s">
        <v>1929</v>
      </c>
      <c r="E1231" s="38" t="s">
        <v>3</v>
      </c>
      <c r="F1231" s="38" t="s">
        <v>10</v>
      </c>
      <c r="G1231" s="32">
        <v>31328031</v>
      </c>
      <c r="H1231" s="32">
        <v>24260557</v>
      </c>
      <c r="I1231" s="52">
        <v>0</v>
      </c>
      <c r="J1231" s="35">
        <f>+G1231-H1231+I1231</f>
        <v>7067474</v>
      </c>
      <c r="K1231" s="28">
        <v>0</v>
      </c>
      <c r="L1231" s="32">
        <v>0</v>
      </c>
      <c r="M1231" s="35">
        <f>+J1231+L1231</f>
        <v>7067474</v>
      </c>
      <c r="N1231" s="28" t="s">
        <v>1797</v>
      </c>
      <c r="O1231" s="29" t="s">
        <v>1798</v>
      </c>
      <c r="P1231" s="36">
        <v>43027</v>
      </c>
      <c r="Q1231" s="31">
        <v>26655.55</v>
      </c>
      <c r="R1231" s="33">
        <f>M1231/Q1231</f>
        <v>265.14080557332341</v>
      </c>
    </row>
    <row r="1232" spans="1:18" ht="15" customHeight="1">
      <c r="A1232" s="37" t="s">
        <v>293</v>
      </c>
      <c r="B1232" s="26" t="s">
        <v>294</v>
      </c>
      <c r="C1232" s="39">
        <v>134</v>
      </c>
      <c r="D1232" s="40" t="s">
        <v>1930</v>
      </c>
      <c r="E1232" s="38" t="s">
        <v>3</v>
      </c>
      <c r="F1232" s="38" t="s">
        <v>15</v>
      </c>
      <c r="G1232" s="32">
        <v>40846975</v>
      </c>
      <c r="H1232" s="32">
        <v>39566545</v>
      </c>
      <c r="I1232" s="52">
        <v>0</v>
      </c>
      <c r="J1232" s="35">
        <f>+G1232-H1232+I1232</f>
        <v>1280430</v>
      </c>
      <c r="K1232" s="28">
        <v>0</v>
      </c>
      <c r="L1232" s="32">
        <v>0</v>
      </c>
      <c r="M1232" s="35">
        <f>+J1232+L1232</f>
        <v>1280430</v>
      </c>
      <c r="N1232" s="28" t="s">
        <v>1567</v>
      </c>
      <c r="O1232" s="29" t="s">
        <v>1568</v>
      </c>
      <c r="P1232" s="36">
        <v>43886</v>
      </c>
      <c r="Q1232" s="31">
        <v>28440.19</v>
      </c>
      <c r="R1232" s="33">
        <f>M1232/Q1232</f>
        <v>45.021851119841322</v>
      </c>
    </row>
    <row r="1233" spans="1:18" ht="15" customHeight="1">
      <c r="A1233" s="37" t="s">
        <v>874</v>
      </c>
      <c r="B1233" s="26" t="s">
        <v>875</v>
      </c>
      <c r="C1233" s="39">
        <v>134</v>
      </c>
      <c r="D1233" s="40" t="s">
        <v>1931</v>
      </c>
      <c r="E1233" s="38" t="s">
        <v>3</v>
      </c>
      <c r="F1233" s="38" t="s">
        <v>13</v>
      </c>
      <c r="G1233" s="32">
        <v>726578</v>
      </c>
      <c r="H1233" s="32">
        <v>0</v>
      </c>
      <c r="I1233" s="32">
        <v>0</v>
      </c>
      <c r="J1233" s="35">
        <f>+G1233-H1233+I1233</f>
        <v>726578</v>
      </c>
      <c r="K1233" s="28">
        <v>0</v>
      </c>
      <c r="L1233" s="32">
        <v>0</v>
      </c>
      <c r="M1233" s="35">
        <f>+J1233+L1233</f>
        <v>726578</v>
      </c>
      <c r="N1233" s="28" t="s">
        <v>1512</v>
      </c>
      <c r="O1233" s="29" t="s">
        <v>1513</v>
      </c>
      <c r="P1233" s="36">
        <v>44972</v>
      </c>
      <c r="Q1233" s="31">
        <v>35378.559999999998</v>
      </c>
      <c r="R1233" s="33">
        <f>M1233/Q1233</f>
        <v>20.537240633875435</v>
      </c>
    </row>
    <row r="1234" spans="1:18" ht="15" customHeight="1">
      <c r="A1234" s="37" t="s">
        <v>356</v>
      </c>
      <c r="B1234" s="26" t="s">
        <v>1841</v>
      </c>
      <c r="C1234" s="39">
        <v>134</v>
      </c>
      <c r="D1234" s="40" t="s">
        <v>1932</v>
      </c>
      <c r="E1234" s="38" t="s">
        <v>3</v>
      </c>
      <c r="F1234" s="38" t="s">
        <v>11</v>
      </c>
      <c r="G1234" s="32">
        <v>62266</v>
      </c>
      <c r="H1234" s="32">
        <v>20360</v>
      </c>
      <c r="I1234" s="32">
        <v>5878677</v>
      </c>
      <c r="J1234" s="35">
        <f>+G1234-H1234+I1234</f>
        <v>5920583</v>
      </c>
      <c r="K1234" s="28">
        <v>0</v>
      </c>
      <c r="L1234" s="32">
        <v>0</v>
      </c>
      <c r="M1234" s="35">
        <f>+J1234+L1234</f>
        <v>5920583</v>
      </c>
      <c r="N1234" s="28" t="s">
        <v>1843</v>
      </c>
      <c r="O1234" s="29" t="s">
        <v>1844</v>
      </c>
      <c r="P1234" s="36">
        <v>44405</v>
      </c>
      <c r="Q1234" s="31">
        <v>29754.76</v>
      </c>
      <c r="R1234" s="33">
        <f>M1234/Q1234</f>
        <v>198.9793565802581</v>
      </c>
    </row>
    <row r="1235" spans="1:18" ht="15" customHeight="1">
      <c r="A1235" s="37" t="s">
        <v>39</v>
      </c>
      <c r="B1235" s="26" t="s">
        <v>1658</v>
      </c>
      <c r="C1235" s="39">
        <v>134</v>
      </c>
      <c r="D1235" s="40" t="s">
        <v>1933</v>
      </c>
      <c r="E1235" s="38" t="s">
        <v>3</v>
      </c>
      <c r="F1235" s="38" t="s">
        <v>11</v>
      </c>
      <c r="G1235" s="32">
        <v>0</v>
      </c>
      <c r="H1235" s="32">
        <v>0</v>
      </c>
      <c r="I1235" s="32">
        <v>2455889</v>
      </c>
      <c r="J1235" s="35">
        <f>+G1235-H1235+I1235</f>
        <v>2455889</v>
      </c>
      <c r="K1235" s="28">
        <v>0</v>
      </c>
      <c r="L1235" s="32">
        <v>0</v>
      </c>
      <c r="M1235" s="35">
        <f>+J1235+L1235</f>
        <v>2455889</v>
      </c>
      <c r="N1235" s="28" t="s">
        <v>1917</v>
      </c>
      <c r="O1235" s="29" t="s">
        <v>1918</v>
      </c>
      <c r="P1235" s="36">
        <v>43495</v>
      </c>
      <c r="Q1235" s="31">
        <v>27547.11</v>
      </c>
      <c r="R1235" s="33">
        <f>M1235/Q1235</f>
        <v>89.152328501973528</v>
      </c>
    </row>
    <row r="1236" spans="1:18" ht="15" customHeight="1">
      <c r="A1236" s="37" t="s">
        <v>688</v>
      </c>
      <c r="B1236" s="26" t="s">
        <v>1728</v>
      </c>
      <c r="C1236" s="39">
        <v>134</v>
      </c>
      <c r="D1236" s="40" t="s">
        <v>1934</v>
      </c>
      <c r="E1236" s="38" t="s">
        <v>6</v>
      </c>
      <c r="F1236" s="38" t="s">
        <v>10</v>
      </c>
      <c r="G1236" s="32">
        <v>18994395.391999997</v>
      </c>
      <c r="H1236" s="32">
        <v>0</v>
      </c>
      <c r="I1236" s="32">
        <v>178025888.76799998</v>
      </c>
      <c r="J1236" s="35">
        <f>+G1236-H1236+I1236</f>
        <v>197020284.15999997</v>
      </c>
      <c r="K1236" s="28">
        <v>0</v>
      </c>
      <c r="L1236" s="32">
        <v>0</v>
      </c>
      <c r="M1236" s="35">
        <f>+J1236+L1236</f>
        <v>197020284.15999997</v>
      </c>
      <c r="N1236" s="28" t="s">
        <v>1935</v>
      </c>
      <c r="O1236" s="29" t="s">
        <v>1936</v>
      </c>
      <c r="P1236" s="36">
        <v>42899</v>
      </c>
      <c r="Q1236" s="31">
        <v>26649.99</v>
      </c>
      <c r="R1236" s="33">
        <f>M1236/Q1236</f>
        <v>7392.8839808195034</v>
      </c>
    </row>
    <row r="1237" spans="1:18" ht="15" customHeight="1">
      <c r="A1237" s="37" t="s">
        <v>293</v>
      </c>
      <c r="B1237" s="26" t="s">
        <v>294</v>
      </c>
      <c r="C1237" s="39">
        <v>133</v>
      </c>
      <c r="D1237" s="40" t="s">
        <v>1937</v>
      </c>
      <c r="E1237" s="38" t="s">
        <v>4</v>
      </c>
      <c r="F1237" s="38" t="s">
        <v>12</v>
      </c>
      <c r="G1237" s="32">
        <v>3823650</v>
      </c>
      <c r="H1237" s="32">
        <v>10715516</v>
      </c>
      <c r="I1237" s="32">
        <v>532259</v>
      </c>
      <c r="J1237" s="35">
        <f>+G1237-H1237+I1237</f>
        <v>-6359607</v>
      </c>
      <c r="K1237" s="28">
        <v>0</v>
      </c>
      <c r="L1237" s="32">
        <v>0</v>
      </c>
      <c r="M1237" s="35">
        <f>+J1237+L1237</f>
        <v>-6359607</v>
      </c>
      <c r="N1237" s="28" t="s">
        <v>1537</v>
      </c>
      <c r="O1237" s="29" t="s">
        <v>1538</v>
      </c>
      <c r="P1237" s="36">
        <v>43914</v>
      </c>
      <c r="Q1237" s="31">
        <v>28331.86</v>
      </c>
      <c r="R1237" s="33">
        <f>M1237/Q1237</f>
        <v>-224.46839000333898</v>
      </c>
    </row>
    <row r="1238" spans="1:18" ht="15" customHeight="1">
      <c r="A1238" s="37" t="s">
        <v>356</v>
      </c>
      <c r="B1238" s="26" t="s">
        <v>1540</v>
      </c>
      <c r="C1238" s="39">
        <v>133</v>
      </c>
      <c r="D1238" s="40" t="s">
        <v>1938</v>
      </c>
      <c r="E1238" s="38" t="s">
        <v>3</v>
      </c>
      <c r="F1238" s="38" t="s">
        <v>11</v>
      </c>
      <c r="G1238" s="32">
        <v>1651022.2095712135</v>
      </c>
      <c r="H1238" s="32">
        <v>4037534.8461994347</v>
      </c>
      <c r="I1238" s="52">
        <v>0</v>
      </c>
      <c r="J1238" s="35">
        <f>+G1238-H1238+I1238</f>
        <v>-2386512.6366282213</v>
      </c>
      <c r="K1238" s="28">
        <v>0</v>
      </c>
      <c r="L1238" s="32">
        <v>0</v>
      </c>
      <c r="M1238" s="35">
        <f>+J1238+L1238</f>
        <v>-2386512.6366282213</v>
      </c>
      <c r="N1238" s="28" t="s">
        <v>1939</v>
      </c>
      <c r="O1238" s="29" t="s">
        <v>1940</v>
      </c>
      <c r="P1238" s="36">
        <v>43263</v>
      </c>
      <c r="Q1238" s="31">
        <v>27110</v>
      </c>
      <c r="R1238" s="33">
        <f>M1238/Q1238</f>
        <v>-88.03071326551904</v>
      </c>
    </row>
    <row r="1239" spans="1:18" ht="15" customHeight="1">
      <c r="A1239" s="37" t="s">
        <v>39</v>
      </c>
      <c r="B1239" s="26" t="s">
        <v>1658</v>
      </c>
      <c r="C1239" s="39">
        <v>133</v>
      </c>
      <c r="D1239" s="40" t="s">
        <v>1941</v>
      </c>
      <c r="E1239" s="38" t="s">
        <v>4</v>
      </c>
      <c r="F1239" s="38" t="s">
        <v>11</v>
      </c>
      <c r="G1239" s="32">
        <v>9502601</v>
      </c>
      <c r="H1239" s="32">
        <v>721818</v>
      </c>
      <c r="I1239" s="32">
        <v>813764</v>
      </c>
      <c r="J1239" s="35">
        <f>+G1239-H1239+I1239</f>
        <v>9594547</v>
      </c>
      <c r="K1239" s="28">
        <v>0</v>
      </c>
      <c r="L1239" s="32">
        <v>0</v>
      </c>
      <c r="M1239" s="35">
        <f>+J1239+L1239</f>
        <v>9594547</v>
      </c>
      <c r="N1239" s="28" t="s">
        <v>1917</v>
      </c>
      <c r="O1239" s="29" t="s">
        <v>1918</v>
      </c>
      <c r="P1239" s="36">
        <v>43495</v>
      </c>
      <c r="Q1239" s="31">
        <v>27547.11</v>
      </c>
      <c r="R1239" s="33">
        <f>M1239/Q1239</f>
        <v>348.295955546698</v>
      </c>
    </row>
    <row r="1240" spans="1:18" ht="15" customHeight="1">
      <c r="A1240" s="37" t="s">
        <v>688</v>
      </c>
      <c r="B1240" s="26" t="s">
        <v>1728</v>
      </c>
      <c r="C1240" s="39">
        <v>133</v>
      </c>
      <c r="D1240" s="40" t="s">
        <v>1942</v>
      </c>
      <c r="E1240" s="38" t="s">
        <v>4</v>
      </c>
      <c r="F1240" s="38" t="s">
        <v>10</v>
      </c>
      <c r="G1240" s="32">
        <v>0</v>
      </c>
      <c r="H1240" s="32">
        <v>71159048.038399994</v>
      </c>
      <c r="I1240" s="32">
        <v>97217519.5264</v>
      </c>
      <c r="J1240" s="35">
        <f>+G1240-H1240+I1240</f>
        <v>26058471.488000005</v>
      </c>
      <c r="K1240" s="28">
        <v>0</v>
      </c>
      <c r="L1240" s="32">
        <v>0</v>
      </c>
      <c r="M1240" s="35">
        <f>+J1240+L1240</f>
        <v>26058471.488000005</v>
      </c>
      <c r="N1240" s="28" t="s">
        <v>1935</v>
      </c>
      <c r="O1240" s="29" t="s">
        <v>1936</v>
      </c>
      <c r="P1240" s="36">
        <v>42899</v>
      </c>
      <c r="Q1240" s="31">
        <v>26649.99</v>
      </c>
      <c r="R1240" s="33">
        <f>M1240/Q1240</f>
        <v>977.80417508599453</v>
      </c>
    </row>
    <row r="1241" spans="1:18" ht="15" customHeight="1">
      <c r="A1241" s="37" t="s">
        <v>293</v>
      </c>
      <c r="B1241" s="26" t="s">
        <v>294</v>
      </c>
      <c r="C1241" s="39">
        <v>132</v>
      </c>
      <c r="D1241" s="40" t="s">
        <v>1943</v>
      </c>
      <c r="E1241" s="38" t="s">
        <v>3</v>
      </c>
      <c r="F1241" s="38" t="s">
        <v>12</v>
      </c>
      <c r="G1241" s="32">
        <v>9229907</v>
      </c>
      <c r="H1241" s="32">
        <v>414431</v>
      </c>
      <c r="I1241" s="32">
        <v>1277422</v>
      </c>
      <c r="J1241" s="35">
        <f>+G1241-H1241+I1241</f>
        <v>10092898</v>
      </c>
      <c r="K1241" s="28">
        <v>0</v>
      </c>
      <c r="L1241" s="32">
        <v>0</v>
      </c>
      <c r="M1241" s="35">
        <f>+J1241+L1241</f>
        <v>10092898</v>
      </c>
      <c r="N1241" s="28" t="s">
        <v>1830</v>
      </c>
      <c r="O1241" s="29" t="s">
        <v>1831</v>
      </c>
      <c r="P1241" s="36">
        <v>43878</v>
      </c>
      <c r="Q1241" s="31">
        <v>28393.3</v>
      </c>
      <c r="R1241" s="33">
        <f>M1241/Q1241</f>
        <v>355.4675927067301</v>
      </c>
    </row>
    <row r="1242" spans="1:18" ht="15" customHeight="1">
      <c r="A1242" s="37" t="s">
        <v>874</v>
      </c>
      <c r="B1242" s="26" t="s">
        <v>875</v>
      </c>
      <c r="C1242" s="39">
        <v>132</v>
      </c>
      <c r="D1242" s="40" t="s">
        <v>1944</v>
      </c>
      <c r="E1242" s="38" t="s">
        <v>3</v>
      </c>
      <c r="F1242" s="38" t="s">
        <v>13</v>
      </c>
      <c r="G1242" s="32">
        <v>541278966</v>
      </c>
      <c r="H1242" s="32">
        <v>369450706</v>
      </c>
      <c r="I1242" s="32">
        <v>0</v>
      </c>
      <c r="J1242" s="35">
        <f>+G1242-H1242+I1242</f>
        <v>171828260</v>
      </c>
      <c r="K1242" s="28">
        <v>0</v>
      </c>
      <c r="L1242" s="32">
        <v>0</v>
      </c>
      <c r="M1242" s="35">
        <f>+J1242+L1242</f>
        <v>171828260</v>
      </c>
      <c r="N1242" s="28" t="s">
        <v>877</v>
      </c>
      <c r="O1242" s="29" t="s">
        <v>878</v>
      </c>
      <c r="P1242" s="36">
        <v>44902</v>
      </c>
      <c r="Q1242" s="31">
        <v>34852.33</v>
      </c>
      <c r="R1242" s="33">
        <f>M1242/Q1242</f>
        <v>4930.1799908356197</v>
      </c>
    </row>
    <row r="1243" spans="1:18" ht="15" customHeight="1">
      <c r="A1243" s="37" t="s">
        <v>356</v>
      </c>
      <c r="B1243" s="26" t="s">
        <v>1841</v>
      </c>
      <c r="C1243" s="39">
        <v>132</v>
      </c>
      <c r="D1243" s="40" t="s">
        <v>1945</v>
      </c>
      <c r="E1243" s="38" t="s">
        <v>3</v>
      </c>
      <c r="F1243" s="38" t="s">
        <v>13</v>
      </c>
      <c r="G1243" s="32">
        <v>0</v>
      </c>
      <c r="H1243" s="32">
        <v>1467632</v>
      </c>
      <c r="I1243" s="32">
        <v>5657247</v>
      </c>
      <c r="J1243" s="35">
        <f>+G1243-H1243+I1243</f>
        <v>4189615</v>
      </c>
      <c r="K1243" s="28">
        <v>0</v>
      </c>
      <c r="L1243" s="32">
        <v>0</v>
      </c>
      <c r="M1243" s="35">
        <f>+J1243+L1243</f>
        <v>4189615</v>
      </c>
      <c r="N1243" s="28" t="s">
        <v>1843</v>
      </c>
      <c r="O1243" s="29" t="s">
        <v>1844</v>
      </c>
      <c r="P1243" s="36">
        <v>44405</v>
      </c>
      <c r="Q1243" s="31">
        <v>29754.76</v>
      </c>
      <c r="R1243" s="33">
        <f>M1243/Q1243</f>
        <v>140.80486617939451</v>
      </c>
    </row>
    <row r="1244" spans="1:18" ht="15" customHeight="1">
      <c r="A1244" s="37" t="s">
        <v>356</v>
      </c>
      <c r="B1244" s="26" t="s">
        <v>1540</v>
      </c>
      <c r="C1244" s="39">
        <v>132</v>
      </c>
      <c r="D1244" s="40" t="s">
        <v>1946</v>
      </c>
      <c r="E1244" s="38" t="s">
        <v>3</v>
      </c>
      <c r="F1244" s="38" t="s">
        <v>12</v>
      </c>
      <c r="G1244" s="32">
        <v>0</v>
      </c>
      <c r="H1244" s="32">
        <v>0</v>
      </c>
      <c r="I1244" s="32">
        <v>120206217.13387229</v>
      </c>
      <c r="J1244" s="35">
        <f>+G1244-H1244+I1244</f>
        <v>120206217.13387229</v>
      </c>
      <c r="K1244" s="28">
        <v>0</v>
      </c>
      <c r="L1244" s="32">
        <v>0</v>
      </c>
      <c r="M1244" s="35">
        <f>+J1244+L1244</f>
        <v>120206217.13387229</v>
      </c>
      <c r="N1244" s="28" t="s">
        <v>1939</v>
      </c>
      <c r="O1244" s="29" t="s">
        <v>1940</v>
      </c>
      <c r="P1244" s="36">
        <v>43263</v>
      </c>
      <c r="Q1244" s="31">
        <v>27110</v>
      </c>
      <c r="R1244" s="33">
        <f>M1244/Q1244</f>
        <v>4434.0175999215153</v>
      </c>
    </row>
    <row r="1245" spans="1:18" ht="15" customHeight="1">
      <c r="A1245" s="37" t="s">
        <v>39</v>
      </c>
      <c r="B1245" s="26" t="s">
        <v>1658</v>
      </c>
      <c r="C1245" s="39">
        <v>132</v>
      </c>
      <c r="D1245" s="40" t="s">
        <v>1947</v>
      </c>
      <c r="E1245" s="38" t="s">
        <v>4</v>
      </c>
      <c r="F1245" s="38" t="s">
        <v>11</v>
      </c>
      <c r="G1245" s="32">
        <v>1363459</v>
      </c>
      <c r="H1245" s="32">
        <v>0</v>
      </c>
      <c r="I1245" s="52">
        <v>0</v>
      </c>
      <c r="J1245" s="35">
        <f>+G1245-H1245+I1245</f>
        <v>1363459</v>
      </c>
      <c r="K1245" s="28">
        <v>0</v>
      </c>
      <c r="L1245" s="32">
        <v>0</v>
      </c>
      <c r="M1245" s="35">
        <f>+J1245+L1245</f>
        <v>1363459</v>
      </c>
      <c r="N1245" s="28" t="s">
        <v>1917</v>
      </c>
      <c r="O1245" s="29" t="s">
        <v>1918</v>
      </c>
      <c r="P1245" s="36">
        <v>43495</v>
      </c>
      <c r="Q1245" s="31">
        <v>27547.11</v>
      </c>
      <c r="R1245" s="33">
        <f>M1245/Q1245</f>
        <v>49.495536918391799</v>
      </c>
    </row>
    <row r="1246" spans="1:18" ht="15" customHeight="1">
      <c r="A1246" s="37" t="s">
        <v>688</v>
      </c>
      <c r="B1246" s="26" t="s">
        <v>1728</v>
      </c>
      <c r="C1246" s="39">
        <v>132</v>
      </c>
      <c r="D1246" s="40" t="s">
        <v>1948</v>
      </c>
      <c r="E1246" s="38" t="s">
        <v>6</v>
      </c>
      <c r="F1246" s="38" t="s">
        <v>21</v>
      </c>
      <c r="G1246" s="32">
        <v>6263168</v>
      </c>
      <c r="H1246" s="32">
        <v>3131584</v>
      </c>
      <c r="I1246" s="32">
        <v>44348415.820799999</v>
      </c>
      <c r="J1246" s="35">
        <f>+G1246-H1246+I1246</f>
        <v>47479999.820799999</v>
      </c>
      <c r="K1246" s="28">
        <v>0</v>
      </c>
      <c r="L1246" s="32">
        <v>0</v>
      </c>
      <c r="M1246" s="35">
        <f>+J1246+L1246</f>
        <v>47479999.820799999</v>
      </c>
      <c r="N1246" s="28" t="s">
        <v>1935</v>
      </c>
      <c r="O1246" s="29" t="s">
        <v>1936</v>
      </c>
      <c r="P1246" s="36">
        <v>42899</v>
      </c>
      <c r="Q1246" s="31">
        <v>26649.99</v>
      </c>
      <c r="R1246" s="33">
        <f>M1246/Q1246</f>
        <v>1781.6141702417149</v>
      </c>
    </row>
    <row r="1247" spans="1:18" ht="15" customHeight="1">
      <c r="A1247" s="37" t="s">
        <v>293</v>
      </c>
      <c r="B1247" s="26" t="s">
        <v>294</v>
      </c>
      <c r="C1247" s="39">
        <v>523</v>
      </c>
      <c r="D1247" s="40" t="s">
        <v>1949</v>
      </c>
      <c r="E1247" s="38" t="s">
        <v>198</v>
      </c>
      <c r="F1247" s="38" t="s">
        <v>296</v>
      </c>
      <c r="G1247" s="32">
        <v>3593472</v>
      </c>
      <c r="H1247" s="32">
        <v>981705</v>
      </c>
      <c r="I1247" s="32">
        <v>770085</v>
      </c>
      <c r="J1247" s="35">
        <f>+G1247-H1247+I1247</f>
        <v>3381852</v>
      </c>
      <c r="K1247" s="27" t="s">
        <v>297</v>
      </c>
      <c r="L1247" s="32">
        <v>0</v>
      </c>
      <c r="M1247" s="35">
        <f>+J1247+L1247</f>
        <v>3381852</v>
      </c>
      <c r="N1247" s="55" t="s">
        <v>298</v>
      </c>
      <c r="O1247" s="56" t="s">
        <v>299</v>
      </c>
      <c r="P1247" s="56">
        <v>44502</v>
      </c>
      <c r="Q1247" s="49">
        <v>30403.919999999998</v>
      </c>
      <c r="R1247" s="57">
        <f>+M1247/Q1247</f>
        <v>111.23078866146209</v>
      </c>
    </row>
    <row r="1248" spans="1:18" ht="15" customHeight="1">
      <c r="A1248" s="37" t="s">
        <v>293</v>
      </c>
      <c r="B1248" s="26" t="s">
        <v>294</v>
      </c>
      <c r="C1248" s="39">
        <v>131</v>
      </c>
      <c r="D1248" s="40" t="s">
        <v>1950</v>
      </c>
      <c r="E1248" s="38" t="s">
        <v>3</v>
      </c>
      <c r="F1248" s="38" t="s">
        <v>20</v>
      </c>
      <c r="G1248" s="32">
        <v>439861</v>
      </c>
      <c r="H1248" s="32">
        <v>55584</v>
      </c>
      <c r="I1248" s="52">
        <v>0</v>
      </c>
      <c r="J1248" s="35">
        <f>+G1248-H1248+I1248</f>
        <v>384277</v>
      </c>
      <c r="K1248" s="28">
        <v>0</v>
      </c>
      <c r="L1248" s="32">
        <v>0</v>
      </c>
      <c r="M1248" s="35">
        <f>+J1248+L1248</f>
        <v>384277</v>
      </c>
      <c r="N1248" s="28" t="s">
        <v>1537</v>
      </c>
      <c r="O1248" s="29" t="s">
        <v>1538</v>
      </c>
      <c r="P1248" s="36">
        <v>43914</v>
      </c>
      <c r="Q1248" s="31">
        <v>28331.86</v>
      </c>
      <c r="R1248" s="33">
        <f>M1248/Q1248</f>
        <v>13.563422945051967</v>
      </c>
    </row>
    <row r="1249" spans="1:18" ht="15" customHeight="1">
      <c r="A1249" s="37" t="s">
        <v>356</v>
      </c>
      <c r="B1249" s="26" t="s">
        <v>1540</v>
      </c>
      <c r="C1249" s="39">
        <v>131</v>
      </c>
      <c r="D1249" s="40" t="s">
        <v>1951</v>
      </c>
      <c r="E1249" s="38" t="s">
        <v>3</v>
      </c>
      <c r="F1249" s="38" t="s">
        <v>11</v>
      </c>
      <c r="G1249" s="32">
        <v>8640153.0531234909</v>
      </c>
      <c r="H1249" s="32">
        <v>630580.27793148765</v>
      </c>
      <c r="I1249" s="32">
        <v>82963377.194376141</v>
      </c>
      <c r="J1249" s="35">
        <f>+G1249-H1249+I1249</f>
        <v>90972949.969568148</v>
      </c>
      <c r="K1249" s="28">
        <v>0</v>
      </c>
      <c r="L1249" s="32">
        <v>0</v>
      </c>
      <c r="M1249" s="35">
        <f>+J1249+L1249</f>
        <v>90972949.969568148</v>
      </c>
      <c r="N1249" s="28" t="s">
        <v>1939</v>
      </c>
      <c r="O1249" s="29" t="s">
        <v>1543</v>
      </c>
      <c r="P1249" s="36">
        <v>43263</v>
      </c>
      <c r="Q1249" s="31">
        <v>27110</v>
      </c>
      <c r="R1249" s="33">
        <f>M1249/Q1249</f>
        <v>3355.6971585971282</v>
      </c>
    </row>
    <row r="1250" spans="1:18" ht="15" customHeight="1">
      <c r="A1250" s="37" t="s">
        <v>39</v>
      </c>
      <c r="B1250" s="26" t="s">
        <v>1658</v>
      </c>
      <c r="C1250" s="39">
        <v>131</v>
      </c>
      <c r="D1250" s="40" t="s">
        <v>1952</v>
      </c>
      <c r="E1250" s="38" t="s">
        <v>3</v>
      </c>
      <c r="F1250" s="38" t="s">
        <v>10</v>
      </c>
      <c r="G1250" s="32">
        <v>0</v>
      </c>
      <c r="H1250" s="32">
        <v>0</v>
      </c>
      <c r="I1250" s="32">
        <v>3662906</v>
      </c>
      <c r="J1250" s="35">
        <f>+G1250-H1250+I1250</f>
        <v>3662906</v>
      </c>
      <c r="K1250" s="28">
        <v>0</v>
      </c>
      <c r="L1250" s="32">
        <v>0</v>
      </c>
      <c r="M1250" s="35">
        <f>+J1250+L1250</f>
        <v>3662906</v>
      </c>
      <c r="N1250" s="28" t="s">
        <v>1917</v>
      </c>
      <c r="O1250" s="29" t="s">
        <v>1918</v>
      </c>
      <c r="P1250" s="36">
        <v>43495</v>
      </c>
      <c r="Q1250" s="31">
        <v>27547.11</v>
      </c>
      <c r="R1250" s="33">
        <f>M1250/Q1250</f>
        <v>132.96879418566957</v>
      </c>
    </row>
    <row r="1251" spans="1:18" ht="15" customHeight="1">
      <c r="A1251" s="37" t="s">
        <v>688</v>
      </c>
      <c r="B1251" s="26" t="s">
        <v>1728</v>
      </c>
      <c r="C1251" s="39">
        <v>131</v>
      </c>
      <c r="D1251" s="40" t="s">
        <v>1953</v>
      </c>
      <c r="E1251" s="38" t="s">
        <v>4</v>
      </c>
      <c r="F1251" s="38" t="s">
        <v>10</v>
      </c>
      <c r="G1251" s="32">
        <v>79565471.849999994</v>
      </c>
      <c r="H1251" s="32">
        <v>4419560.24</v>
      </c>
      <c r="I1251" s="32">
        <v>690283200</v>
      </c>
      <c r="J1251" s="35">
        <f>+G1251-H1251+I1251</f>
        <v>765429111.61000001</v>
      </c>
      <c r="K1251" s="28">
        <v>0</v>
      </c>
      <c r="L1251" s="32">
        <v>0</v>
      </c>
      <c r="M1251" s="35">
        <f>+J1251+L1251</f>
        <v>765429111.61000001</v>
      </c>
      <c r="N1251" s="28" t="s">
        <v>1797</v>
      </c>
      <c r="O1251" s="29" t="s">
        <v>1798</v>
      </c>
      <c r="P1251" s="36">
        <v>43027</v>
      </c>
      <c r="Q1251" s="31">
        <v>26655.55</v>
      </c>
      <c r="R1251" s="33">
        <f>M1251/Q1251</f>
        <v>28715.562485486138</v>
      </c>
    </row>
    <row r="1252" spans="1:18" ht="15" customHeight="1">
      <c r="A1252" s="37" t="s">
        <v>293</v>
      </c>
      <c r="B1252" s="26" t="s">
        <v>294</v>
      </c>
      <c r="C1252" s="39">
        <v>130</v>
      </c>
      <c r="D1252" s="40" t="s">
        <v>1954</v>
      </c>
      <c r="E1252" s="38" t="s">
        <v>3</v>
      </c>
      <c r="F1252" s="38" t="s">
        <v>20</v>
      </c>
      <c r="G1252" s="32">
        <v>11997029</v>
      </c>
      <c r="H1252" s="32">
        <v>0</v>
      </c>
      <c r="I1252" s="52">
        <v>0</v>
      </c>
      <c r="J1252" s="35">
        <f>+G1252-H1252+I1252</f>
        <v>11997029</v>
      </c>
      <c r="K1252" s="28">
        <v>0</v>
      </c>
      <c r="L1252" s="32">
        <v>0</v>
      </c>
      <c r="M1252" s="35">
        <f>+J1252+L1252</f>
        <v>11997029</v>
      </c>
      <c r="N1252" s="28" t="s">
        <v>1537</v>
      </c>
      <c r="O1252" s="29" t="s">
        <v>1538</v>
      </c>
      <c r="P1252" s="36">
        <v>43914</v>
      </c>
      <c r="Q1252" s="31">
        <v>28331.86</v>
      </c>
      <c r="R1252" s="33">
        <f>M1252/Q1252</f>
        <v>423.44657216292893</v>
      </c>
    </row>
    <row r="1253" spans="1:18" ht="15" customHeight="1">
      <c r="A1253" s="37" t="s">
        <v>874</v>
      </c>
      <c r="B1253" s="26" t="s">
        <v>875</v>
      </c>
      <c r="C1253" s="39">
        <v>130</v>
      </c>
      <c r="D1253" s="40" t="s">
        <v>1955</v>
      </c>
      <c r="E1253" s="38" t="s">
        <v>4</v>
      </c>
      <c r="F1253" s="38" t="s">
        <v>12</v>
      </c>
      <c r="G1253" s="32">
        <v>882716</v>
      </c>
      <c r="H1253" s="32">
        <v>0</v>
      </c>
      <c r="I1253" s="32">
        <v>0</v>
      </c>
      <c r="J1253" s="35">
        <f>+G1253-H1253+I1253</f>
        <v>882716</v>
      </c>
      <c r="K1253" s="28">
        <v>0</v>
      </c>
      <c r="L1253" s="32">
        <v>0</v>
      </c>
      <c r="M1253" s="35">
        <f>+J1253+L1253</f>
        <v>882716</v>
      </c>
      <c r="N1253" s="28" t="s">
        <v>1512</v>
      </c>
      <c r="O1253" s="29" t="s">
        <v>1513</v>
      </c>
      <c r="P1253" s="36">
        <v>44972</v>
      </c>
      <c r="Q1253" s="31">
        <v>35378.559999999998</v>
      </c>
      <c r="R1253" s="33">
        <f>M1253/Q1253</f>
        <v>24.950591544709567</v>
      </c>
    </row>
    <row r="1254" spans="1:18" ht="15" customHeight="1">
      <c r="A1254" s="37" t="s">
        <v>52</v>
      </c>
      <c r="B1254" s="26" t="s">
        <v>53</v>
      </c>
      <c r="C1254" s="39" t="s">
        <v>1956</v>
      </c>
      <c r="D1254" s="40" t="s">
        <v>1957</v>
      </c>
      <c r="E1254" s="38" t="s">
        <v>6</v>
      </c>
      <c r="F1254" s="38" t="s">
        <v>11</v>
      </c>
      <c r="G1254" s="32">
        <v>3666510.19</v>
      </c>
      <c r="H1254" s="32">
        <v>2635033.66</v>
      </c>
      <c r="I1254" s="32">
        <v>5917599.8700000001</v>
      </c>
      <c r="J1254" s="35">
        <f>+G1254-H1254+I1254</f>
        <v>6949076.4000000004</v>
      </c>
      <c r="K1254" s="27">
        <v>8</v>
      </c>
      <c r="L1254" s="32">
        <v>0</v>
      </c>
      <c r="M1254" s="35">
        <f>+J1254+L1254</f>
        <v>6949076.4000000004</v>
      </c>
      <c r="N1254" s="28" t="s">
        <v>56</v>
      </c>
      <c r="O1254" s="29" t="s">
        <v>57</v>
      </c>
      <c r="P1254" s="36">
        <v>42884</v>
      </c>
      <c r="Q1254" s="31">
        <v>26627.55</v>
      </c>
      <c r="R1254" s="33">
        <f>M1254/Q1254</f>
        <v>260.97318003346163</v>
      </c>
    </row>
    <row r="1255" spans="1:18" ht="15" customHeight="1">
      <c r="A1255" s="37" t="s">
        <v>39</v>
      </c>
      <c r="B1255" s="26" t="s">
        <v>1658</v>
      </c>
      <c r="C1255" s="39">
        <v>130</v>
      </c>
      <c r="D1255" s="40" t="s">
        <v>1958</v>
      </c>
      <c r="E1255" s="38" t="s">
        <v>3</v>
      </c>
      <c r="F1255" s="38" t="s">
        <v>10</v>
      </c>
      <c r="G1255" s="32">
        <v>0</v>
      </c>
      <c r="H1255" s="32">
        <v>0</v>
      </c>
      <c r="I1255" s="32">
        <v>3186728</v>
      </c>
      <c r="J1255" s="35">
        <f>+G1255-H1255+I1255</f>
        <v>3186728</v>
      </c>
      <c r="K1255" s="28">
        <v>0</v>
      </c>
      <c r="L1255" s="32">
        <v>0</v>
      </c>
      <c r="M1255" s="35">
        <f>+J1255+L1255</f>
        <v>3186728</v>
      </c>
      <c r="N1255" s="28" t="s">
        <v>1917</v>
      </c>
      <c r="O1255" s="29" t="s">
        <v>1918</v>
      </c>
      <c r="P1255" s="36">
        <v>43495</v>
      </c>
      <c r="Q1255" s="31">
        <v>27547.11</v>
      </c>
      <c r="R1255" s="33">
        <f>M1255/Q1255</f>
        <v>115.68284295521381</v>
      </c>
    </row>
    <row r="1256" spans="1:18" ht="15" customHeight="1">
      <c r="A1256" s="37" t="s">
        <v>688</v>
      </c>
      <c r="B1256" s="26" t="s">
        <v>1728</v>
      </c>
      <c r="C1256" s="39">
        <v>130</v>
      </c>
      <c r="D1256" s="40" t="s">
        <v>1959</v>
      </c>
      <c r="E1256" s="38" t="s">
        <v>3</v>
      </c>
      <c r="F1256" s="38" t="s">
        <v>10</v>
      </c>
      <c r="G1256" s="32">
        <v>43608798.643199995</v>
      </c>
      <c r="H1256" s="32">
        <v>0</v>
      </c>
      <c r="I1256" s="32">
        <v>38994794.316799998</v>
      </c>
      <c r="J1256" s="35">
        <f>+G1256-H1256+I1256</f>
        <v>82603592.959999993</v>
      </c>
      <c r="K1256" s="28">
        <v>0</v>
      </c>
      <c r="L1256" s="32">
        <v>0</v>
      </c>
      <c r="M1256" s="35">
        <f>+J1256+L1256</f>
        <v>82603592.959999993</v>
      </c>
      <c r="N1256" s="28" t="s">
        <v>1935</v>
      </c>
      <c r="O1256" s="29" t="s">
        <v>1936</v>
      </c>
      <c r="P1256" s="36">
        <v>42899</v>
      </c>
      <c r="Q1256" s="31">
        <v>26649.99</v>
      </c>
      <c r="R1256" s="33">
        <f>M1256/Q1256</f>
        <v>3099.5731315471407</v>
      </c>
    </row>
    <row r="1257" spans="1:18" ht="15" customHeight="1">
      <c r="A1257" s="37" t="s">
        <v>293</v>
      </c>
      <c r="B1257" s="26" t="s">
        <v>294</v>
      </c>
      <c r="C1257" s="39">
        <v>129</v>
      </c>
      <c r="D1257" s="40" t="s">
        <v>1960</v>
      </c>
      <c r="E1257" s="38" t="s">
        <v>3</v>
      </c>
      <c r="F1257" s="38" t="s">
        <v>13</v>
      </c>
      <c r="G1257" s="32">
        <v>286854</v>
      </c>
      <c r="H1257" s="32">
        <v>0</v>
      </c>
      <c r="I1257" s="52">
        <v>0</v>
      </c>
      <c r="J1257" s="35">
        <f>+G1257-H1257+I1257</f>
        <v>286854</v>
      </c>
      <c r="K1257" s="28">
        <v>0</v>
      </c>
      <c r="L1257" s="32">
        <v>0</v>
      </c>
      <c r="M1257" s="35">
        <f>+J1257+L1257</f>
        <v>286854</v>
      </c>
      <c r="N1257" s="28" t="s">
        <v>1830</v>
      </c>
      <c r="O1257" s="29" t="s">
        <v>1831</v>
      </c>
      <c r="P1257" s="36">
        <v>43878</v>
      </c>
      <c r="Q1257" s="31">
        <v>28393.3</v>
      </c>
      <c r="R1257" s="33">
        <f>M1257/Q1257</f>
        <v>10.102876382808621</v>
      </c>
    </row>
    <row r="1258" spans="1:18" ht="15" customHeight="1">
      <c r="A1258" s="37" t="s">
        <v>356</v>
      </c>
      <c r="B1258" s="26" t="s">
        <v>1841</v>
      </c>
      <c r="C1258" s="39">
        <v>129</v>
      </c>
      <c r="D1258" s="40" t="s">
        <v>1961</v>
      </c>
      <c r="E1258" s="38" t="s">
        <v>3</v>
      </c>
      <c r="F1258" s="38" t="s">
        <v>11</v>
      </c>
      <c r="G1258" s="32">
        <v>221695</v>
      </c>
      <c r="H1258" s="32">
        <v>0</v>
      </c>
      <c r="I1258" s="32">
        <v>384094</v>
      </c>
      <c r="J1258" s="35">
        <f>+G1258-H1258+I1258</f>
        <v>605789</v>
      </c>
      <c r="K1258" s="28">
        <v>0</v>
      </c>
      <c r="L1258" s="32">
        <v>0</v>
      </c>
      <c r="M1258" s="35">
        <f>+J1258+L1258</f>
        <v>605789</v>
      </c>
      <c r="N1258" s="28" t="s">
        <v>1962</v>
      </c>
      <c r="O1258" s="29" t="s">
        <v>1963</v>
      </c>
      <c r="P1258" s="36">
        <v>44329</v>
      </c>
      <c r="Q1258" s="31">
        <v>29544.69</v>
      </c>
      <c r="R1258" s="33">
        <f>M1258/Q1258</f>
        <v>20.504158276834179</v>
      </c>
    </row>
    <row r="1259" spans="1:18" ht="15" customHeight="1">
      <c r="A1259" s="37" t="s">
        <v>391</v>
      </c>
      <c r="B1259" s="26" t="s">
        <v>392</v>
      </c>
      <c r="C1259" s="39">
        <v>141</v>
      </c>
      <c r="D1259" s="40" t="s">
        <v>1964</v>
      </c>
      <c r="E1259" s="38" t="s">
        <v>3</v>
      </c>
      <c r="F1259" s="38" t="s">
        <v>20</v>
      </c>
      <c r="G1259" s="32">
        <v>3697899</v>
      </c>
      <c r="H1259" s="32">
        <v>0</v>
      </c>
      <c r="I1259" s="32">
        <v>3679725</v>
      </c>
      <c r="J1259" s="35">
        <f>+G1259-H1259+I1259</f>
        <v>7377624</v>
      </c>
      <c r="K1259" s="27"/>
      <c r="L1259" s="32">
        <v>0</v>
      </c>
      <c r="M1259" s="35">
        <f>+J1259+L1259</f>
        <v>7377624</v>
      </c>
      <c r="N1259" s="28" t="s">
        <v>481</v>
      </c>
      <c r="O1259" s="29" t="s">
        <v>482</v>
      </c>
      <c r="P1259" s="36">
        <v>44130</v>
      </c>
      <c r="Q1259" s="31">
        <v>28810.82</v>
      </c>
      <c r="R1259" s="33">
        <f>M1259/Q1259</f>
        <v>256.07129543692264</v>
      </c>
    </row>
    <row r="1260" spans="1:18" ht="15" customHeight="1">
      <c r="A1260" s="37" t="s">
        <v>52</v>
      </c>
      <c r="B1260" s="26" t="s">
        <v>53</v>
      </c>
      <c r="C1260" s="39" t="s">
        <v>1965</v>
      </c>
      <c r="D1260" s="40" t="s">
        <v>1966</v>
      </c>
      <c r="E1260" s="38" t="s">
        <v>6</v>
      </c>
      <c r="F1260" s="38" t="s">
        <v>11</v>
      </c>
      <c r="G1260" s="32">
        <v>3708711.1599999997</v>
      </c>
      <c r="H1260" s="32">
        <v>1522004.05</v>
      </c>
      <c r="I1260" s="52">
        <v>0</v>
      </c>
      <c r="J1260" s="35">
        <f>+G1260-H1260+I1260</f>
        <v>2186707.1099999994</v>
      </c>
      <c r="K1260" s="27"/>
      <c r="L1260" s="32">
        <v>0</v>
      </c>
      <c r="M1260" s="35">
        <f>+J1260+L1260</f>
        <v>2186707.1099999994</v>
      </c>
      <c r="N1260" s="28" t="s">
        <v>56</v>
      </c>
      <c r="O1260" s="29" t="s">
        <v>57</v>
      </c>
      <c r="P1260" s="36">
        <v>42884</v>
      </c>
      <c r="Q1260" s="31">
        <v>26627.55</v>
      </c>
      <c r="R1260" s="33">
        <f>M1260/Q1260</f>
        <v>82.121979303390646</v>
      </c>
    </row>
    <row r="1261" spans="1:18" ht="15" customHeight="1">
      <c r="A1261" s="37" t="s">
        <v>39</v>
      </c>
      <c r="B1261" s="26" t="s">
        <v>1658</v>
      </c>
      <c r="C1261" s="39">
        <v>129</v>
      </c>
      <c r="D1261" s="40" t="s">
        <v>1967</v>
      </c>
      <c r="E1261" s="38" t="s">
        <v>6</v>
      </c>
      <c r="F1261" s="38" t="s">
        <v>11</v>
      </c>
      <c r="G1261" s="32">
        <v>0</v>
      </c>
      <c r="H1261" s="32">
        <v>57429617</v>
      </c>
      <c r="I1261" s="52">
        <v>0</v>
      </c>
      <c r="J1261" s="35">
        <f>+G1261-H1261+I1261</f>
        <v>-57429617</v>
      </c>
      <c r="K1261" s="28">
        <v>0</v>
      </c>
      <c r="L1261" s="32">
        <v>0</v>
      </c>
      <c r="M1261" s="35">
        <f>+J1261+L1261</f>
        <v>-57429617</v>
      </c>
      <c r="N1261" s="28" t="s">
        <v>1917</v>
      </c>
      <c r="O1261" s="29" t="s">
        <v>1918</v>
      </c>
      <c r="P1261" s="36">
        <v>43495</v>
      </c>
      <c r="Q1261" s="31">
        <v>27547.11</v>
      </c>
      <c r="R1261" s="33">
        <f>M1261/Q1261</f>
        <v>-2084.7782943473926</v>
      </c>
    </row>
    <row r="1262" spans="1:18" ht="15" customHeight="1">
      <c r="A1262" s="37" t="s">
        <v>688</v>
      </c>
      <c r="B1262" s="26" t="s">
        <v>1728</v>
      </c>
      <c r="C1262" s="39">
        <v>129</v>
      </c>
      <c r="D1262" s="40" t="s">
        <v>1968</v>
      </c>
      <c r="E1262" s="38" t="s">
        <v>3</v>
      </c>
      <c r="F1262" s="38" t="s">
        <v>11</v>
      </c>
      <c r="G1262" s="32">
        <v>0</v>
      </c>
      <c r="H1262" s="32">
        <v>0</v>
      </c>
      <c r="I1262" s="32">
        <v>3488128</v>
      </c>
      <c r="J1262" s="35">
        <f>+G1262-H1262+I1262</f>
        <v>3488128</v>
      </c>
      <c r="K1262" s="28">
        <v>0</v>
      </c>
      <c r="L1262" s="32">
        <v>0</v>
      </c>
      <c r="M1262" s="35">
        <f>+J1262+L1262</f>
        <v>3488128</v>
      </c>
      <c r="N1262" s="28" t="s">
        <v>1730</v>
      </c>
      <c r="O1262" s="29" t="s">
        <v>1731</v>
      </c>
      <c r="P1262" s="36">
        <v>43444</v>
      </c>
      <c r="Q1262" s="31">
        <v>27565.79</v>
      </c>
      <c r="R1262" s="33">
        <f>M1262/Q1262</f>
        <v>126.53829257206124</v>
      </c>
    </row>
    <row r="1263" spans="1:18" ht="15" customHeight="1">
      <c r="A1263" s="37" t="s">
        <v>52</v>
      </c>
      <c r="B1263" s="26" t="s">
        <v>53</v>
      </c>
      <c r="C1263" s="39" t="s">
        <v>1969</v>
      </c>
      <c r="D1263" s="40" t="s">
        <v>1970</v>
      </c>
      <c r="E1263" s="38" t="s">
        <v>6</v>
      </c>
      <c r="F1263" s="38" t="s">
        <v>11</v>
      </c>
      <c r="G1263" s="32">
        <v>3738313.5999999996</v>
      </c>
      <c r="H1263" s="32">
        <v>569580.41</v>
      </c>
      <c r="I1263" s="32">
        <v>1291645.04</v>
      </c>
      <c r="J1263" s="35">
        <f>+G1263-H1263+I1263</f>
        <v>4460378.2299999995</v>
      </c>
      <c r="K1263" s="27">
        <v>77</v>
      </c>
      <c r="L1263" s="32">
        <v>0</v>
      </c>
      <c r="M1263" s="35">
        <f>+J1263+L1263</f>
        <v>4460378.2299999995</v>
      </c>
      <c r="N1263" s="28" t="s">
        <v>56</v>
      </c>
      <c r="O1263" s="29" t="s">
        <v>57</v>
      </c>
      <c r="P1263" s="36">
        <v>42884</v>
      </c>
      <c r="Q1263" s="31">
        <v>26627.55</v>
      </c>
      <c r="R1263" s="33">
        <f>M1263/Q1263</f>
        <v>167.50989970913582</v>
      </c>
    </row>
    <row r="1264" spans="1:18" ht="15" customHeight="1">
      <c r="A1264" s="37" t="s">
        <v>293</v>
      </c>
      <c r="B1264" s="26" t="s">
        <v>294</v>
      </c>
      <c r="C1264" s="39">
        <v>128</v>
      </c>
      <c r="D1264" s="40" t="s">
        <v>1971</v>
      </c>
      <c r="E1264" s="38" t="s">
        <v>3</v>
      </c>
      <c r="F1264" s="38" t="s">
        <v>18</v>
      </c>
      <c r="G1264" s="32">
        <v>2326895</v>
      </c>
      <c r="H1264" s="32">
        <v>1531389</v>
      </c>
      <c r="I1264" s="52">
        <v>0</v>
      </c>
      <c r="J1264" s="35">
        <f>+G1264-H1264+I1264</f>
        <v>795506</v>
      </c>
      <c r="K1264" s="28">
        <v>0</v>
      </c>
      <c r="L1264" s="32">
        <v>0</v>
      </c>
      <c r="M1264" s="35">
        <f>+J1264+L1264</f>
        <v>795506</v>
      </c>
      <c r="N1264" s="28" t="s">
        <v>1567</v>
      </c>
      <c r="O1264" s="29" t="s">
        <v>1568</v>
      </c>
      <c r="P1264" s="36">
        <v>43886</v>
      </c>
      <c r="Q1264" s="31">
        <v>28440.19</v>
      </c>
      <c r="R1264" s="33">
        <f>M1264/Q1264</f>
        <v>27.971191472349517</v>
      </c>
    </row>
    <row r="1265" spans="1:18" ht="15" customHeight="1">
      <c r="A1265" s="37" t="s">
        <v>356</v>
      </c>
      <c r="B1265" s="26" t="s">
        <v>1540</v>
      </c>
      <c r="C1265" s="39">
        <v>128</v>
      </c>
      <c r="D1265" s="40" t="s">
        <v>1972</v>
      </c>
      <c r="E1265" s="38" t="s">
        <v>3</v>
      </c>
      <c r="F1265" s="38" t="s">
        <v>12</v>
      </c>
      <c r="G1265" s="32">
        <v>3626384.8471358251</v>
      </c>
      <c r="H1265" s="32">
        <v>434688.4671201898</v>
      </c>
      <c r="I1265" s="32">
        <v>1211769.1433319792</v>
      </c>
      <c r="J1265" s="35">
        <f>+G1265-H1265+I1265</f>
        <v>4403465.5233476143</v>
      </c>
      <c r="K1265" s="28">
        <v>0</v>
      </c>
      <c r="L1265" s="32">
        <v>0</v>
      </c>
      <c r="M1265" s="35">
        <f>+J1265+L1265</f>
        <v>4403465.5233476143</v>
      </c>
      <c r="N1265" s="28" t="s">
        <v>1939</v>
      </c>
      <c r="O1265" s="29" t="s">
        <v>1940</v>
      </c>
      <c r="P1265" s="36">
        <v>43263</v>
      </c>
      <c r="Q1265" s="31">
        <v>27110</v>
      </c>
      <c r="R1265" s="33">
        <f>M1265/Q1265</f>
        <v>162.42956559747748</v>
      </c>
    </row>
    <row r="1266" spans="1:18" ht="15" customHeight="1">
      <c r="A1266" s="37" t="s">
        <v>39</v>
      </c>
      <c r="B1266" s="26" t="s">
        <v>1658</v>
      </c>
      <c r="C1266" s="39">
        <v>128</v>
      </c>
      <c r="D1266" s="40" t="s">
        <v>1973</v>
      </c>
      <c r="E1266" s="38" t="s">
        <v>4</v>
      </c>
      <c r="F1266" s="38" t="s">
        <v>11</v>
      </c>
      <c r="G1266" s="32">
        <v>52869619</v>
      </c>
      <c r="H1266" s="32">
        <v>6024100</v>
      </c>
      <c r="I1266" s="52">
        <v>0</v>
      </c>
      <c r="J1266" s="35">
        <f>+G1266-H1266+I1266</f>
        <v>46845519</v>
      </c>
      <c r="K1266" s="28">
        <v>0</v>
      </c>
      <c r="L1266" s="32">
        <v>0</v>
      </c>
      <c r="M1266" s="35">
        <f>+J1266+L1266</f>
        <v>46845519</v>
      </c>
      <c r="N1266" s="28" t="s">
        <v>1917</v>
      </c>
      <c r="O1266" s="29" t="s">
        <v>1918</v>
      </c>
      <c r="P1266" s="36">
        <v>43495</v>
      </c>
      <c r="Q1266" s="31">
        <v>27547.11</v>
      </c>
      <c r="R1266" s="33">
        <f>M1266/Q1266</f>
        <v>1700.5602039560592</v>
      </c>
    </row>
    <row r="1267" spans="1:18" ht="15" customHeight="1">
      <c r="A1267" s="37" t="s">
        <v>688</v>
      </c>
      <c r="B1267" s="26" t="s">
        <v>1728</v>
      </c>
      <c r="C1267" s="39">
        <v>128</v>
      </c>
      <c r="D1267" s="40" t="s">
        <v>1974</v>
      </c>
      <c r="E1267" s="38" t="s">
        <v>4</v>
      </c>
      <c r="F1267" s="38" t="s">
        <v>11</v>
      </c>
      <c r="G1267" s="32">
        <v>0</v>
      </c>
      <c r="H1267" s="32">
        <v>16648936</v>
      </c>
      <c r="I1267" s="52">
        <v>0</v>
      </c>
      <c r="J1267" s="35">
        <f>+G1267-H1267+I1267</f>
        <v>-16648936</v>
      </c>
      <c r="K1267" s="28">
        <v>0</v>
      </c>
      <c r="L1267" s="32">
        <v>0</v>
      </c>
      <c r="M1267" s="35">
        <f>+J1267+L1267</f>
        <v>-16648936</v>
      </c>
      <c r="N1267" s="28" t="s">
        <v>1935</v>
      </c>
      <c r="O1267" s="29" t="s">
        <v>1936</v>
      </c>
      <c r="P1267" s="36">
        <v>42899</v>
      </c>
      <c r="Q1267" s="31">
        <v>26649.99</v>
      </c>
      <c r="R1267" s="33">
        <f>M1267/Q1267</f>
        <v>-624.72578788960141</v>
      </c>
    </row>
    <row r="1268" spans="1:18" ht="15" customHeight="1">
      <c r="A1268" s="37" t="s">
        <v>688</v>
      </c>
      <c r="B1268" s="26" t="s">
        <v>798</v>
      </c>
      <c r="C1268" s="39">
        <v>3</v>
      </c>
      <c r="D1268" s="40" t="s">
        <v>1975</v>
      </c>
      <c r="E1268" s="38" t="s">
        <v>4</v>
      </c>
      <c r="F1268" s="38" t="s">
        <v>13</v>
      </c>
      <c r="G1268" s="32">
        <v>3761627</v>
      </c>
      <c r="H1268" s="32">
        <v>0</v>
      </c>
      <c r="I1268" s="32">
        <v>26254280</v>
      </c>
      <c r="J1268" s="35">
        <f>+G1268-H1268+I1268</f>
        <v>30015907</v>
      </c>
      <c r="K1268" s="27">
        <v>92</v>
      </c>
      <c r="L1268" s="32">
        <v>0</v>
      </c>
      <c r="M1268" s="35">
        <f>+J1268+L1268</f>
        <v>30015907</v>
      </c>
      <c r="N1268" s="28" t="s">
        <v>1976</v>
      </c>
      <c r="O1268" s="29" t="s">
        <v>1977</v>
      </c>
      <c r="P1268" s="36">
        <v>44886</v>
      </c>
      <c r="Q1268" s="31">
        <v>34759.75</v>
      </c>
      <c r="R1268" s="33">
        <f>M1268/Q1268</f>
        <v>863.5248239702529</v>
      </c>
    </row>
    <row r="1269" spans="1:18" ht="15" customHeight="1">
      <c r="A1269" s="37" t="s">
        <v>293</v>
      </c>
      <c r="B1269" s="26" t="s">
        <v>294</v>
      </c>
      <c r="C1269" s="39">
        <v>127</v>
      </c>
      <c r="D1269" s="40" t="s">
        <v>1978</v>
      </c>
      <c r="E1269" s="38" t="s">
        <v>3</v>
      </c>
      <c r="F1269" s="38" t="s">
        <v>14</v>
      </c>
      <c r="G1269" s="32">
        <v>117034059</v>
      </c>
      <c r="H1269" s="32">
        <v>26430436</v>
      </c>
      <c r="I1269" s="32">
        <v>46684678</v>
      </c>
      <c r="J1269" s="35">
        <f>+G1269-H1269+I1269</f>
        <v>137288301</v>
      </c>
      <c r="K1269" s="28">
        <v>0</v>
      </c>
      <c r="L1269" s="32">
        <v>0</v>
      </c>
      <c r="M1269" s="35">
        <f>+J1269+L1269</f>
        <v>137288301</v>
      </c>
      <c r="N1269" s="28" t="s">
        <v>1567</v>
      </c>
      <c r="O1269" s="29" t="s">
        <v>1568</v>
      </c>
      <c r="P1269" s="36">
        <v>43886</v>
      </c>
      <c r="Q1269" s="31">
        <v>28440.19</v>
      </c>
      <c r="R1269" s="33">
        <f>M1269/Q1269</f>
        <v>4827.2638473934248</v>
      </c>
    </row>
    <row r="1270" spans="1:18" ht="15" customHeight="1">
      <c r="A1270" s="37" t="s">
        <v>874</v>
      </c>
      <c r="B1270" s="26" t="s">
        <v>875</v>
      </c>
      <c r="C1270" s="39">
        <v>127</v>
      </c>
      <c r="D1270" s="40" t="s">
        <v>1979</v>
      </c>
      <c r="E1270" s="38" t="s">
        <v>3</v>
      </c>
      <c r="F1270" s="38" t="s">
        <v>13</v>
      </c>
      <c r="G1270" s="32">
        <v>5922479</v>
      </c>
      <c r="H1270" s="32">
        <v>591636</v>
      </c>
      <c r="I1270" s="32">
        <v>0</v>
      </c>
      <c r="J1270" s="35">
        <f>+G1270-H1270+I1270</f>
        <v>5330843</v>
      </c>
      <c r="K1270" s="28">
        <v>0</v>
      </c>
      <c r="L1270" s="32">
        <v>0</v>
      </c>
      <c r="M1270" s="35">
        <f>+J1270+L1270</f>
        <v>5330843</v>
      </c>
      <c r="N1270" s="28" t="s">
        <v>1512</v>
      </c>
      <c r="O1270" s="29" t="s">
        <v>1513</v>
      </c>
      <c r="P1270" s="36">
        <v>44972</v>
      </c>
      <c r="Q1270" s="31">
        <v>35378.559999999998</v>
      </c>
      <c r="R1270" s="33">
        <f>M1270/Q1270</f>
        <v>150.68004463720402</v>
      </c>
    </row>
    <row r="1271" spans="1:18" ht="15" customHeight="1">
      <c r="A1271" s="37" t="s">
        <v>356</v>
      </c>
      <c r="B1271" s="26" t="s">
        <v>1841</v>
      </c>
      <c r="C1271" s="39">
        <v>127</v>
      </c>
      <c r="D1271" s="40" t="s">
        <v>1980</v>
      </c>
      <c r="E1271" s="38" t="s">
        <v>6</v>
      </c>
      <c r="F1271" s="38" t="s">
        <v>13</v>
      </c>
      <c r="G1271" s="32">
        <v>618267</v>
      </c>
      <c r="H1271" s="32">
        <v>0</v>
      </c>
      <c r="I1271" s="32">
        <v>102743</v>
      </c>
      <c r="J1271" s="35">
        <f>+G1271-H1271+I1271</f>
        <v>721010</v>
      </c>
      <c r="K1271" s="28">
        <v>0</v>
      </c>
      <c r="L1271" s="32">
        <v>0</v>
      </c>
      <c r="M1271" s="35">
        <f>+J1271+L1271</f>
        <v>721010</v>
      </c>
      <c r="N1271" s="28" t="s">
        <v>1962</v>
      </c>
      <c r="O1271" s="29" t="s">
        <v>1963</v>
      </c>
      <c r="P1271" s="36">
        <v>44329</v>
      </c>
      <c r="Q1271" s="31">
        <v>29544.69</v>
      </c>
      <c r="R1271" s="33">
        <f>M1271/Q1271</f>
        <v>24.404046886259426</v>
      </c>
    </row>
    <row r="1272" spans="1:18" ht="15" customHeight="1">
      <c r="A1272" s="37" t="s">
        <v>356</v>
      </c>
      <c r="B1272" s="26" t="s">
        <v>1540</v>
      </c>
      <c r="C1272" s="39">
        <v>127</v>
      </c>
      <c r="D1272" s="40" t="s">
        <v>1981</v>
      </c>
      <c r="E1272" s="38" t="s">
        <v>6</v>
      </c>
      <c r="F1272" s="38" t="s">
        <v>13</v>
      </c>
      <c r="G1272" s="32">
        <v>10624285</v>
      </c>
      <c r="H1272" s="32">
        <v>0</v>
      </c>
      <c r="I1272" s="32">
        <v>21683894</v>
      </c>
      <c r="J1272" s="35">
        <f>+G1272-H1272+I1272</f>
        <v>32308179</v>
      </c>
      <c r="K1272" s="28">
        <v>0</v>
      </c>
      <c r="L1272" s="32">
        <v>0</v>
      </c>
      <c r="M1272" s="35">
        <f>+J1272+L1272</f>
        <v>32308179</v>
      </c>
      <c r="N1272" s="28" t="s">
        <v>1939</v>
      </c>
      <c r="O1272" s="29" t="s">
        <v>1940</v>
      </c>
      <c r="P1272" s="36">
        <v>43263</v>
      </c>
      <c r="Q1272" s="31">
        <v>27110</v>
      </c>
      <c r="R1272" s="33">
        <f>M1272/Q1272</f>
        <v>1191.7439690151236</v>
      </c>
    </row>
    <row r="1273" spans="1:18" ht="15" customHeight="1">
      <c r="A1273" s="37" t="s">
        <v>293</v>
      </c>
      <c r="B1273" s="26" t="s">
        <v>294</v>
      </c>
      <c r="C1273" s="39">
        <v>126</v>
      </c>
      <c r="D1273" s="40" t="s">
        <v>1982</v>
      </c>
      <c r="E1273" s="38" t="s">
        <v>3</v>
      </c>
      <c r="F1273" s="38" t="s">
        <v>15</v>
      </c>
      <c r="G1273" s="32">
        <v>65978376</v>
      </c>
      <c r="H1273" s="32">
        <v>556943</v>
      </c>
      <c r="I1273" s="32">
        <v>438223</v>
      </c>
      <c r="J1273" s="35">
        <f>+G1273-H1273+I1273</f>
        <v>65859656</v>
      </c>
      <c r="K1273" s="28">
        <v>0</v>
      </c>
      <c r="L1273" s="32">
        <v>0</v>
      </c>
      <c r="M1273" s="35">
        <f>+J1273+L1273</f>
        <v>65859656</v>
      </c>
      <c r="N1273" s="28" t="s">
        <v>1830</v>
      </c>
      <c r="O1273" s="29" t="s">
        <v>1831</v>
      </c>
      <c r="P1273" s="36">
        <v>43878</v>
      </c>
      <c r="Q1273" s="31">
        <v>28393.3</v>
      </c>
      <c r="R1273" s="33">
        <f>M1273/Q1273</f>
        <v>2319.5491894214479</v>
      </c>
    </row>
    <row r="1274" spans="1:18" ht="15" customHeight="1">
      <c r="A1274" s="37" t="s">
        <v>874</v>
      </c>
      <c r="B1274" s="26" t="s">
        <v>875</v>
      </c>
      <c r="C1274" s="39">
        <v>126</v>
      </c>
      <c r="D1274" s="40" t="s">
        <v>1983</v>
      </c>
      <c r="E1274" s="38" t="s">
        <v>3</v>
      </c>
      <c r="F1274" s="38" t="s">
        <v>13</v>
      </c>
      <c r="G1274" s="32">
        <v>849842</v>
      </c>
      <c r="H1274" s="32">
        <v>0</v>
      </c>
      <c r="I1274" s="32">
        <v>0</v>
      </c>
      <c r="J1274" s="35">
        <f>+G1274-H1274+I1274</f>
        <v>849842</v>
      </c>
      <c r="K1274" s="28">
        <v>0</v>
      </c>
      <c r="L1274" s="32">
        <v>0</v>
      </c>
      <c r="M1274" s="35">
        <f>+J1274+L1274</f>
        <v>849842</v>
      </c>
      <c r="N1274" s="28" t="s">
        <v>1512</v>
      </c>
      <c r="O1274" s="29" t="s">
        <v>1513</v>
      </c>
      <c r="P1274" s="36">
        <v>44972</v>
      </c>
      <c r="Q1274" s="31">
        <v>35378.559999999998</v>
      </c>
      <c r="R1274" s="33">
        <f>M1274/Q1274</f>
        <v>24.021384703051794</v>
      </c>
    </row>
    <row r="1275" spans="1:18" ht="15" customHeight="1">
      <c r="A1275" s="37" t="s">
        <v>356</v>
      </c>
      <c r="B1275" s="26" t="s">
        <v>1841</v>
      </c>
      <c r="C1275" s="39">
        <v>126</v>
      </c>
      <c r="D1275" s="40" t="s">
        <v>1984</v>
      </c>
      <c r="E1275" s="38" t="s">
        <v>3</v>
      </c>
      <c r="F1275" s="38" t="s">
        <v>11</v>
      </c>
      <c r="G1275" s="32">
        <v>0</v>
      </c>
      <c r="H1275" s="32">
        <v>0</v>
      </c>
      <c r="I1275" s="32">
        <v>1596704</v>
      </c>
      <c r="J1275" s="35">
        <f>+G1275-H1275+I1275</f>
        <v>1596704</v>
      </c>
      <c r="K1275" s="28">
        <v>0</v>
      </c>
      <c r="L1275" s="32">
        <v>0</v>
      </c>
      <c r="M1275" s="35">
        <f>+J1275+L1275</f>
        <v>1596704</v>
      </c>
      <c r="N1275" s="28" t="s">
        <v>1962</v>
      </c>
      <c r="O1275" s="29" t="s">
        <v>1963</v>
      </c>
      <c r="P1275" s="36">
        <v>44329</v>
      </c>
      <c r="Q1275" s="31">
        <v>29544.69</v>
      </c>
      <c r="R1275" s="33">
        <f>M1275/Q1275</f>
        <v>54.043687715119027</v>
      </c>
    </row>
    <row r="1276" spans="1:18" ht="15" customHeight="1">
      <c r="A1276" s="37" t="s">
        <v>39</v>
      </c>
      <c r="B1276" s="26" t="s">
        <v>1658</v>
      </c>
      <c r="C1276" s="39">
        <v>126</v>
      </c>
      <c r="D1276" s="40" t="s">
        <v>1985</v>
      </c>
      <c r="E1276" s="38" t="s">
        <v>3</v>
      </c>
      <c r="F1276" s="38" t="s">
        <v>11</v>
      </c>
      <c r="G1276" s="32">
        <v>0</v>
      </c>
      <c r="H1276" s="32">
        <v>0</v>
      </c>
      <c r="I1276" s="32">
        <v>527738</v>
      </c>
      <c r="J1276" s="35">
        <f>+G1276-H1276+I1276</f>
        <v>527738</v>
      </c>
      <c r="K1276" s="28">
        <v>0</v>
      </c>
      <c r="L1276" s="32">
        <v>0</v>
      </c>
      <c r="M1276" s="35">
        <f>+J1276+L1276</f>
        <v>527738</v>
      </c>
      <c r="N1276" s="28" t="s">
        <v>1917</v>
      </c>
      <c r="O1276" s="29" t="s">
        <v>1918</v>
      </c>
      <c r="P1276" s="36">
        <v>43495</v>
      </c>
      <c r="Q1276" s="31">
        <v>27547.11</v>
      </c>
      <c r="R1276" s="33">
        <f>M1276/Q1276</f>
        <v>19.157653924495165</v>
      </c>
    </row>
    <row r="1277" spans="1:18" s="30" customFormat="1" ht="15" customHeight="1">
      <c r="A1277" s="37" t="s">
        <v>688</v>
      </c>
      <c r="B1277" s="26" t="s">
        <v>1728</v>
      </c>
      <c r="C1277" s="39">
        <v>126</v>
      </c>
      <c r="D1277" s="40" t="s">
        <v>1986</v>
      </c>
      <c r="E1277" s="38" t="s">
        <v>4</v>
      </c>
      <c r="F1277" s="38" t="s">
        <v>13</v>
      </c>
      <c r="G1277" s="32">
        <v>0</v>
      </c>
      <c r="H1277" s="32">
        <v>650704.94720000005</v>
      </c>
      <c r="I1277" s="52">
        <v>0</v>
      </c>
      <c r="J1277" s="35">
        <f>+G1277-H1277+I1277</f>
        <v>-650704.94720000005</v>
      </c>
      <c r="K1277" s="28">
        <v>0</v>
      </c>
      <c r="L1277" s="32">
        <v>0</v>
      </c>
      <c r="M1277" s="35">
        <f>+J1277+L1277</f>
        <v>-650704.94720000005</v>
      </c>
      <c r="N1277" s="28" t="s">
        <v>1935</v>
      </c>
      <c r="O1277" s="29" t="s">
        <v>1936</v>
      </c>
      <c r="P1277" s="36">
        <v>42899</v>
      </c>
      <c r="Q1277" s="31">
        <v>26649.99</v>
      </c>
      <c r="R1277" s="33">
        <f>M1277/Q1277</f>
        <v>-24.416705116962522</v>
      </c>
    </row>
    <row r="1278" spans="1:18" s="30" customFormat="1" ht="15" customHeight="1">
      <c r="A1278" s="37" t="s">
        <v>293</v>
      </c>
      <c r="B1278" s="26" t="s">
        <v>294</v>
      </c>
      <c r="C1278" s="39">
        <v>125</v>
      </c>
      <c r="D1278" s="40" t="s">
        <v>1987</v>
      </c>
      <c r="E1278" s="38" t="s">
        <v>3</v>
      </c>
      <c r="F1278" s="38" t="s">
        <v>13</v>
      </c>
      <c r="G1278" s="32">
        <v>106579711</v>
      </c>
      <c r="H1278" s="32">
        <v>87722927</v>
      </c>
      <c r="I1278" s="52">
        <v>0</v>
      </c>
      <c r="J1278" s="35">
        <f>+G1278-H1278+I1278</f>
        <v>18856784</v>
      </c>
      <c r="K1278" s="28">
        <v>0</v>
      </c>
      <c r="L1278" s="32">
        <v>0</v>
      </c>
      <c r="M1278" s="35">
        <f>+J1278+L1278</f>
        <v>18856784</v>
      </c>
      <c r="N1278" s="28" t="s">
        <v>1830</v>
      </c>
      <c r="O1278" s="29" t="s">
        <v>1831</v>
      </c>
      <c r="P1278" s="36">
        <v>43878</v>
      </c>
      <c r="Q1278" s="31">
        <v>28393.3</v>
      </c>
      <c r="R1278" s="33">
        <f>M1278/Q1278</f>
        <v>664.12794567732533</v>
      </c>
    </row>
    <row r="1279" spans="1:18" s="30" customFormat="1" ht="15" customHeight="1">
      <c r="A1279" s="37" t="s">
        <v>874</v>
      </c>
      <c r="B1279" s="26" t="s">
        <v>875</v>
      </c>
      <c r="C1279" s="39">
        <v>125</v>
      </c>
      <c r="D1279" s="40" t="s">
        <v>1988</v>
      </c>
      <c r="E1279" s="38" t="s">
        <v>3</v>
      </c>
      <c r="F1279" s="38" t="s">
        <v>13</v>
      </c>
      <c r="G1279" s="32">
        <v>1312965</v>
      </c>
      <c r="H1279" s="32">
        <v>1085060</v>
      </c>
      <c r="I1279" s="32">
        <v>0</v>
      </c>
      <c r="J1279" s="35">
        <f>+G1279-H1279+I1279</f>
        <v>227905</v>
      </c>
      <c r="K1279" s="28">
        <v>0</v>
      </c>
      <c r="L1279" s="32">
        <v>0</v>
      </c>
      <c r="M1279" s="35">
        <f>+J1279+L1279</f>
        <v>227905</v>
      </c>
      <c r="N1279" s="28" t="s">
        <v>1512</v>
      </c>
      <c r="O1279" s="29" t="s">
        <v>1513</v>
      </c>
      <c r="P1279" s="36">
        <v>44972</v>
      </c>
      <c r="Q1279" s="31">
        <v>35378.559999999998</v>
      </c>
      <c r="R1279" s="33">
        <f>M1279/Q1279</f>
        <v>6.4418958827041015</v>
      </c>
    </row>
    <row r="1280" spans="1:18" s="30" customFormat="1" ht="15" customHeight="1">
      <c r="A1280" s="37" t="s">
        <v>356</v>
      </c>
      <c r="B1280" s="26" t="s">
        <v>1540</v>
      </c>
      <c r="C1280" s="39">
        <v>125</v>
      </c>
      <c r="D1280" s="40" t="s">
        <v>1989</v>
      </c>
      <c r="E1280" s="38" t="s">
        <v>3</v>
      </c>
      <c r="F1280" s="38" t="s">
        <v>15</v>
      </c>
      <c r="G1280" s="32">
        <v>1427322</v>
      </c>
      <c r="H1280" s="32">
        <v>0</v>
      </c>
      <c r="I1280" s="32">
        <v>1757355</v>
      </c>
      <c r="J1280" s="35">
        <f>+G1280-H1280+I1280</f>
        <v>3184677</v>
      </c>
      <c r="K1280" s="28">
        <v>0</v>
      </c>
      <c r="L1280" s="32">
        <v>0</v>
      </c>
      <c r="M1280" s="35">
        <f>+J1280+L1280</f>
        <v>3184677</v>
      </c>
      <c r="N1280" s="28" t="s">
        <v>1939</v>
      </c>
      <c r="O1280" s="29" t="s">
        <v>1940</v>
      </c>
      <c r="P1280" s="36">
        <v>43263</v>
      </c>
      <c r="Q1280" s="31">
        <v>27110</v>
      </c>
      <c r="R1280" s="33">
        <f>M1280/Q1280</f>
        <v>117.4724087052748</v>
      </c>
    </row>
    <row r="1281" spans="1:18" s="30" customFormat="1" ht="15" customHeight="1">
      <c r="A1281" s="37" t="s">
        <v>874</v>
      </c>
      <c r="B1281" s="26" t="s">
        <v>875</v>
      </c>
      <c r="C1281" s="39">
        <v>114</v>
      </c>
      <c r="D1281" s="40" t="s">
        <v>1990</v>
      </c>
      <c r="E1281" s="38" t="s">
        <v>3</v>
      </c>
      <c r="F1281" s="38" t="s">
        <v>11</v>
      </c>
      <c r="G1281" s="32">
        <v>3859625</v>
      </c>
      <c r="H1281" s="32">
        <v>0</v>
      </c>
      <c r="I1281" s="32">
        <v>5359020</v>
      </c>
      <c r="J1281" s="35">
        <f>+G1281-H1281+I1281</f>
        <v>9218645</v>
      </c>
      <c r="K1281" s="27">
        <v>12</v>
      </c>
      <c r="L1281" s="32">
        <v>0</v>
      </c>
      <c r="M1281" s="35">
        <f>+J1281+L1281</f>
        <v>9218645</v>
      </c>
      <c r="N1281" s="28" t="s">
        <v>1512</v>
      </c>
      <c r="O1281" s="29" t="s">
        <v>1513</v>
      </c>
      <c r="P1281" s="36">
        <v>44972</v>
      </c>
      <c r="Q1281" s="31">
        <v>35378.559999999998</v>
      </c>
      <c r="R1281" s="33">
        <f>M1281/Q1281</f>
        <v>260.57151562980516</v>
      </c>
    </row>
    <row r="1282" spans="1:18" s="30" customFormat="1" ht="15" customHeight="1">
      <c r="A1282" s="37" t="s">
        <v>688</v>
      </c>
      <c r="B1282" s="26" t="s">
        <v>1728</v>
      </c>
      <c r="C1282" s="39">
        <v>125</v>
      </c>
      <c r="D1282" s="40" t="s">
        <v>1991</v>
      </c>
      <c r="E1282" s="38" t="s">
        <v>4</v>
      </c>
      <c r="F1282" s="38" t="s">
        <v>11</v>
      </c>
      <c r="G1282" s="32">
        <v>738972</v>
      </c>
      <c r="H1282" s="32">
        <v>0</v>
      </c>
      <c r="I1282" s="52">
        <v>0</v>
      </c>
      <c r="J1282" s="35">
        <f>+G1282-H1282+I1282</f>
        <v>738972</v>
      </c>
      <c r="K1282" s="28">
        <v>0</v>
      </c>
      <c r="L1282" s="32">
        <v>0</v>
      </c>
      <c r="M1282" s="35">
        <f>+J1282+L1282</f>
        <v>738972</v>
      </c>
      <c r="N1282" s="28" t="s">
        <v>1935</v>
      </c>
      <c r="O1282" s="29" t="s">
        <v>1936</v>
      </c>
      <c r="P1282" s="36">
        <v>42899</v>
      </c>
      <c r="Q1282" s="31">
        <v>26649.99</v>
      </c>
      <c r="R1282" s="33">
        <f>M1282/Q1282</f>
        <v>27.728790892604462</v>
      </c>
    </row>
    <row r="1283" spans="1:18" s="30" customFormat="1" ht="15" customHeight="1">
      <c r="A1283" s="37" t="s">
        <v>293</v>
      </c>
      <c r="B1283" s="26" t="s">
        <v>294</v>
      </c>
      <c r="C1283" s="39">
        <v>124</v>
      </c>
      <c r="D1283" s="40" t="s">
        <v>1992</v>
      </c>
      <c r="E1283" s="38" t="s">
        <v>3</v>
      </c>
      <c r="F1283" s="38" t="s">
        <v>13</v>
      </c>
      <c r="G1283" s="32">
        <v>55307527</v>
      </c>
      <c r="H1283" s="32">
        <v>1843024</v>
      </c>
      <c r="I1283" s="52">
        <v>0</v>
      </c>
      <c r="J1283" s="35">
        <f>+G1283-H1283+I1283</f>
        <v>53464503</v>
      </c>
      <c r="K1283" s="28">
        <v>0</v>
      </c>
      <c r="L1283" s="32">
        <v>0</v>
      </c>
      <c r="M1283" s="35">
        <f>+J1283+L1283</f>
        <v>53464503</v>
      </c>
      <c r="N1283" s="28" t="s">
        <v>1830</v>
      </c>
      <c r="O1283" s="29" t="s">
        <v>1831</v>
      </c>
      <c r="P1283" s="36">
        <v>43878</v>
      </c>
      <c r="Q1283" s="31">
        <v>28393.3</v>
      </c>
      <c r="R1283" s="33">
        <f>M1283/Q1283</f>
        <v>1882.9971507362652</v>
      </c>
    </row>
    <row r="1284" spans="1:18" s="30" customFormat="1" ht="15" customHeight="1">
      <c r="A1284" s="37" t="s">
        <v>356</v>
      </c>
      <c r="B1284" s="26" t="s">
        <v>1540</v>
      </c>
      <c r="C1284" s="39">
        <v>124</v>
      </c>
      <c r="D1284" s="40" t="s">
        <v>1993</v>
      </c>
      <c r="E1284" s="38" t="s">
        <v>198</v>
      </c>
      <c r="F1284" s="38" t="s">
        <v>15</v>
      </c>
      <c r="G1284" s="32">
        <v>5390151</v>
      </c>
      <c r="H1284" s="32">
        <v>0</v>
      </c>
      <c r="I1284" s="32">
        <v>1263609</v>
      </c>
      <c r="J1284" s="35">
        <f>+G1284-H1284+I1284</f>
        <v>6653760</v>
      </c>
      <c r="K1284" s="28">
        <v>0</v>
      </c>
      <c r="L1284" s="32">
        <v>0</v>
      </c>
      <c r="M1284" s="35">
        <f>+J1284+L1284</f>
        <v>6653760</v>
      </c>
      <c r="N1284" s="28" t="s">
        <v>1939</v>
      </c>
      <c r="O1284" s="29" t="s">
        <v>1940</v>
      </c>
      <c r="P1284" s="36">
        <v>43263</v>
      </c>
      <c r="Q1284" s="31">
        <v>27110</v>
      </c>
      <c r="R1284" s="33">
        <f>M1284/Q1284</f>
        <v>245.43563260789378</v>
      </c>
    </row>
    <row r="1285" spans="1:18" s="30" customFormat="1" ht="15" customHeight="1">
      <c r="A1285" s="37" t="s">
        <v>39</v>
      </c>
      <c r="B1285" s="26" t="s">
        <v>1658</v>
      </c>
      <c r="C1285" s="39">
        <v>124</v>
      </c>
      <c r="D1285" s="40" t="s">
        <v>1994</v>
      </c>
      <c r="E1285" s="38" t="s">
        <v>4</v>
      </c>
      <c r="F1285" s="38" t="s">
        <v>11</v>
      </c>
      <c r="G1285" s="32">
        <v>5955361</v>
      </c>
      <c r="H1285" s="32">
        <v>25344531</v>
      </c>
      <c r="I1285" s="32">
        <v>16617178</v>
      </c>
      <c r="J1285" s="35">
        <f>+G1285-H1285+I1285</f>
        <v>-2771992</v>
      </c>
      <c r="K1285" s="28">
        <v>0</v>
      </c>
      <c r="L1285" s="32">
        <v>0</v>
      </c>
      <c r="M1285" s="35">
        <f>+J1285+L1285</f>
        <v>-2771992</v>
      </c>
      <c r="N1285" s="28" t="s">
        <v>1917</v>
      </c>
      <c r="O1285" s="29" t="s">
        <v>1918</v>
      </c>
      <c r="P1285" s="36">
        <v>43495</v>
      </c>
      <c r="Q1285" s="31">
        <v>27547.11</v>
      </c>
      <c r="R1285" s="33">
        <f>M1285/Q1285</f>
        <v>-100.62732533467212</v>
      </c>
    </row>
    <row r="1286" spans="1:18" s="30" customFormat="1" ht="15" customHeight="1">
      <c r="A1286" s="37" t="s">
        <v>688</v>
      </c>
      <c r="B1286" s="26" t="s">
        <v>1728</v>
      </c>
      <c r="C1286" s="39">
        <v>124</v>
      </c>
      <c r="D1286" s="40" t="s">
        <v>1995</v>
      </c>
      <c r="E1286" s="38" t="s">
        <v>4</v>
      </c>
      <c r="F1286" s="38" t="s">
        <v>11</v>
      </c>
      <c r="G1286" s="32">
        <v>0</v>
      </c>
      <c r="H1286" s="32">
        <v>714685.43999999994</v>
      </c>
      <c r="I1286" s="52">
        <v>0</v>
      </c>
      <c r="J1286" s="35">
        <f>+G1286-H1286+I1286</f>
        <v>-714685.43999999994</v>
      </c>
      <c r="K1286" s="28">
        <v>0</v>
      </c>
      <c r="L1286" s="32">
        <v>0</v>
      </c>
      <c r="M1286" s="35">
        <f>+J1286+L1286</f>
        <v>-714685.43999999994</v>
      </c>
      <c r="N1286" s="28" t="s">
        <v>1935</v>
      </c>
      <c r="O1286" s="29" t="s">
        <v>1936</v>
      </c>
      <c r="P1286" s="36">
        <v>42899</v>
      </c>
      <c r="Q1286" s="31">
        <v>26649.99</v>
      </c>
      <c r="R1286" s="33">
        <f>M1286/Q1286</f>
        <v>-26.817474978414623</v>
      </c>
    </row>
    <row r="1287" spans="1:18" s="30" customFormat="1" ht="15" customHeight="1">
      <c r="A1287" s="37" t="s">
        <v>293</v>
      </c>
      <c r="B1287" s="26" t="s">
        <v>294</v>
      </c>
      <c r="C1287" s="39">
        <v>123</v>
      </c>
      <c r="D1287" s="40" t="s">
        <v>1996</v>
      </c>
      <c r="E1287" s="38" t="s">
        <v>3</v>
      </c>
      <c r="F1287" s="38" t="s">
        <v>10</v>
      </c>
      <c r="G1287" s="32">
        <v>12578848</v>
      </c>
      <c r="H1287" s="32">
        <v>10415817</v>
      </c>
      <c r="I1287" s="52">
        <v>0</v>
      </c>
      <c r="J1287" s="35">
        <f>+G1287-H1287+I1287</f>
        <v>2163031</v>
      </c>
      <c r="K1287" s="28">
        <v>0</v>
      </c>
      <c r="L1287" s="32">
        <v>0</v>
      </c>
      <c r="M1287" s="35">
        <f>+J1287+L1287</f>
        <v>2163031</v>
      </c>
      <c r="N1287" s="28" t="s">
        <v>1830</v>
      </c>
      <c r="O1287" s="29" t="s">
        <v>1831</v>
      </c>
      <c r="P1287" s="36">
        <v>43878</v>
      </c>
      <c r="Q1287" s="31">
        <v>28393.3</v>
      </c>
      <c r="R1287" s="33">
        <f>M1287/Q1287</f>
        <v>76.181035666865071</v>
      </c>
    </row>
    <row r="1288" spans="1:18" s="30" customFormat="1" ht="15" customHeight="1">
      <c r="A1288" s="37" t="s">
        <v>874</v>
      </c>
      <c r="B1288" s="26" t="s">
        <v>875</v>
      </c>
      <c r="C1288" s="39">
        <v>123</v>
      </c>
      <c r="D1288" s="40" t="s">
        <v>1997</v>
      </c>
      <c r="E1288" s="38" t="s">
        <v>3</v>
      </c>
      <c r="F1288" s="38" t="s">
        <v>21</v>
      </c>
      <c r="G1288" s="32">
        <v>0</v>
      </c>
      <c r="H1288" s="32">
        <v>0</v>
      </c>
      <c r="I1288" s="32">
        <v>1351105</v>
      </c>
      <c r="J1288" s="35">
        <f>+G1288-H1288+I1288</f>
        <v>1351105</v>
      </c>
      <c r="K1288" s="28">
        <v>0</v>
      </c>
      <c r="L1288" s="32">
        <v>0</v>
      </c>
      <c r="M1288" s="35">
        <f>+J1288+L1288</f>
        <v>1351105</v>
      </c>
      <c r="N1288" s="28" t="s">
        <v>1512</v>
      </c>
      <c r="O1288" s="29" t="s">
        <v>1513</v>
      </c>
      <c r="P1288" s="36">
        <v>44972</v>
      </c>
      <c r="Q1288" s="31">
        <v>35378.559999999998</v>
      </c>
      <c r="R1288" s="33">
        <f>M1288/Q1288</f>
        <v>38.189937634544769</v>
      </c>
    </row>
    <row r="1289" spans="1:18" s="30" customFormat="1" ht="15" customHeight="1">
      <c r="A1289" s="37" t="s">
        <v>356</v>
      </c>
      <c r="B1289" s="26" t="s">
        <v>1540</v>
      </c>
      <c r="C1289" s="39">
        <v>123</v>
      </c>
      <c r="D1289" s="40" t="s">
        <v>1998</v>
      </c>
      <c r="E1289" s="38" t="s">
        <v>3</v>
      </c>
      <c r="F1289" s="38" t="s">
        <v>13</v>
      </c>
      <c r="G1289" s="32">
        <v>28937266</v>
      </c>
      <c r="H1289" s="32">
        <v>0</v>
      </c>
      <c r="I1289" s="32">
        <v>18435563</v>
      </c>
      <c r="J1289" s="35">
        <f>+G1289-H1289+I1289</f>
        <v>47372829</v>
      </c>
      <c r="K1289" s="28">
        <v>0</v>
      </c>
      <c r="L1289" s="32">
        <v>0</v>
      </c>
      <c r="M1289" s="35">
        <f>+J1289+L1289</f>
        <v>47372829</v>
      </c>
      <c r="N1289" s="28" t="s">
        <v>1939</v>
      </c>
      <c r="O1289" s="29" t="s">
        <v>1543</v>
      </c>
      <c r="P1289" s="36">
        <v>43263</v>
      </c>
      <c r="Q1289" s="31">
        <v>27110</v>
      </c>
      <c r="R1289" s="33">
        <f>M1289/Q1289</f>
        <v>1747.4300627074881</v>
      </c>
    </row>
    <row r="1290" spans="1:18" s="30" customFormat="1" ht="15" customHeight="1">
      <c r="A1290" s="37" t="s">
        <v>39</v>
      </c>
      <c r="B1290" s="26" t="s">
        <v>1658</v>
      </c>
      <c r="C1290" s="39">
        <v>123</v>
      </c>
      <c r="D1290" s="40" t="s">
        <v>1999</v>
      </c>
      <c r="E1290" s="38" t="s">
        <v>3</v>
      </c>
      <c r="F1290" s="38" t="s">
        <v>11</v>
      </c>
      <c r="G1290" s="32">
        <v>0</v>
      </c>
      <c r="H1290" s="32">
        <v>17225765</v>
      </c>
      <c r="I1290" s="52">
        <v>0</v>
      </c>
      <c r="J1290" s="35">
        <f>+G1290-H1290+I1290</f>
        <v>-17225765</v>
      </c>
      <c r="K1290" s="28">
        <v>0</v>
      </c>
      <c r="L1290" s="32">
        <v>0</v>
      </c>
      <c r="M1290" s="35">
        <f>+J1290+L1290</f>
        <v>-17225765</v>
      </c>
      <c r="N1290" s="28" t="s">
        <v>1917</v>
      </c>
      <c r="O1290" s="29" t="s">
        <v>1918</v>
      </c>
      <c r="P1290" s="36">
        <v>43495</v>
      </c>
      <c r="Q1290" s="31">
        <v>27547.11</v>
      </c>
      <c r="R1290" s="33">
        <f>M1290/Q1290</f>
        <v>-625.32022415418533</v>
      </c>
    </row>
    <row r="1291" spans="1:18" s="30" customFormat="1" ht="15" customHeight="1">
      <c r="A1291" s="37" t="s">
        <v>688</v>
      </c>
      <c r="B1291" s="26" t="s">
        <v>1728</v>
      </c>
      <c r="C1291" s="39">
        <v>123</v>
      </c>
      <c r="D1291" s="40" t="s">
        <v>2000</v>
      </c>
      <c r="E1291" s="38" t="s">
        <v>4</v>
      </c>
      <c r="F1291" s="38" t="s">
        <v>11</v>
      </c>
      <c r="G1291" s="32">
        <v>0</v>
      </c>
      <c r="H1291" s="32">
        <v>2235241.1647999999</v>
      </c>
      <c r="I1291" s="52">
        <v>0</v>
      </c>
      <c r="J1291" s="35">
        <f>+G1291-H1291+I1291</f>
        <v>-2235241.1647999999</v>
      </c>
      <c r="K1291" s="28">
        <v>0</v>
      </c>
      <c r="L1291" s="32">
        <v>0</v>
      </c>
      <c r="M1291" s="35">
        <f>+J1291+L1291</f>
        <v>-2235241.1647999999</v>
      </c>
      <c r="N1291" s="28" t="s">
        <v>1935</v>
      </c>
      <c r="O1291" s="29" t="s">
        <v>1936</v>
      </c>
      <c r="P1291" s="36">
        <v>42899</v>
      </c>
      <c r="Q1291" s="31">
        <v>26649.99</v>
      </c>
      <c r="R1291" s="33">
        <f>M1291/Q1291</f>
        <v>-83.873996380486432</v>
      </c>
    </row>
    <row r="1292" spans="1:18" s="30" customFormat="1" ht="15" customHeight="1">
      <c r="A1292" s="37" t="s">
        <v>293</v>
      </c>
      <c r="B1292" s="26" t="s">
        <v>294</v>
      </c>
      <c r="C1292" s="39">
        <v>122</v>
      </c>
      <c r="D1292" s="40" t="s">
        <v>2001</v>
      </c>
      <c r="E1292" s="38" t="s">
        <v>6</v>
      </c>
      <c r="F1292" s="38" t="s">
        <v>13</v>
      </c>
      <c r="G1292" s="32">
        <v>36640345</v>
      </c>
      <c r="H1292" s="32">
        <v>44628928</v>
      </c>
      <c r="I1292" s="52">
        <v>0</v>
      </c>
      <c r="J1292" s="35">
        <f>+G1292-H1292+I1292</f>
        <v>-7988583</v>
      </c>
      <c r="K1292" s="28">
        <v>0</v>
      </c>
      <c r="L1292" s="32">
        <v>0</v>
      </c>
      <c r="M1292" s="35">
        <f>+J1292+L1292</f>
        <v>-7988583</v>
      </c>
      <c r="N1292" s="28" t="s">
        <v>1567</v>
      </c>
      <c r="O1292" s="29" t="s">
        <v>1568</v>
      </c>
      <c r="P1292" s="36">
        <v>43886</v>
      </c>
      <c r="Q1292" s="31">
        <v>28440.19</v>
      </c>
      <c r="R1292" s="33">
        <f>M1292/Q1292</f>
        <v>-280.89063399365477</v>
      </c>
    </row>
    <row r="1293" spans="1:18" s="30" customFormat="1" ht="15" customHeight="1">
      <c r="A1293" s="37" t="s">
        <v>874</v>
      </c>
      <c r="B1293" s="26" t="s">
        <v>875</v>
      </c>
      <c r="C1293" s="39">
        <v>122</v>
      </c>
      <c r="D1293" s="40" t="s">
        <v>2002</v>
      </c>
      <c r="E1293" s="38" t="s">
        <v>4</v>
      </c>
      <c r="F1293" s="38" t="s">
        <v>13</v>
      </c>
      <c r="G1293" s="32">
        <v>58622</v>
      </c>
      <c r="H1293" s="32">
        <v>0</v>
      </c>
      <c r="I1293" s="32">
        <v>635474</v>
      </c>
      <c r="J1293" s="35">
        <f>+G1293-H1293+I1293</f>
        <v>694096</v>
      </c>
      <c r="K1293" s="28">
        <v>0</v>
      </c>
      <c r="L1293" s="32">
        <v>0</v>
      </c>
      <c r="M1293" s="35">
        <f>+J1293+L1293</f>
        <v>694096</v>
      </c>
      <c r="N1293" s="28" t="s">
        <v>1512</v>
      </c>
      <c r="O1293" s="29" t="s">
        <v>1513</v>
      </c>
      <c r="P1293" s="36">
        <v>44972</v>
      </c>
      <c r="Q1293" s="31">
        <v>35378.559999999998</v>
      </c>
      <c r="R1293" s="33">
        <f>M1293/Q1293</f>
        <v>19.619113949239313</v>
      </c>
    </row>
    <row r="1294" spans="1:18" s="30" customFormat="1" ht="15" customHeight="1">
      <c r="A1294" s="37" t="s">
        <v>356</v>
      </c>
      <c r="B1294" s="26" t="s">
        <v>1540</v>
      </c>
      <c r="C1294" s="39">
        <v>122</v>
      </c>
      <c r="D1294" s="40" t="s">
        <v>2003</v>
      </c>
      <c r="E1294" s="38" t="s">
        <v>3</v>
      </c>
      <c r="F1294" s="38" t="s">
        <v>13</v>
      </c>
      <c r="G1294" s="32">
        <v>41274371</v>
      </c>
      <c r="H1294" s="32">
        <v>10465545</v>
      </c>
      <c r="I1294" s="32">
        <v>1510727</v>
      </c>
      <c r="J1294" s="35">
        <f>+G1294-H1294+I1294</f>
        <v>32319553</v>
      </c>
      <c r="K1294" s="28">
        <v>0</v>
      </c>
      <c r="L1294" s="32">
        <v>0</v>
      </c>
      <c r="M1294" s="35">
        <f>+J1294+L1294</f>
        <v>32319553</v>
      </c>
      <c r="N1294" s="28" t="s">
        <v>1939</v>
      </c>
      <c r="O1294" s="29" t="s">
        <v>1940</v>
      </c>
      <c r="P1294" s="36">
        <v>43263</v>
      </c>
      <c r="Q1294" s="31">
        <v>27110</v>
      </c>
      <c r="R1294" s="33">
        <f>M1294/Q1294</f>
        <v>1192.1635189966803</v>
      </c>
    </row>
    <row r="1295" spans="1:18" s="30" customFormat="1" ht="15" customHeight="1">
      <c r="A1295" s="37" t="s">
        <v>39</v>
      </c>
      <c r="B1295" s="26" t="s">
        <v>1658</v>
      </c>
      <c r="C1295" s="39">
        <v>122</v>
      </c>
      <c r="D1295" s="40" t="s">
        <v>2004</v>
      </c>
      <c r="E1295" s="38" t="s">
        <v>4</v>
      </c>
      <c r="F1295" s="38" t="s">
        <v>11</v>
      </c>
      <c r="G1295" s="32">
        <v>15798983</v>
      </c>
      <c r="H1295" s="32">
        <v>0</v>
      </c>
      <c r="I1295" s="52">
        <v>0</v>
      </c>
      <c r="J1295" s="35">
        <f>+G1295-H1295+I1295</f>
        <v>15798983</v>
      </c>
      <c r="K1295" s="28">
        <v>0</v>
      </c>
      <c r="L1295" s="32">
        <v>0</v>
      </c>
      <c r="M1295" s="35">
        <f>+J1295+L1295</f>
        <v>15798983</v>
      </c>
      <c r="N1295" s="28" t="s">
        <v>1917</v>
      </c>
      <c r="O1295" s="29" t="s">
        <v>1918</v>
      </c>
      <c r="P1295" s="36">
        <v>43495</v>
      </c>
      <c r="Q1295" s="31">
        <v>27547.11</v>
      </c>
      <c r="R1295" s="33">
        <f>M1295/Q1295</f>
        <v>573.52597060090875</v>
      </c>
    </row>
    <row r="1296" spans="1:18" s="30" customFormat="1" ht="15" customHeight="1">
      <c r="A1296" s="37" t="s">
        <v>688</v>
      </c>
      <c r="B1296" s="26" t="s">
        <v>1728</v>
      </c>
      <c r="C1296" s="39">
        <v>122</v>
      </c>
      <c r="D1296" s="40" t="s">
        <v>2005</v>
      </c>
      <c r="E1296" s="38" t="s">
        <v>4</v>
      </c>
      <c r="F1296" s="38" t="s">
        <v>13</v>
      </c>
      <c r="G1296" s="32">
        <v>1537822.72</v>
      </c>
      <c r="H1296" s="32">
        <v>0</v>
      </c>
      <c r="I1296" s="52">
        <v>0</v>
      </c>
      <c r="J1296" s="35">
        <f>+G1296-H1296+I1296</f>
        <v>1537822.72</v>
      </c>
      <c r="K1296" s="28">
        <v>0</v>
      </c>
      <c r="L1296" s="32">
        <v>0</v>
      </c>
      <c r="M1296" s="35">
        <f>+J1296+L1296</f>
        <v>1537822.72</v>
      </c>
      <c r="N1296" s="28" t="s">
        <v>1935</v>
      </c>
      <c r="O1296" s="29" t="s">
        <v>1936</v>
      </c>
      <c r="P1296" s="36">
        <v>42899</v>
      </c>
      <c r="Q1296" s="31">
        <v>26649.99</v>
      </c>
      <c r="R1296" s="33">
        <f>M1296/Q1296</f>
        <v>57.704438913485518</v>
      </c>
    </row>
    <row r="1297" spans="1:18" s="30" customFormat="1" ht="15" customHeight="1">
      <c r="A1297" s="37" t="s">
        <v>293</v>
      </c>
      <c r="B1297" s="26" t="s">
        <v>294</v>
      </c>
      <c r="C1297" s="39">
        <v>121</v>
      </c>
      <c r="D1297" s="40" t="s">
        <v>2006</v>
      </c>
      <c r="E1297" s="38" t="s">
        <v>6</v>
      </c>
      <c r="F1297" s="38" t="s">
        <v>13</v>
      </c>
      <c r="G1297" s="32">
        <v>11732518</v>
      </c>
      <c r="H1297" s="32">
        <v>12770075</v>
      </c>
      <c r="I1297" s="52">
        <v>0</v>
      </c>
      <c r="J1297" s="35">
        <f>+G1297-H1297+I1297</f>
        <v>-1037557</v>
      </c>
      <c r="K1297" s="28">
        <v>0</v>
      </c>
      <c r="L1297" s="32">
        <v>0</v>
      </c>
      <c r="M1297" s="35">
        <f>+J1297+L1297</f>
        <v>-1037557</v>
      </c>
      <c r="N1297" s="28" t="s">
        <v>1567</v>
      </c>
      <c r="O1297" s="29" t="s">
        <v>1568</v>
      </c>
      <c r="P1297" s="36">
        <v>43886</v>
      </c>
      <c r="Q1297" s="31">
        <v>28440.19</v>
      </c>
      <c r="R1297" s="33">
        <f>M1297/Q1297</f>
        <v>-36.482069915847958</v>
      </c>
    </row>
    <row r="1298" spans="1:18" s="30" customFormat="1" ht="15" customHeight="1">
      <c r="A1298" s="37" t="s">
        <v>874</v>
      </c>
      <c r="B1298" s="26" t="s">
        <v>875</v>
      </c>
      <c r="C1298" s="39">
        <v>121</v>
      </c>
      <c r="D1298" s="40" t="s">
        <v>2007</v>
      </c>
      <c r="E1298" s="38" t="s">
        <v>3</v>
      </c>
      <c r="F1298" s="38" t="s">
        <v>10</v>
      </c>
      <c r="G1298" s="32">
        <v>443232</v>
      </c>
      <c r="H1298" s="32">
        <v>0</v>
      </c>
      <c r="I1298" s="32">
        <v>0</v>
      </c>
      <c r="J1298" s="35">
        <f>+G1298-H1298+I1298</f>
        <v>443232</v>
      </c>
      <c r="K1298" s="28">
        <v>0</v>
      </c>
      <c r="L1298" s="32">
        <v>0</v>
      </c>
      <c r="M1298" s="35">
        <f>+J1298+L1298</f>
        <v>443232</v>
      </c>
      <c r="N1298" s="28" t="s">
        <v>1512</v>
      </c>
      <c r="O1298" s="29" t="s">
        <v>1513</v>
      </c>
      <c r="P1298" s="36">
        <v>44972</v>
      </c>
      <c r="Q1298" s="31">
        <v>35378.559999999998</v>
      </c>
      <c r="R1298" s="33">
        <f>M1298/Q1298</f>
        <v>12.528265706687893</v>
      </c>
    </row>
    <row r="1299" spans="1:18" s="30" customFormat="1" ht="15" customHeight="1">
      <c r="A1299" s="37" t="s">
        <v>356</v>
      </c>
      <c r="B1299" s="26" t="s">
        <v>1540</v>
      </c>
      <c r="C1299" s="39">
        <v>121</v>
      </c>
      <c r="D1299" s="40" t="s">
        <v>2008</v>
      </c>
      <c r="E1299" s="38" t="s">
        <v>3</v>
      </c>
      <c r="F1299" s="38" t="s">
        <v>11</v>
      </c>
      <c r="G1299" s="32">
        <v>21396873</v>
      </c>
      <c r="H1299" s="32">
        <v>0</v>
      </c>
      <c r="I1299" s="32">
        <v>15254839</v>
      </c>
      <c r="J1299" s="35">
        <f>+G1299-H1299+I1299</f>
        <v>36651712</v>
      </c>
      <c r="K1299" s="28">
        <v>0</v>
      </c>
      <c r="L1299" s="32">
        <v>0</v>
      </c>
      <c r="M1299" s="35">
        <f>+J1299+L1299</f>
        <v>36651712</v>
      </c>
      <c r="N1299" s="28" t="s">
        <v>1939</v>
      </c>
      <c r="O1299" s="29" t="s">
        <v>1940</v>
      </c>
      <c r="P1299" s="36">
        <v>43263</v>
      </c>
      <c r="Q1299" s="31">
        <v>27110</v>
      </c>
      <c r="R1299" s="33">
        <f>M1299/Q1299</f>
        <v>1351.9628181482847</v>
      </c>
    </row>
    <row r="1300" spans="1:18" s="30" customFormat="1" ht="15" customHeight="1">
      <c r="A1300" s="37" t="s">
        <v>39</v>
      </c>
      <c r="B1300" s="26" t="s">
        <v>1658</v>
      </c>
      <c r="C1300" s="39">
        <v>121</v>
      </c>
      <c r="D1300" s="40" t="s">
        <v>2009</v>
      </c>
      <c r="E1300" s="38" t="s">
        <v>4</v>
      </c>
      <c r="F1300" s="38" t="s">
        <v>11</v>
      </c>
      <c r="G1300" s="32">
        <v>2722870</v>
      </c>
      <c r="H1300" s="32">
        <v>0</v>
      </c>
      <c r="I1300" s="52">
        <v>0</v>
      </c>
      <c r="J1300" s="35">
        <f>+G1300-H1300+I1300</f>
        <v>2722870</v>
      </c>
      <c r="K1300" s="28">
        <v>0</v>
      </c>
      <c r="L1300" s="32">
        <v>0</v>
      </c>
      <c r="M1300" s="35">
        <f>+J1300+L1300</f>
        <v>2722870</v>
      </c>
      <c r="N1300" s="28" t="s">
        <v>1917</v>
      </c>
      <c r="O1300" s="29" t="s">
        <v>1918</v>
      </c>
      <c r="P1300" s="36">
        <v>43495</v>
      </c>
      <c r="Q1300" s="31">
        <v>27547.11</v>
      </c>
      <c r="R1300" s="33">
        <f>M1300/Q1300</f>
        <v>98.844125572519218</v>
      </c>
    </row>
    <row r="1301" spans="1:18" s="30" customFormat="1" ht="15" customHeight="1">
      <c r="A1301" s="37" t="s">
        <v>293</v>
      </c>
      <c r="B1301" s="26" t="s">
        <v>294</v>
      </c>
      <c r="C1301" s="39">
        <v>120</v>
      </c>
      <c r="D1301" s="40" t="s">
        <v>2010</v>
      </c>
      <c r="E1301" s="38" t="s">
        <v>6</v>
      </c>
      <c r="F1301" s="38" t="s">
        <v>13</v>
      </c>
      <c r="G1301" s="32">
        <v>169116371</v>
      </c>
      <c r="H1301" s="32">
        <v>187625409</v>
      </c>
      <c r="I1301" s="52">
        <v>0</v>
      </c>
      <c r="J1301" s="35">
        <f>+G1301-H1301+I1301</f>
        <v>-18509038</v>
      </c>
      <c r="K1301" s="28">
        <v>0</v>
      </c>
      <c r="L1301" s="32">
        <v>0</v>
      </c>
      <c r="M1301" s="35">
        <f>+J1301+L1301</f>
        <v>-18509038</v>
      </c>
      <c r="N1301" s="28" t="s">
        <v>1567</v>
      </c>
      <c r="O1301" s="29" t="s">
        <v>1568</v>
      </c>
      <c r="P1301" s="36">
        <v>43886</v>
      </c>
      <c r="Q1301" s="31">
        <v>28440.19</v>
      </c>
      <c r="R1301" s="33">
        <f>M1301/Q1301</f>
        <v>-650.80570840068231</v>
      </c>
    </row>
    <row r="1302" spans="1:18" s="30" customFormat="1" ht="15" customHeight="1">
      <c r="A1302" s="37" t="s">
        <v>356</v>
      </c>
      <c r="B1302" s="26" t="s">
        <v>1841</v>
      </c>
      <c r="C1302" s="39">
        <v>120</v>
      </c>
      <c r="D1302" s="40" t="s">
        <v>2011</v>
      </c>
      <c r="E1302" s="38" t="s">
        <v>6</v>
      </c>
      <c r="F1302" s="38" t="s">
        <v>11</v>
      </c>
      <c r="G1302" s="32">
        <v>540306</v>
      </c>
      <c r="H1302" s="32">
        <v>0</v>
      </c>
      <c r="I1302" s="32">
        <v>716386</v>
      </c>
      <c r="J1302" s="35">
        <f>+G1302-H1302+I1302</f>
        <v>1256692</v>
      </c>
      <c r="K1302" s="28">
        <v>0</v>
      </c>
      <c r="L1302" s="32">
        <v>0</v>
      </c>
      <c r="M1302" s="35">
        <f>+J1302+L1302</f>
        <v>1256692</v>
      </c>
      <c r="N1302" s="28" t="s">
        <v>1962</v>
      </c>
      <c r="O1302" s="29" t="s">
        <v>1963</v>
      </c>
      <c r="P1302" s="36">
        <v>44329</v>
      </c>
      <c r="Q1302" s="31">
        <v>29544.69</v>
      </c>
      <c r="R1302" s="33">
        <f>M1302/Q1302</f>
        <v>42.53529145169572</v>
      </c>
    </row>
    <row r="1303" spans="1:18" s="30" customFormat="1" ht="15" customHeight="1">
      <c r="A1303" s="37" t="s">
        <v>356</v>
      </c>
      <c r="B1303" s="26" t="s">
        <v>1540</v>
      </c>
      <c r="C1303" s="39">
        <v>120</v>
      </c>
      <c r="D1303" s="40" t="s">
        <v>2012</v>
      </c>
      <c r="E1303" s="38" t="s">
        <v>3</v>
      </c>
      <c r="F1303" s="38" t="s">
        <v>14</v>
      </c>
      <c r="G1303" s="32">
        <v>12691003</v>
      </c>
      <c r="H1303" s="32">
        <v>0</v>
      </c>
      <c r="I1303" s="32">
        <v>2260489</v>
      </c>
      <c r="J1303" s="35">
        <f>+G1303-H1303+I1303</f>
        <v>14951492</v>
      </c>
      <c r="K1303" s="28">
        <v>0</v>
      </c>
      <c r="L1303" s="32">
        <v>0</v>
      </c>
      <c r="M1303" s="35">
        <f>+J1303+L1303</f>
        <v>14951492</v>
      </c>
      <c r="N1303" s="28" t="s">
        <v>1939</v>
      </c>
      <c r="O1303" s="29" t="s">
        <v>1543</v>
      </c>
      <c r="P1303" s="36">
        <v>43263</v>
      </c>
      <c r="Q1303" s="31">
        <v>27110</v>
      </c>
      <c r="R1303" s="33">
        <f>M1303/Q1303</f>
        <v>551.51206196975284</v>
      </c>
    </row>
    <row r="1304" spans="1:18" s="30" customFormat="1" ht="15" customHeight="1">
      <c r="A1304" s="37" t="s">
        <v>391</v>
      </c>
      <c r="B1304" s="26" t="s">
        <v>392</v>
      </c>
      <c r="C1304" s="39">
        <v>171</v>
      </c>
      <c r="D1304" s="40" t="s">
        <v>2013</v>
      </c>
      <c r="E1304" s="38" t="s">
        <v>4</v>
      </c>
      <c r="F1304" s="38" t="s">
        <v>10</v>
      </c>
      <c r="G1304" s="32">
        <v>4128461</v>
      </c>
      <c r="H1304" s="32">
        <v>0</v>
      </c>
      <c r="I1304" s="32">
        <v>834948</v>
      </c>
      <c r="J1304" s="35">
        <f>+G1304-H1304+I1304</f>
        <v>4963409</v>
      </c>
      <c r="K1304" s="27">
        <v>18.59</v>
      </c>
      <c r="L1304" s="32">
        <v>0</v>
      </c>
      <c r="M1304" s="35">
        <f>+J1304+L1304</f>
        <v>4963409</v>
      </c>
      <c r="N1304" s="28" t="s">
        <v>467</v>
      </c>
      <c r="O1304" s="29" t="s">
        <v>395</v>
      </c>
      <c r="P1304" s="36">
        <v>44293</v>
      </c>
      <c r="Q1304" s="31">
        <v>29408.04</v>
      </c>
      <c r="R1304" s="33">
        <f>M1304/Q1304</f>
        <v>168.77727995473347</v>
      </c>
    </row>
    <row r="1305" spans="1:18" s="30" customFormat="1" ht="15" customHeight="1">
      <c r="A1305" s="37" t="s">
        <v>39</v>
      </c>
      <c r="B1305" s="26" t="s">
        <v>1658</v>
      </c>
      <c r="C1305" s="39">
        <v>120</v>
      </c>
      <c r="D1305" s="40" t="s">
        <v>2014</v>
      </c>
      <c r="E1305" s="38" t="s">
        <v>3</v>
      </c>
      <c r="F1305" s="38" t="s">
        <v>11</v>
      </c>
      <c r="G1305" s="32">
        <v>1102559</v>
      </c>
      <c r="H1305" s="32">
        <v>0</v>
      </c>
      <c r="I1305" s="52">
        <v>0</v>
      </c>
      <c r="J1305" s="35">
        <f>+G1305-H1305+I1305</f>
        <v>1102559</v>
      </c>
      <c r="K1305" s="28">
        <v>0</v>
      </c>
      <c r="L1305" s="32">
        <v>0</v>
      </c>
      <c r="M1305" s="35">
        <f>+J1305+L1305</f>
        <v>1102559</v>
      </c>
      <c r="N1305" s="28" t="s">
        <v>1917</v>
      </c>
      <c r="O1305" s="29" t="s">
        <v>1918</v>
      </c>
      <c r="P1305" s="36">
        <v>43495</v>
      </c>
      <c r="Q1305" s="31">
        <v>27547.11</v>
      </c>
      <c r="R1305" s="33">
        <f>M1305/Q1305</f>
        <v>40.024488957280816</v>
      </c>
    </row>
    <row r="1306" spans="1:18" s="30" customFormat="1" ht="15" customHeight="1">
      <c r="A1306" s="37" t="s">
        <v>293</v>
      </c>
      <c r="B1306" s="26" t="s">
        <v>294</v>
      </c>
      <c r="C1306" s="39">
        <v>119</v>
      </c>
      <c r="D1306" s="40" t="s">
        <v>2015</v>
      </c>
      <c r="E1306" s="38" t="s">
        <v>3</v>
      </c>
      <c r="F1306" s="38" t="s">
        <v>11</v>
      </c>
      <c r="G1306" s="32">
        <v>8672246</v>
      </c>
      <c r="H1306" s="32">
        <v>44476029</v>
      </c>
      <c r="I1306" s="32">
        <v>68561522</v>
      </c>
      <c r="J1306" s="35">
        <f>+G1306-H1306+I1306</f>
        <v>32757739</v>
      </c>
      <c r="K1306" s="28">
        <v>0</v>
      </c>
      <c r="L1306" s="32">
        <v>0</v>
      </c>
      <c r="M1306" s="35">
        <f>+J1306+L1306</f>
        <v>32757739</v>
      </c>
      <c r="N1306" s="28" t="s">
        <v>1626</v>
      </c>
      <c r="O1306" s="29" t="s">
        <v>1627</v>
      </c>
      <c r="P1306" s="36">
        <v>43886</v>
      </c>
      <c r="Q1306" s="31">
        <v>28440.19</v>
      </c>
      <c r="R1306" s="33">
        <f>M1306/Q1306</f>
        <v>1151.8115385305091</v>
      </c>
    </row>
    <row r="1307" spans="1:18" s="30" customFormat="1" ht="15" customHeight="1">
      <c r="A1307" s="37" t="s">
        <v>688</v>
      </c>
      <c r="B1307" s="26" t="s">
        <v>689</v>
      </c>
      <c r="C1307" s="39">
        <v>2</v>
      </c>
      <c r="D1307" s="40" t="s">
        <v>2016</v>
      </c>
      <c r="E1307" s="38" t="s">
        <v>3</v>
      </c>
      <c r="F1307" s="38" t="s">
        <v>2017</v>
      </c>
      <c r="G1307" s="32">
        <v>4165000</v>
      </c>
      <c r="H1307" s="32">
        <v>20345192</v>
      </c>
      <c r="I1307" s="32">
        <v>112718385</v>
      </c>
      <c r="J1307" s="35">
        <f>+G1307-H1307+I1307</f>
        <v>96538193</v>
      </c>
      <c r="K1307" s="27">
        <v>40</v>
      </c>
      <c r="L1307" s="32">
        <v>0</v>
      </c>
      <c r="M1307" s="35">
        <f>+J1307+L1307</f>
        <v>96538193</v>
      </c>
      <c r="N1307" s="28" t="s">
        <v>2018</v>
      </c>
      <c r="O1307" s="29" t="s">
        <v>2019</v>
      </c>
      <c r="P1307" s="36">
        <v>44790</v>
      </c>
      <c r="Q1307" s="31">
        <v>33624.720000000001</v>
      </c>
      <c r="R1307" s="33">
        <f>M1307/Q1307</f>
        <v>2871.0482347510997</v>
      </c>
    </row>
    <row r="1308" spans="1:18" s="30" customFormat="1" ht="15" customHeight="1">
      <c r="A1308" s="37" t="s">
        <v>293</v>
      </c>
      <c r="B1308" s="26" t="s">
        <v>294</v>
      </c>
      <c r="C1308" s="39">
        <v>459</v>
      </c>
      <c r="D1308" s="40" t="s">
        <v>2020</v>
      </c>
      <c r="E1308" s="38" t="s">
        <v>4</v>
      </c>
      <c r="F1308" s="38" t="s">
        <v>11</v>
      </c>
      <c r="G1308" s="32">
        <v>4170298</v>
      </c>
      <c r="H1308" s="32">
        <v>2547154</v>
      </c>
      <c r="I1308" s="52">
        <v>0</v>
      </c>
      <c r="J1308" s="35">
        <f>+G1308-H1308+I1308</f>
        <v>1623144</v>
      </c>
      <c r="K1308" s="27" t="s">
        <v>297</v>
      </c>
      <c r="L1308" s="32">
        <v>0</v>
      </c>
      <c r="M1308" s="35">
        <f>+J1308+L1308</f>
        <v>1623144</v>
      </c>
      <c r="N1308" s="28" t="s">
        <v>459</v>
      </c>
      <c r="O1308" s="29" t="s">
        <v>460</v>
      </c>
      <c r="P1308" s="36" t="s">
        <v>461</v>
      </c>
      <c r="Q1308" s="31">
        <v>30683.439999999999</v>
      </c>
      <c r="R1308" s="33">
        <f>+M1308/Q1308</f>
        <v>52.899674873482248</v>
      </c>
    </row>
    <row r="1309" spans="1:18" s="30" customFormat="1" ht="15" customHeight="1">
      <c r="A1309" s="37" t="s">
        <v>356</v>
      </c>
      <c r="B1309" s="26" t="s">
        <v>1841</v>
      </c>
      <c r="C1309" s="39">
        <v>119</v>
      </c>
      <c r="D1309" s="40" t="s">
        <v>2021</v>
      </c>
      <c r="E1309" s="38" t="s">
        <v>198</v>
      </c>
      <c r="F1309" s="38" t="s">
        <v>13</v>
      </c>
      <c r="G1309" s="32">
        <v>1893025</v>
      </c>
      <c r="H1309" s="32">
        <v>0</v>
      </c>
      <c r="I1309" s="32">
        <v>1951069</v>
      </c>
      <c r="J1309" s="35">
        <f>+G1309-H1309+I1309</f>
        <v>3844094</v>
      </c>
      <c r="K1309" s="28">
        <v>0</v>
      </c>
      <c r="L1309" s="32">
        <v>0</v>
      </c>
      <c r="M1309" s="35">
        <f>+J1309+L1309</f>
        <v>3844094</v>
      </c>
      <c r="N1309" s="28" t="s">
        <v>1962</v>
      </c>
      <c r="O1309" s="29" t="s">
        <v>1963</v>
      </c>
      <c r="P1309" s="36">
        <v>44329</v>
      </c>
      <c r="Q1309" s="31">
        <v>29544.69</v>
      </c>
      <c r="R1309" s="33">
        <f>M1309/Q1309</f>
        <v>130.11116379965401</v>
      </c>
    </row>
    <row r="1310" spans="1:18" s="30" customFormat="1" ht="15" customHeight="1">
      <c r="A1310" s="37" t="s">
        <v>356</v>
      </c>
      <c r="B1310" s="26" t="s">
        <v>1540</v>
      </c>
      <c r="C1310" s="39">
        <v>119</v>
      </c>
      <c r="D1310" s="40" t="s">
        <v>2022</v>
      </c>
      <c r="E1310" s="38" t="s">
        <v>3</v>
      </c>
      <c r="F1310" s="38" t="s">
        <v>11</v>
      </c>
      <c r="G1310" s="32">
        <v>0</v>
      </c>
      <c r="H1310" s="32">
        <v>0</v>
      </c>
      <c r="I1310" s="32">
        <v>1783720.8928139526</v>
      </c>
      <c r="J1310" s="35">
        <f>+G1310-H1310+I1310</f>
        <v>1783720.8928139526</v>
      </c>
      <c r="K1310" s="28">
        <v>0</v>
      </c>
      <c r="L1310" s="32">
        <v>0</v>
      </c>
      <c r="M1310" s="35">
        <f>+J1310+L1310</f>
        <v>1783720.8928139526</v>
      </c>
      <c r="N1310" s="28" t="s">
        <v>1939</v>
      </c>
      <c r="O1310" s="29" t="s">
        <v>1940</v>
      </c>
      <c r="P1310" s="36">
        <v>43263</v>
      </c>
      <c r="Q1310" s="31">
        <v>27110</v>
      </c>
      <c r="R1310" s="33">
        <f>M1310/Q1310</f>
        <v>65.795680295608733</v>
      </c>
    </row>
    <row r="1311" spans="1:18" s="30" customFormat="1" ht="15" customHeight="1">
      <c r="A1311" s="37" t="s">
        <v>39</v>
      </c>
      <c r="B1311" s="26" t="s">
        <v>1658</v>
      </c>
      <c r="C1311" s="39">
        <v>119</v>
      </c>
      <c r="D1311" s="40" t="s">
        <v>2023</v>
      </c>
      <c r="E1311" s="38" t="s">
        <v>4</v>
      </c>
      <c r="F1311" s="38" t="s">
        <v>15</v>
      </c>
      <c r="G1311" s="32">
        <v>15580310</v>
      </c>
      <c r="H1311" s="32">
        <v>6538670</v>
      </c>
      <c r="I1311" s="32">
        <v>1570963</v>
      </c>
      <c r="J1311" s="35">
        <f>+G1311-H1311+I1311</f>
        <v>10612603</v>
      </c>
      <c r="K1311" s="28">
        <v>0</v>
      </c>
      <c r="L1311" s="32">
        <v>0</v>
      </c>
      <c r="M1311" s="35">
        <f>+J1311+L1311</f>
        <v>10612603</v>
      </c>
      <c r="N1311" s="28" t="s">
        <v>1917</v>
      </c>
      <c r="O1311" s="29" t="s">
        <v>1918</v>
      </c>
      <c r="P1311" s="36">
        <v>43495</v>
      </c>
      <c r="Q1311" s="31">
        <v>27547.11</v>
      </c>
      <c r="R1311" s="33">
        <f>M1311/Q1311</f>
        <v>385.25286318601115</v>
      </c>
    </row>
    <row r="1312" spans="1:18" s="30" customFormat="1" ht="15" customHeight="1">
      <c r="A1312" s="37" t="s">
        <v>688</v>
      </c>
      <c r="B1312" s="26" t="s">
        <v>1728</v>
      </c>
      <c r="C1312" s="39">
        <v>119</v>
      </c>
      <c r="D1312" s="40" t="s">
        <v>2024</v>
      </c>
      <c r="E1312" s="38" t="s">
        <v>198</v>
      </c>
      <c r="F1312" s="38" t="s">
        <v>11</v>
      </c>
      <c r="G1312" s="32">
        <v>6056168</v>
      </c>
      <c r="H1312" s="32">
        <v>0</v>
      </c>
      <c r="I1312" s="52">
        <v>0</v>
      </c>
      <c r="J1312" s="35">
        <f>+G1312-H1312+I1312</f>
        <v>6056168</v>
      </c>
      <c r="K1312" s="28">
        <v>0</v>
      </c>
      <c r="L1312" s="32">
        <v>0</v>
      </c>
      <c r="M1312" s="35">
        <f>+J1312+L1312</f>
        <v>6056168</v>
      </c>
      <c r="N1312" s="28" t="s">
        <v>1730</v>
      </c>
      <c r="O1312" s="29" t="s">
        <v>1731</v>
      </c>
      <c r="P1312" s="36">
        <v>43444</v>
      </c>
      <c r="Q1312" s="31">
        <v>27565.79</v>
      </c>
      <c r="R1312" s="33">
        <f>M1312/Q1312</f>
        <v>219.69869174799632</v>
      </c>
    </row>
    <row r="1313" spans="1:18" s="30" customFormat="1" ht="15" customHeight="1">
      <c r="A1313" s="37" t="s">
        <v>391</v>
      </c>
      <c r="B1313" s="26" t="s">
        <v>392</v>
      </c>
      <c r="C1313" s="39">
        <v>118</v>
      </c>
      <c r="D1313" s="40" t="s">
        <v>2025</v>
      </c>
      <c r="E1313" s="38" t="s">
        <v>4</v>
      </c>
      <c r="F1313" s="38" t="s">
        <v>11</v>
      </c>
      <c r="G1313" s="32">
        <v>740260</v>
      </c>
      <c r="H1313" s="32">
        <v>740260</v>
      </c>
      <c r="I1313" s="52">
        <v>0</v>
      </c>
      <c r="J1313" s="35">
        <f>+G1313-H1313+I1313</f>
        <v>0</v>
      </c>
      <c r="K1313" s="28">
        <v>0</v>
      </c>
      <c r="L1313" s="32">
        <v>0</v>
      </c>
      <c r="M1313" s="35">
        <f>+J1313+L1313</f>
        <v>0</v>
      </c>
      <c r="N1313" s="28" t="s">
        <v>2026</v>
      </c>
      <c r="O1313" s="29" t="s">
        <v>2027</v>
      </c>
      <c r="P1313" s="36">
        <v>43789</v>
      </c>
      <c r="Q1313" s="31">
        <v>28147.47</v>
      </c>
      <c r="R1313" s="33">
        <f>M1313/Q1313</f>
        <v>0</v>
      </c>
    </row>
    <row r="1314" spans="1:18" s="30" customFormat="1" ht="15" customHeight="1">
      <c r="A1314" s="37" t="s">
        <v>293</v>
      </c>
      <c r="B1314" s="26" t="s">
        <v>294</v>
      </c>
      <c r="C1314" s="39">
        <v>118</v>
      </c>
      <c r="D1314" s="40" t="s">
        <v>2028</v>
      </c>
      <c r="E1314" s="38" t="s">
        <v>6</v>
      </c>
      <c r="F1314" s="38" t="s">
        <v>11</v>
      </c>
      <c r="G1314" s="32">
        <v>42669949</v>
      </c>
      <c r="H1314" s="32">
        <v>56975330</v>
      </c>
      <c r="I1314" s="52">
        <v>0</v>
      </c>
      <c r="J1314" s="35">
        <f>+G1314-H1314+I1314</f>
        <v>-14305381</v>
      </c>
      <c r="K1314" s="28">
        <v>0</v>
      </c>
      <c r="L1314" s="32">
        <v>0</v>
      </c>
      <c r="M1314" s="35">
        <f>+J1314+L1314</f>
        <v>-14305381</v>
      </c>
      <c r="N1314" s="28" t="s">
        <v>1537</v>
      </c>
      <c r="O1314" s="29" t="s">
        <v>1538</v>
      </c>
      <c r="P1314" s="36">
        <v>43914</v>
      </c>
      <c r="Q1314" s="31">
        <v>28331.86</v>
      </c>
      <c r="R1314" s="33">
        <f>M1314/Q1314</f>
        <v>-504.92205594690921</v>
      </c>
    </row>
    <row r="1315" spans="1:18" s="30" customFormat="1" ht="15" customHeight="1">
      <c r="A1315" s="37" t="s">
        <v>356</v>
      </c>
      <c r="B1315" s="26" t="s">
        <v>1841</v>
      </c>
      <c r="C1315" s="39">
        <v>118</v>
      </c>
      <c r="D1315" s="40" t="s">
        <v>2029</v>
      </c>
      <c r="E1315" s="38" t="s">
        <v>4</v>
      </c>
      <c r="F1315" s="38" t="s">
        <v>12</v>
      </c>
      <c r="G1315" s="32">
        <v>1779000</v>
      </c>
      <c r="H1315" s="32">
        <v>29123097</v>
      </c>
      <c r="I1315" s="32">
        <v>30407288</v>
      </c>
      <c r="J1315" s="35">
        <f>+G1315-H1315+I1315</f>
        <v>3063191</v>
      </c>
      <c r="K1315" s="28">
        <v>0</v>
      </c>
      <c r="L1315" s="32">
        <v>0</v>
      </c>
      <c r="M1315" s="35">
        <f>+J1315+L1315</f>
        <v>3063191</v>
      </c>
      <c r="N1315" s="28" t="s">
        <v>1962</v>
      </c>
      <c r="O1315" s="29" t="s">
        <v>1963</v>
      </c>
      <c r="P1315" s="36">
        <v>44329</v>
      </c>
      <c r="Q1315" s="31">
        <v>29462.75</v>
      </c>
      <c r="R1315" s="33">
        <f>M1315/Q1315</f>
        <v>103.96826501260065</v>
      </c>
    </row>
    <row r="1316" spans="1:18" s="30" customFormat="1" ht="15" customHeight="1">
      <c r="A1316" s="37" t="s">
        <v>356</v>
      </c>
      <c r="B1316" s="26" t="s">
        <v>1540</v>
      </c>
      <c r="C1316" s="39">
        <v>118</v>
      </c>
      <c r="D1316" s="40" t="s">
        <v>2030</v>
      </c>
      <c r="E1316" s="38" t="s">
        <v>3</v>
      </c>
      <c r="F1316" s="38" t="s">
        <v>11</v>
      </c>
      <c r="G1316" s="32">
        <v>0</v>
      </c>
      <c r="H1316" s="32">
        <v>7636165.4530561911</v>
      </c>
      <c r="I1316" s="52">
        <v>0</v>
      </c>
      <c r="J1316" s="35">
        <f>+G1316-H1316+I1316</f>
        <v>-7636165.4530561911</v>
      </c>
      <c r="K1316" s="28">
        <v>0</v>
      </c>
      <c r="L1316" s="32">
        <v>0</v>
      </c>
      <c r="M1316" s="35">
        <f>+J1316+L1316</f>
        <v>-7636165.4530561911</v>
      </c>
      <c r="N1316" s="28" t="s">
        <v>1939</v>
      </c>
      <c r="O1316" s="29" t="s">
        <v>1940</v>
      </c>
      <c r="P1316" s="36">
        <v>43263</v>
      </c>
      <c r="Q1316" s="31">
        <v>27110</v>
      </c>
      <c r="R1316" s="33">
        <f>M1316/Q1316</f>
        <v>-281.67338447274773</v>
      </c>
    </row>
    <row r="1317" spans="1:18" s="30" customFormat="1" ht="15" customHeight="1">
      <c r="A1317" s="37" t="s">
        <v>39</v>
      </c>
      <c r="B1317" s="26" t="s">
        <v>1658</v>
      </c>
      <c r="C1317" s="39">
        <v>118</v>
      </c>
      <c r="D1317" s="40" t="s">
        <v>2031</v>
      </c>
      <c r="E1317" s="38" t="s">
        <v>4</v>
      </c>
      <c r="F1317" s="38" t="s">
        <v>15</v>
      </c>
      <c r="G1317" s="32">
        <v>2383499</v>
      </c>
      <c r="H1317" s="32">
        <v>0</v>
      </c>
      <c r="I1317" s="52">
        <v>0</v>
      </c>
      <c r="J1317" s="35">
        <f>+G1317-H1317+I1317</f>
        <v>2383499</v>
      </c>
      <c r="K1317" s="28">
        <v>0</v>
      </c>
      <c r="L1317" s="32">
        <v>0</v>
      </c>
      <c r="M1317" s="35">
        <f>+J1317+L1317</f>
        <v>2383499</v>
      </c>
      <c r="N1317" s="28" t="s">
        <v>1917</v>
      </c>
      <c r="O1317" s="29" t="s">
        <v>1918</v>
      </c>
      <c r="P1317" s="36">
        <v>43495</v>
      </c>
      <c r="Q1317" s="31">
        <v>27547.11</v>
      </c>
      <c r="R1317" s="33">
        <f>M1317/Q1317</f>
        <v>86.524466631889879</v>
      </c>
    </row>
    <row r="1318" spans="1:18" s="30" customFormat="1" ht="15" customHeight="1">
      <c r="A1318" s="37" t="s">
        <v>293</v>
      </c>
      <c r="B1318" s="26" t="s">
        <v>294</v>
      </c>
      <c r="C1318" s="39">
        <v>117</v>
      </c>
      <c r="D1318" s="40" t="s">
        <v>2032</v>
      </c>
      <c r="E1318" s="38" t="s">
        <v>6</v>
      </c>
      <c r="F1318" s="38" t="s">
        <v>11</v>
      </c>
      <c r="G1318" s="32">
        <v>154634599</v>
      </c>
      <c r="H1318" s="32">
        <v>147168274</v>
      </c>
      <c r="I1318" s="52">
        <v>0</v>
      </c>
      <c r="J1318" s="35">
        <f>+G1318-H1318+I1318</f>
        <v>7466325</v>
      </c>
      <c r="K1318" s="28">
        <v>0</v>
      </c>
      <c r="L1318" s="32">
        <v>0</v>
      </c>
      <c r="M1318" s="35">
        <f>+J1318+L1318</f>
        <v>7466325</v>
      </c>
      <c r="N1318" s="28" t="s">
        <v>1411</v>
      </c>
      <c r="O1318" s="29" t="s">
        <v>1412</v>
      </c>
      <c r="P1318" s="36" t="s">
        <v>1413</v>
      </c>
      <c r="Q1318" s="31">
        <v>29598.01</v>
      </c>
      <c r="R1318" s="33">
        <f>+M1318/Q1318</f>
        <v>252.25766867434669</v>
      </c>
    </row>
    <row r="1319" spans="1:18" s="30" customFormat="1" ht="15" customHeight="1">
      <c r="A1319" s="37" t="s">
        <v>874</v>
      </c>
      <c r="B1319" s="26" t="s">
        <v>875</v>
      </c>
      <c r="C1319" s="39">
        <v>117</v>
      </c>
      <c r="D1319" s="40" t="s">
        <v>2033</v>
      </c>
      <c r="E1319" s="38" t="s">
        <v>4</v>
      </c>
      <c r="F1319" s="38" t="s">
        <v>10</v>
      </c>
      <c r="G1319" s="32">
        <v>2748407</v>
      </c>
      <c r="H1319" s="32">
        <v>13369477</v>
      </c>
      <c r="I1319" s="32">
        <v>43274467</v>
      </c>
      <c r="J1319" s="35">
        <f>+G1319-H1319+I1319</f>
        <v>32653397</v>
      </c>
      <c r="K1319" s="28">
        <v>0</v>
      </c>
      <c r="L1319" s="32">
        <v>0</v>
      </c>
      <c r="M1319" s="35">
        <f>+J1319+L1319</f>
        <v>32653397</v>
      </c>
      <c r="N1319" s="28" t="s">
        <v>1512</v>
      </c>
      <c r="O1319" s="29" t="s">
        <v>1513</v>
      </c>
      <c r="P1319" s="36">
        <v>44972</v>
      </c>
      <c r="Q1319" s="31">
        <v>35378.559999999998</v>
      </c>
      <c r="R1319" s="33">
        <f>M1319/Q1319</f>
        <v>922.9713419653034</v>
      </c>
    </row>
    <row r="1320" spans="1:18" s="30" customFormat="1" ht="15" customHeight="1">
      <c r="A1320" s="37" t="s">
        <v>356</v>
      </c>
      <c r="B1320" s="26" t="s">
        <v>1540</v>
      </c>
      <c r="C1320" s="39">
        <v>117</v>
      </c>
      <c r="D1320" s="40" t="s">
        <v>2034</v>
      </c>
      <c r="E1320" s="38" t="s">
        <v>3</v>
      </c>
      <c r="F1320" s="38" t="s">
        <v>15</v>
      </c>
      <c r="G1320" s="32">
        <v>9999078</v>
      </c>
      <c r="H1320" s="32">
        <v>0</v>
      </c>
      <c r="I1320" s="32">
        <v>855331</v>
      </c>
      <c r="J1320" s="35">
        <f>+G1320-H1320+I1320</f>
        <v>10854409</v>
      </c>
      <c r="K1320" s="28">
        <v>0</v>
      </c>
      <c r="L1320" s="32">
        <v>0</v>
      </c>
      <c r="M1320" s="35">
        <f>+J1320+L1320</f>
        <v>10854409</v>
      </c>
      <c r="N1320" s="28" t="s">
        <v>2035</v>
      </c>
      <c r="O1320" s="29" t="s">
        <v>2036</v>
      </c>
      <c r="P1320" s="36">
        <v>43081</v>
      </c>
      <c r="Q1320" s="31">
        <v>26781.73</v>
      </c>
      <c r="R1320" s="33">
        <f>M1320/Q1320</f>
        <v>405.29155510118278</v>
      </c>
    </row>
    <row r="1321" spans="1:18" s="30" customFormat="1" ht="15" customHeight="1">
      <c r="A1321" s="37" t="s">
        <v>39</v>
      </c>
      <c r="B1321" s="26" t="s">
        <v>1658</v>
      </c>
      <c r="C1321" s="39">
        <v>117</v>
      </c>
      <c r="D1321" s="40" t="s">
        <v>2037</v>
      </c>
      <c r="E1321" s="38" t="s">
        <v>3</v>
      </c>
      <c r="F1321" s="38" t="s">
        <v>15</v>
      </c>
      <c r="G1321" s="32">
        <v>18665</v>
      </c>
      <c r="H1321" s="32">
        <v>0</v>
      </c>
      <c r="I1321" s="32">
        <v>1879443</v>
      </c>
      <c r="J1321" s="35">
        <f>+G1321-H1321+I1321</f>
        <v>1898108</v>
      </c>
      <c r="K1321" s="28">
        <v>0</v>
      </c>
      <c r="L1321" s="32">
        <v>0</v>
      </c>
      <c r="M1321" s="35">
        <f>+J1321+L1321</f>
        <v>1898108</v>
      </c>
      <c r="N1321" s="28" t="s">
        <v>1917</v>
      </c>
      <c r="O1321" s="29" t="s">
        <v>1918</v>
      </c>
      <c r="P1321" s="36">
        <v>43495</v>
      </c>
      <c r="Q1321" s="31">
        <v>27547.11</v>
      </c>
      <c r="R1321" s="33">
        <f>M1321/Q1321</f>
        <v>68.904070154727663</v>
      </c>
    </row>
    <row r="1322" spans="1:18" s="30" customFormat="1" ht="15" customHeight="1">
      <c r="A1322" s="37" t="s">
        <v>688</v>
      </c>
      <c r="B1322" s="26" t="s">
        <v>1728</v>
      </c>
      <c r="C1322" s="39">
        <v>117</v>
      </c>
      <c r="D1322" s="40" t="s">
        <v>2038</v>
      </c>
      <c r="E1322" s="38" t="s">
        <v>6</v>
      </c>
      <c r="F1322" s="38" t="s">
        <v>11</v>
      </c>
      <c r="G1322" s="32">
        <v>0</v>
      </c>
      <c r="H1322" s="32">
        <v>1645056</v>
      </c>
      <c r="I1322" s="32">
        <v>5788160</v>
      </c>
      <c r="J1322" s="35">
        <f>+G1322-H1322+I1322</f>
        <v>4143104</v>
      </c>
      <c r="K1322" s="28">
        <v>0</v>
      </c>
      <c r="L1322" s="32">
        <v>0</v>
      </c>
      <c r="M1322" s="35">
        <f>+J1322+L1322</f>
        <v>4143104</v>
      </c>
      <c r="N1322" s="28" t="s">
        <v>1935</v>
      </c>
      <c r="O1322" s="29" t="s">
        <v>1936</v>
      </c>
      <c r="P1322" s="36">
        <v>42899</v>
      </c>
      <c r="Q1322" s="31">
        <v>26649.99</v>
      </c>
      <c r="R1322" s="33">
        <f>M1322/Q1322</f>
        <v>155.46362306327319</v>
      </c>
    </row>
    <row r="1323" spans="1:18" s="30" customFormat="1" ht="15" customHeight="1">
      <c r="A1323" s="37" t="s">
        <v>391</v>
      </c>
      <c r="B1323" s="26" t="s">
        <v>392</v>
      </c>
      <c r="C1323" s="39">
        <v>116</v>
      </c>
      <c r="D1323" s="40" t="s">
        <v>2039</v>
      </c>
      <c r="E1323" s="38" t="s">
        <v>3</v>
      </c>
      <c r="F1323" s="38" t="s">
        <v>10</v>
      </c>
      <c r="G1323" s="32">
        <v>4487262</v>
      </c>
      <c r="H1323" s="32">
        <v>0</v>
      </c>
      <c r="I1323" s="32">
        <v>2369841</v>
      </c>
      <c r="J1323" s="35">
        <f>+G1323-H1323+I1323</f>
        <v>6857103</v>
      </c>
      <c r="K1323" s="28">
        <v>0</v>
      </c>
      <c r="L1323" s="32">
        <v>0</v>
      </c>
      <c r="M1323" s="35">
        <f>+J1323+L1323</f>
        <v>6857103</v>
      </c>
      <c r="N1323" s="28" t="s">
        <v>481</v>
      </c>
      <c r="O1323" s="29" t="s">
        <v>482</v>
      </c>
      <c r="P1323" s="36">
        <v>44130</v>
      </c>
      <c r="Q1323" s="31">
        <v>28810.82</v>
      </c>
      <c r="R1323" s="33">
        <f>M1323/Q1323</f>
        <v>238.00443722184929</v>
      </c>
    </row>
    <row r="1324" spans="1:18" s="30" customFormat="1" ht="15" customHeight="1">
      <c r="A1324" s="37" t="s">
        <v>293</v>
      </c>
      <c r="B1324" s="26" t="s">
        <v>294</v>
      </c>
      <c r="C1324" s="39">
        <v>116</v>
      </c>
      <c r="D1324" s="40" t="s">
        <v>2040</v>
      </c>
      <c r="E1324" s="38" t="s">
        <v>3</v>
      </c>
      <c r="F1324" s="38" t="s">
        <v>11</v>
      </c>
      <c r="G1324" s="32">
        <v>10504512</v>
      </c>
      <c r="H1324" s="32">
        <v>80071370</v>
      </c>
      <c r="I1324" s="32">
        <v>130621604</v>
      </c>
      <c r="J1324" s="35">
        <f>+G1324-H1324+I1324</f>
        <v>61054746</v>
      </c>
      <c r="K1324" s="28">
        <v>0</v>
      </c>
      <c r="L1324" s="32">
        <v>0</v>
      </c>
      <c r="M1324" s="35">
        <f>+J1324+L1324</f>
        <v>61054746</v>
      </c>
      <c r="N1324" s="28" t="s">
        <v>1626</v>
      </c>
      <c r="O1324" s="29" t="s">
        <v>1627</v>
      </c>
      <c r="P1324" s="36">
        <v>43886</v>
      </c>
      <c r="Q1324" s="31">
        <v>28440.19</v>
      </c>
      <c r="R1324" s="33">
        <f>M1324/Q1324</f>
        <v>2146.7770081704798</v>
      </c>
    </row>
    <row r="1325" spans="1:18" s="30" customFormat="1" ht="15" customHeight="1">
      <c r="A1325" s="37" t="s">
        <v>874</v>
      </c>
      <c r="B1325" s="26" t="s">
        <v>875</v>
      </c>
      <c r="C1325" s="39">
        <v>16</v>
      </c>
      <c r="D1325" s="40" t="s">
        <v>2041</v>
      </c>
      <c r="E1325" s="38" t="s">
        <v>3</v>
      </c>
      <c r="F1325" s="38" t="s">
        <v>11</v>
      </c>
      <c r="G1325" s="32">
        <v>4360629</v>
      </c>
      <c r="H1325" s="32">
        <v>3610875</v>
      </c>
      <c r="I1325" s="32"/>
      <c r="J1325" s="35">
        <f>+G1325-H1325+I1325</f>
        <v>749754</v>
      </c>
      <c r="K1325" s="27">
        <v>163</v>
      </c>
      <c r="L1325" s="32">
        <v>0</v>
      </c>
      <c r="M1325" s="35">
        <f>+J1325+L1325</f>
        <v>749754</v>
      </c>
      <c r="N1325" s="28" t="s">
        <v>1179</v>
      </c>
      <c r="O1325" s="29" t="s">
        <v>1180</v>
      </c>
      <c r="P1325" s="36">
        <v>44454</v>
      </c>
      <c r="Q1325" s="31">
        <v>30028</v>
      </c>
      <c r="R1325" s="33">
        <v>24.97</v>
      </c>
    </row>
    <row r="1326" spans="1:18" s="30" customFormat="1" ht="15" customHeight="1">
      <c r="A1326" s="37" t="s">
        <v>39</v>
      </c>
      <c r="B1326" s="26" t="s">
        <v>1658</v>
      </c>
      <c r="C1326" s="39">
        <v>116</v>
      </c>
      <c r="D1326" s="40" t="s">
        <v>2042</v>
      </c>
      <c r="E1326" s="38" t="s">
        <v>3</v>
      </c>
      <c r="F1326" s="38" t="s">
        <v>12</v>
      </c>
      <c r="G1326" s="32">
        <v>215116</v>
      </c>
      <c r="H1326" s="32">
        <v>0</v>
      </c>
      <c r="I1326" s="32">
        <v>21660042</v>
      </c>
      <c r="J1326" s="35">
        <f>+G1326-H1326+I1326</f>
        <v>21875158</v>
      </c>
      <c r="K1326" s="28">
        <v>0</v>
      </c>
      <c r="L1326" s="32">
        <v>0</v>
      </c>
      <c r="M1326" s="35">
        <f>+J1326+L1326</f>
        <v>21875158</v>
      </c>
      <c r="N1326" s="28" t="s">
        <v>1917</v>
      </c>
      <c r="O1326" s="29" t="s">
        <v>1918</v>
      </c>
      <c r="P1326" s="36">
        <v>43495</v>
      </c>
      <c r="Q1326" s="31">
        <v>27547.11</v>
      </c>
      <c r="R1326" s="33">
        <f>M1326/Q1326</f>
        <v>794.09992554572875</v>
      </c>
    </row>
    <row r="1327" spans="1:18" s="30" customFormat="1" ht="15" customHeight="1">
      <c r="A1327" s="37" t="s">
        <v>293</v>
      </c>
      <c r="B1327" s="26" t="s">
        <v>294</v>
      </c>
      <c r="C1327" s="39">
        <v>115</v>
      </c>
      <c r="D1327" s="40" t="s">
        <v>2043</v>
      </c>
      <c r="E1327" s="38" t="s">
        <v>6</v>
      </c>
      <c r="F1327" s="38" t="s">
        <v>11</v>
      </c>
      <c r="G1327" s="32">
        <v>51976410</v>
      </c>
      <c r="H1327" s="32">
        <v>73945805</v>
      </c>
      <c r="I1327" s="52">
        <v>0</v>
      </c>
      <c r="J1327" s="35">
        <f>+G1327-H1327+I1327</f>
        <v>-21969395</v>
      </c>
      <c r="K1327" s="28">
        <v>0</v>
      </c>
      <c r="L1327" s="32">
        <v>0</v>
      </c>
      <c r="M1327" s="35">
        <f>+J1327+L1327</f>
        <v>-21969395</v>
      </c>
      <c r="N1327" s="28" t="s">
        <v>1537</v>
      </c>
      <c r="O1327" s="29" t="s">
        <v>1538</v>
      </c>
      <c r="P1327" s="36">
        <v>43914</v>
      </c>
      <c r="Q1327" s="31">
        <v>28331.86</v>
      </c>
      <c r="R1327" s="33">
        <f>M1327/Q1327</f>
        <v>-775.43073416288235</v>
      </c>
    </row>
    <row r="1328" spans="1:18" s="30" customFormat="1" ht="15" customHeight="1">
      <c r="A1328" s="37" t="s">
        <v>356</v>
      </c>
      <c r="B1328" s="26" t="s">
        <v>1540</v>
      </c>
      <c r="C1328" s="39">
        <v>115</v>
      </c>
      <c r="D1328" s="40" t="s">
        <v>2044</v>
      </c>
      <c r="E1328" s="38" t="s">
        <v>3</v>
      </c>
      <c r="F1328" s="38" t="s">
        <v>11</v>
      </c>
      <c r="G1328" s="32">
        <v>507886</v>
      </c>
      <c r="H1328" s="32">
        <v>1020924</v>
      </c>
      <c r="I1328" s="52">
        <v>0</v>
      </c>
      <c r="J1328" s="35">
        <f>+G1328-H1328+I1328</f>
        <v>-513038</v>
      </c>
      <c r="K1328" s="28">
        <v>0</v>
      </c>
      <c r="L1328" s="32">
        <v>0</v>
      </c>
      <c r="M1328" s="35">
        <f>+J1328+L1328</f>
        <v>-513038</v>
      </c>
      <c r="N1328" s="28" t="s">
        <v>2035</v>
      </c>
      <c r="O1328" s="29" t="s">
        <v>2036</v>
      </c>
      <c r="P1328" s="36">
        <v>43081</v>
      </c>
      <c r="Q1328" s="31">
        <v>26781.73</v>
      </c>
      <c r="R1328" s="33">
        <f>M1328/Q1328</f>
        <v>-19.156268097691971</v>
      </c>
    </row>
    <row r="1329" spans="1:18" s="30" customFormat="1" ht="15" customHeight="1">
      <c r="A1329" s="37" t="s">
        <v>39</v>
      </c>
      <c r="B1329" s="26" t="s">
        <v>1658</v>
      </c>
      <c r="C1329" s="39">
        <v>115</v>
      </c>
      <c r="D1329" s="40" t="s">
        <v>2045</v>
      </c>
      <c r="E1329" s="38" t="s">
        <v>3</v>
      </c>
      <c r="F1329" s="38" t="s">
        <v>18</v>
      </c>
      <c r="G1329" s="32">
        <v>7680197</v>
      </c>
      <c r="H1329" s="32">
        <v>0</v>
      </c>
      <c r="I1329" s="52">
        <v>0</v>
      </c>
      <c r="J1329" s="35">
        <f>+G1329-H1329+I1329</f>
        <v>7680197</v>
      </c>
      <c r="K1329" s="28">
        <v>0</v>
      </c>
      <c r="L1329" s="32">
        <v>0</v>
      </c>
      <c r="M1329" s="35">
        <f>+J1329+L1329</f>
        <v>7680197</v>
      </c>
      <c r="N1329" s="28" t="s">
        <v>1917</v>
      </c>
      <c r="O1329" s="29" t="s">
        <v>1918</v>
      </c>
      <c r="P1329" s="36">
        <v>43495</v>
      </c>
      <c r="Q1329" s="31">
        <v>27547.11</v>
      </c>
      <c r="R1329" s="33">
        <f>M1329/Q1329</f>
        <v>278.8022772624787</v>
      </c>
    </row>
    <row r="1330" spans="1:18" s="30" customFormat="1" ht="15" customHeight="1">
      <c r="A1330" s="37" t="s">
        <v>688</v>
      </c>
      <c r="B1330" s="26" t="s">
        <v>1728</v>
      </c>
      <c r="C1330" s="39">
        <v>115</v>
      </c>
      <c r="D1330" s="40" t="s">
        <v>2046</v>
      </c>
      <c r="E1330" s="38" t="s">
        <v>3</v>
      </c>
      <c r="F1330" s="38" t="s">
        <v>21</v>
      </c>
      <c r="G1330" s="32">
        <v>1543025</v>
      </c>
      <c r="H1330" s="32">
        <v>15269503</v>
      </c>
      <c r="I1330" s="32">
        <v>82956386</v>
      </c>
      <c r="J1330" s="35">
        <f>+G1330-H1330+I1330</f>
        <v>69229908</v>
      </c>
      <c r="K1330" s="28">
        <v>0</v>
      </c>
      <c r="L1330" s="32">
        <v>0</v>
      </c>
      <c r="M1330" s="35">
        <f>+J1330+L1330</f>
        <v>69229908</v>
      </c>
      <c r="N1330" s="28" t="s">
        <v>1730</v>
      </c>
      <c r="O1330" s="29" t="s">
        <v>1731</v>
      </c>
      <c r="P1330" s="36">
        <v>43444</v>
      </c>
      <c r="Q1330" s="31">
        <v>27565.79</v>
      </c>
      <c r="R1330" s="33">
        <f>M1330/Q1330</f>
        <v>2511.4429152946459</v>
      </c>
    </row>
    <row r="1331" spans="1:18" s="30" customFormat="1" ht="15" customHeight="1">
      <c r="A1331" s="37" t="s">
        <v>874</v>
      </c>
      <c r="B1331" s="26" t="s">
        <v>875</v>
      </c>
      <c r="C1331" s="39">
        <v>58</v>
      </c>
      <c r="D1331" s="40" t="s">
        <v>2047</v>
      </c>
      <c r="E1331" s="38" t="s">
        <v>3</v>
      </c>
      <c r="F1331" s="38" t="s">
        <v>11</v>
      </c>
      <c r="G1331" s="32">
        <v>4410064</v>
      </c>
      <c r="H1331" s="32"/>
      <c r="I1331" s="32">
        <v>7736286</v>
      </c>
      <c r="J1331" s="35">
        <f>+G1331-H1331+I1331</f>
        <v>12146350</v>
      </c>
      <c r="K1331" s="27">
        <v>131</v>
      </c>
      <c r="L1331" s="32">
        <v>0</v>
      </c>
      <c r="M1331" s="35">
        <f>+J1331+L1331</f>
        <v>12146350</v>
      </c>
      <c r="N1331" s="28" t="s">
        <v>2048</v>
      </c>
      <c r="O1331" s="29" t="s">
        <v>2049</v>
      </c>
      <c r="P1331" s="36">
        <v>44379</v>
      </c>
      <c r="Q1331" s="31">
        <v>29716</v>
      </c>
      <c r="R1331" s="33">
        <v>408.75</v>
      </c>
    </row>
    <row r="1332" spans="1:18" s="30" customFormat="1" ht="15" customHeight="1">
      <c r="A1332" s="37" t="s">
        <v>391</v>
      </c>
      <c r="B1332" s="26" t="s">
        <v>392</v>
      </c>
      <c r="C1332" s="39">
        <v>114</v>
      </c>
      <c r="D1332" s="40" t="s">
        <v>2050</v>
      </c>
      <c r="E1332" s="38" t="s">
        <v>4</v>
      </c>
      <c r="F1332" s="38" t="s">
        <v>21</v>
      </c>
      <c r="G1332" s="32">
        <v>7196204</v>
      </c>
      <c r="H1332" s="32">
        <v>0</v>
      </c>
      <c r="I1332" s="52">
        <v>0</v>
      </c>
      <c r="J1332" s="35">
        <f>+G1332-H1332+I1332</f>
        <v>7196204</v>
      </c>
      <c r="K1332" s="28">
        <v>0</v>
      </c>
      <c r="L1332" s="32">
        <v>0</v>
      </c>
      <c r="M1332" s="35">
        <f>+J1332+L1332</f>
        <v>7196204</v>
      </c>
      <c r="N1332" s="28" t="s">
        <v>2026</v>
      </c>
      <c r="O1332" s="29" t="s">
        <v>2027</v>
      </c>
      <c r="P1332" s="36">
        <v>43789</v>
      </c>
      <c r="Q1332" s="31">
        <v>28147.47</v>
      </c>
      <c r="R1332" s="33">
        <f>M1332/Q1332</f>
        <v>255.66077519578135</v>
      </c>
    </row>
    <row r="1333" spans="1:18" s="30" customFormat="1" ht="15" customHeight="1">
      <c r="A1333" s="37" t="s">
        <v>293</v>
      </c>
      <c r="B1333" s="26" t="s">
        <v>294</v>
      </c>
      <c r="C1333" s="39">
        <v>114</v>
      </c>
      <c r="D1333" s="40" t="s">
        <v>2051</v>
      </c>
      <c r="E1333" s="38" t="s">
        <v>4</v>
      </c>
      <c r="F1333" s="38" t="s">
        <v>11</v>
      </c>
      <c r="G1333" s="32">
        <v>201856949</v>
      </c>
      <c r="H1333" s="32">
        <v>155463445</v>
      </c>
      <c r="I1333" s="52">
        <v>0</v>
      </c>
      <c r="J1333" s="35">
        <f>+G1333-H1333+I1333</f>
        <v>46393504</v>
      </c>
      <c r="K1333" s="28">
        <v>0</v>
      </c>
      <c r="L1333" s="32">
        <v>0</v>
      </c>
      <c r="M1333" s="35">
        <f>+J1333+L1333</f>
        <v>46393504</v>
      </c>
      <c r="N1333" s="28" t="s">
        <v>1537</v>
      </c>
      <c r="O1333" s="29" t="s">
        <v>1538</v>
      </c>
      <c r="P1333" s="36">
        <v>43914</v>
      </c>
      <c r="Q1333" s="31">
        <v>28331.86</v>
      </c>
      <c r="R1333" s="33">
        <f>M1333/Q1333</f>
        <v>1637.5029383880903</v>
      </c>
    </row>
    <row r="1334" spans="1:18" s="30" customFormat="1" ht="15" customHeight="1">
      <c r="A1334" s="37" t="s">
        <v>356</v>
      </c>
      <c r="B1334" s="26" t="s">
        <v>357</v>
      </c>
      <c r="C1334" s="39" t="s">
        <v>556</v>
      </c>
      <c r="D1334" s="40" t="s">
        <v>2052</v>
      </c>
      <c r="E1334" s="38" t="s">
        <v>3</v>
      </c>
      <c r="F1334" s="38" t="s">
        <v>11</v>
      </c>
      <c r="G1334" s="32">
        <v>4426799</v>
      </c>
      <c r="H1334" s="32">
        <v>0</v>
      </c>
      <c r="I1334" s="52">
        <v>0</v>
      </c>
      <c r="J1334" s="35">
        <f>+G1334-H1334+I1334</f>
        <v>4426799</v>
      </c>
      <c r="K1334" s="27" t="s">
        <v>2053</v>
      </c>
      <c r="L1334" s="32">
        <v>0</v>
      </c>
      <c r="M1334" s="35">
        <f>+J1334+L1334</f>
        <v>4426799</v>
      </c>
      <c r="N1334" s="28" t="s">
        <v>841</v>
      </c>
      <c r="O1334" s="29" t="s">
        <v>842</v>
      </c>
      <c r="P1334" s="36">
        <v>43844</v>
      </c>
      <c r="Q1334" s="31">
        <v>28322.73</v>
      </c>
      <c r="R1334" s="33">
        <f>+M1334/Q1334</f>
        <v>156.29845710494715</v>
      </c>
    </row>
    <row r="1335" spans="1:18" s="30" customFormat="1" ht="15" customHeight="1">
      <c r="A1335" s="37" t="s">
        <v>356</v>
      </c>
      <c r="B1335" s="26" t="s">
        <v>1841</v>
      </c>
      <c r="C1335" s="39">
        <v>114</v>
      </c>
      <c r="D1335" s="40" t="s">
        <v>2054</v>
      </c>
      <c r="E1335" s="38" t="s">
        <v>3</v>
      </c>
      <c r="F1335" s="38" t="s">
        <v>10</v>
      </c>
      <c r="G1335" s="32">
        <v>1084138</v>
      </c>
      <c r="H1335" s="32">
        <v>0</v>
      </c>
      <c r="I1335" s="32">
        <v>764602</v>
      </c>
      <c r="J1335" s="35">
        <f>+G1335-H1335+I1335</f>
        <v>1848740</v>
      </c>
      <c r="K1335" s="28">
        <v>0</v>
      </c>
      <c r="L1335" s="32">
        <v>0</v>
      </c>
      <c r="M1335" s="35">
        <f>+J1335+L1335</f>
        <v>1848740</v>
      </c>
      <c r="N1335" s="28" t="s">
        <v>2055</v>
      </c>
      <c r="O1335" s="29" t="s">
        <v>2056</v>
      </c>
      <c r="P1335" s="36">
        <v>44315</v>
      </c>
      <c r="Q1335" s="31">
        <v>29462.75</v>
      </c>
      <c r="R1335" s="33">
        <f>M1335/Q1335</f>
        <v>62.748385673435102</v>
      </c>
    </row>
    <row r="1336" spans="1:18" s="30" customFormat="1" ht="15" customHeight="1">
      <c r="A1336" s="37" t="s">
        <v>39</v>
      </c>
      <c r="B1336" s="26" t="s">
        <v>1658</v>
      </c>
      <c r="C1336" s="39">
        <v>114</v>
      </c>
      <c r="D1336" s="40" t="s">
        <v>2057</v>
      </c>
      <c r="E1336" s="38" t="s">
        <v>3</v>
      </c>
      <c r="F1336" s="38" t="s">
        <v>20</v>
      </c>
      <c r="G1336" s="32">
        <v>777440</v>
      </c>
      <c r="H1336" s="32">
        <v>0</v>
      </c>
      <c r="I1336" s="32">
        <v>3965814</v>
      </c>
      <c r="J1336" s="35">
        <f>+G1336-H1336+I1336</f>
        <v>4743254</v>
      </c>
      <c r="K1336" s="28">
        <v>0</v>
      </c>
      <c r="L1336" s="32">
        <v>0</v>
      </c>
      <c r="M1336" s="35">
        <f>+J1336+L1336</f>
        <v>4743254</v>
      </c>
      <c r="N1336" s="28" t="s">
        <v>1917</v>
      </c>
      <c r="O1336" s="29" t="s">
        <v>1918</v>
      </c>
      <c r="P1336" s="36">
        <v>43495</v>
      </c>
      <c r="Q1336" s="31">
        <v>27547.11</v>
      </c>
      <c r="R1336" s="33">
        <f>M1336/Q1336</f>
        <v>172.18699166627641</v>
      </c>
    </row>
    <row r="1337" spans="1:18" s="30" customFormat="1" ht="15" customHeight="1">
      <c r="A1337" s="37" t="s">
        <v>688</v>
      </c>
      <c r="B1337" s="26" t="s">
        <v>1728</v>
      </c>
      <c r="C1337" s="39">
        <v>114</v>
      </c>
      <c r="D1337" s="40" t="s">
        <v>2058</v>
      </c>
      <c r="E1337" s="38" t="s">
        <v>4</v>
      </c>
      <c r="F1337" s="38" t="s">
        <v>13</v>
      </c>
      <c r="G1337" s="32">
        <v>34113.587199999994</v>
      </c>
      <c r="H1337" s="32">
        <v>0</v>
      </c>
      <c r="I1337" s="32">
        <v>761600</v>
      </c>
      <c r="J1337" s="35">
        <f>+G1337-H1337+I1337</f>
        <v>795713.58719999995</v>
      </c>
      <c r="K1337" s="28">
        <v>0</v>
      </c>
      <c r="L1337" s="32">
        <v>0</v>
      </c>
      <c r="M1337" s="35">
        <f>+J1337+L1337</f>
        <v>795713.58719999995</v>
      </c>
      <c r="N1337" s="28" t="s">
        <v>1935</v>
      </c>
      <c r="O1337" s="29" t="s">
        <v>1936</v>
      </c>
      <c r="P1337" s="36">
        <v>42899</v>
      </c>
      <c r="Q1337" s="31">
        <v>26649.99</v>
      </c>
      <c r="R1337" s="33">
        <f>M1337/Q1337</f>
        <v>29.857931924177077</v>
      </c>
    </row>
    <row r="1338" spans="1:18" s="30" customFormat="1" ht="15" customHeight="1">
      <c r="A1338" s="37" t="s">
        <v>293</v>
      </c>
      <c r="B1338" s="26" t="s">
        <v>294</v>
      </c>
      <c r="C1338" s="39">
        <v>584</v>
      </c>
      <c r="D1338" s="40" t="s">
        <v>2059</v>
      </c>
      <c r="E1338" s="38" t="s">
        <v>3</v>
      </c>
      <c r="F1338" s="38" t="s">
        <v>296</v>
      </c>
      <c r="G1338" s="32">
        <v>4472833</v>
      </c>
      <c r="H1338" s="32">
        <v>37128975</v>
      </c>
      <c r="I1338" s="32">
        <v>4259257</v>
      </c>
      <c r="J1338" s="35">
        <f>+G1338-H1338+I1338</f>
        <v>-28396885</v>
      </c>
      <c r="K1338" s="27" t="s">
        <v>401</v>
      </c>
      <c r="L1338" s="32">
        <v>0</v>
      </c>
      <c r="M1338" s="35">
        <f>+J1338+L1338</f>
        <v>-28396885</v>
      </c>
      <c r="N1338" s="55" t="s">
        <v>402</v>
      </c>
      <c r="O1338" s="56" t="s">
        <v>403</v>
      </c>
      <c r="P1338" s="56">
        <v>44524</v>
      </c>
      <c r="Q1338" s="49">
        <v>30683.439999999999</v>
      </c>
      <c r="R1338" s="57">
        <f>+M1338/Q1338</f>
        <v>-925.47918355960087</v>
      </c>
    </row>
    <row r="1339" spans="1:18" s="30" customFormat="1" ht="15" customHeight="1">
      <c r="A1339" s="37" t="s">
        <v>391</v>
      </c>
      <c r="B1339" s="26" t="s">
        <v>392</v>
      </c>
      <c r="C1339" s="39">
        <v>113</v>
      </c>
      <c r="D1339" s="40" t="s">
        <v>2060</v>
      </c>
      <c r="E1339" s="38" t="s">
        <v>4</v>
      </c>
      <c r="F1339" s="38" t="s">
        <v>11</v>
      </c>
      <c r="G1339" s="32">
        <v>94480</v>
      </c>
      <c r="H1339" s="32">
        <v>0</v>
      </c>
      <c r="I1339" s="32">
        <v>14418141</v>
      </c>
      <c r="J1339" s="35">
        <f>+G1339-H1339+I1339</f>
        <v>14512621</v>
      </c>
      <c r="K1339" s="28">
        <v>0</v>
      </c>
      <c r="L1339" s="32">
        <v>0</v>
      </c>
      <c r="M1339" s="35">
        <f>+J1339+L1339</f>
        <v>14512621</v>
      </c>
      <c r="N1339" s="28" t="s">
        <v>2026</v>
      </c>
      <c r="O1339" s="29" t="s">
        <v>2027</v>
      </c>
      <c r="P1339" s="36">
        <v>43789</v>
      </c>
      <c r="Q1339" s="31">
        <v>28147.47</v>
      </c>
      <c r="R1339" s="33">
        <f>M1339/Q1339</f>
        <v>515.59237828479786</v>
      </c>
    </row>
    <row r="1340" spans="1:18" s="30" customFormat="1" ht="15" customHeight="1">
      <c r="A1340" s="37" t="s">
        <v>391</v>
      </c>
      <c r="B1340" s="26" t="s">
        <v>392</v>
      </c>
      <c r="C1340" s="39">
        <v>157</v>
      </c>
      <c r="D1340" s="40" t="s">
        <v>2061</v>
      </c>
      <c r="E1340" s="38" t="s">
        <v>4</v>
      </c>
      <c r="F1340" s="38" t="s">
        <v>11</v>
      </c>
      <c r="G1340" s="32">
        <v>4483586</v>
      </c>
      <c r="H1340" s="32">
        <v>4898714</v>
      </c>
      <c r="I1340" s="52">
        <v>0</v>
      </c>
      <c r="J1340" s="35">
        <f>+G1340-H1340+I1340</f>
        <v>-415128</v>
      </c>
      <c r="K1340" s="27"/>
      <c r="L1340" s="32">
        <v>0</v>
      </c>
      <c r="M1340" s="35">
        <f>+J1340+L1340</f>
        <v>-415128</v>
      </c>
      <c r="N1340" s="28" t="s">
        <v>481</v>
      </c>
      <c r="O1340" s="29" t="s">
        <v>482</v>
      </c>
      <c r="P1340" s="36">
        <v>44130</v>
      </c>
      <c r="Q1340" s="31">
        <v>28810.82</v>
      </c>
      <c r="R1340" s="33">
        <f>M1340/Q1340</f>
        <v>-14.408753378071156</v>
      </c>
    </row>
    <row r="1341" spans="1:18" s="30" customFormat="1" ht="15" customHeight="1">
      <c r="A1341" s="37" t="s">
        <v>874</v>
      </c>
      <c r="B1341" s="26" t="s">
        <v>875</v>
      </c>
      <c r="C1341" s="39">
        <v>113</v>
      </c>
      <c r="D1341" s="40" t="s">
        <v>2062</v>
      </c>
      <c r="E1341" s="38" t="s">
        <v>3</v>
      </c>
      <c r="F1341" s="38" t="s">
        <v>15</v>
      </c>
      <c r="G1341" s="32">
        <v>73438683</v>
      </c>
      <c r="H1341" s="32">
        <v>0</v>
      </c>
      <c r="I1341" s="32">
        <v>36719342</v>
      </c>
      <c r="J1341" s="35">
        <f>+G1341-H1341+I1341</f>
        <v>110158025</v>
      </c>
      <c r="K1341" s="28">
        <v>0</v>
      </c>
      <c r="L1341" s="32">
        <v>0</v>
      </c>
      <c r="M1341" s="35">
        <f>+J1341+L1341</f>
        <v>110158025</v>
      </c>
      <c r="N1341" s="28" t="s">
        <v>877</v>
      </c>
      <c r="O1341" s="29" t="s">
        <v>878</v>
      </c>
      <c r="P1341" s="36">
        <v>44902</v>
      </c>
      <c r="Q1341" s="31">
        <v>34852.33</v>
      </c>
      <c r="R1341" s="33">
        <f>M1341/Q1341</f>
        <v>3160.7076198348859</v>
      </c>
    </row>
    <row r="1342" spans="1:18" s="30" customFormat="1" ht="15" customHeight="1">
      <c r="A1342" s="37" t="s">
        <v>356</v>
      </c>
      <c r="B1342" s="26" t="s">
        <v>1540</v>
      </c>
      <c r="C1342" s="39">
        <v>113</v>
      </c>
      <c r="D1342" s="40" t="s">
        <v>2063</v>
      </c>
      <c r="E1342" s="38" t="s">
        <v>198</v>
      </c>
      <c r="F1342" s="38" t="s">
        <v>21</v>
      </c>
      <c r="G1342" s="32">
        <v>0</v>
      </c>
      <c r="H1342" s="32">
        <v>0</v>
      </c>
      <c r="I1342" s="32">
        <v>14487011</v>
      </c>
      <c r="J1342" s="35">
        <f>+G1342-H1342+I1342</f>
        <v>14487011</v>
      </c>
      <c r="K1342" s="28">
        <v>0</v>
      </c>
      <c r="L1342" s="32">
        <v>0</v>
      </c>
      <c r="M1342" s="35">
        <f>+J1342+L1342</f>
        <v>14487011</v>
      </c>
      <c r="N1342" s="28" t="s">
        <v>2035</v>
      </c>
      <c r="O1342" s="29" t="s">
        <v>2036</v>
      </c>
      <c r="P1342" s="36">
        <v>43081</v>
      </c>
      <c r="Q1342" s="31">
        <v>26781.73</v>
      </c>
      <c r="R1342" s="33">
        <f>M1342/Q1342</f>
        <v>540.92887203328542</v>
      </c>
    </row>
    <row r="1343" spans="1:18" s="30" customFormat="1" ht="15" customHeight="1">
      <c r="A1343" s="37" t="s">
        <v>39</v>
      </c>
      <c r="B1343" s="26" t="s">
        <v>1658</v>
      </c>
      <c r="C1343" s="39">
        <v>113</v>
      </c>
      <c r="D1343" s="40" t="s">
        <v>2064</v>
      </c>
      <c r="E1343" s="38" t="s">
        <v>3</v>
      </c>
      <c r="F1343" s="38" t="s">
        <v>20</v>
      </c>
      <c r="G1343" s="32">
        <v>4199368</v>
      </c>
      <c r="H1343" s="32">
        <v>397723</v>
      </c>
      <c r="I1343" s="52">
        <v>0</v>
      </c>
      <c r="J1343" s="35">
        <f>+G1343-H1343+I1343</f>
        <v>3801645</v>
      </c>
      <c r="K1343" s="28">
        <v>0</v>
      </c>
      <c r="L1343" s="32">
        <v>0</v>
      </c>
      <c r="M1343" s="35">
        <f>+J1343+L1343</f>
        <v>3801645</v>
      </c>
      <c r="N1343" s="28" t="s">
        <v>1917</v>
      </c>
      <c r="O1343" s="29" t="s">
        <v>1918</v>
      </c>
      <c r="P1343" s="36">
        <v>43495</v>
      </c>
      <c r="Q1343" s="31">
        <v>27547.11</v>
      </c>
      <c r="R1343" s="33">
        <f>M1343/Q1343</f>
        <v>138.00522087434942</v>
      </c>
    </row>
    <row r="1344" spans="1:18" s="30" customFormat="1" ht="15" customHeight="1">
      <c r="A1344" s="37" t="s">
        <v>391</v>
      </c>
      <c r="B1344" s="26" t="s">
        <v>392</v>
      </c>
      <c r="C1344" s="39">
        <v>112</v>
      </c>
      <c r="D1344" s="40" t="s">
        <v>2065</v>
      </c>
      <c r="E1344" s="38" t="s">
        <v>4</v>
      </c>
      <c r="F1344" s="38" t="s">
        <v>11</v>
      </c>
      <c r="G1344" s="32">
        <v>29576</v>
      </c>
      <c r="H1344" s="32">
        <v>0</v>
      </c>
      <c r="I1344" s="32">
        <v>77425</v>
      </c>
      <c r="J1344" s="35">
        <f>+G1344-H1344+I1344</f>
        <v>107001</v>
      </c>
      <c r="K1344" s="28">
        <v>0</v>
      </c>
      <c r="L1344" s="32">
        <v>0</v>
      </c>
      <c r="M1344" s="35">
        <f>+J1344+L1344</f>
        <v>107001</v>
      </c>
      <c r="N1344" s="28" t="s">
        <v>2026</v>
      </c>
      <c r="O1344" s="29" t="s">
        <v>2027</v>
      </c>
      <c r="P1344" s="36">
        <v>43789</v>
      </c>
      <c r="Q1344" s="31">
        <v>28147.47</v>
      </c>
      <c r="R1344" s="33">
        <f>M1344/Q1344</f>
        <v>3.8014429005519856</v>
      </c>
    </row>
    <row r="1345" spans="1:18" s="30" customFormat="1" ht="15" customHeight="1">
      <c r="A1345" s="37" t="s">
        <v>293</v>
      </c>
      <c r="B1345" s="26" t="s">
        <v>294</v>
      </c>
      <c r="C1345" s="39">
        <v>112</v>
      </c>
      <c r="D1345" s="40" t="s">
        <v>2066</v>
      </c>
      <c r="E1345" s="38" t="s">
        <v>3</v>
      </c>
      <c r="F1345" s="38" t="s">
        <v>10</v>
      </c>
      <c r="G1345" s="32">
        <v>11574546</v>
      </c>
      <c r="H1345" s="32">
        <v>10358466</v>
      </c>
      <c r="I1345" s="52">
        <v>0</v>
      </c>
      <c r="J1345" s="35">
        <f>+G1345-H1345+I1345</f>
        <v>1216080</v>
      </c>
      <c r="K1345" s="28">
        <v>0</v>
      </c>
      <c r="L1345" s="32">
        <v>0</v>
      </c>
      <c r="M1345" s="35">
        <f>+J1345+L1345</f>
        <v>1216080</v>
      </c>
      <c r="N1345" s="28" t="s">
        <v>1626</v>
      </c>
      <c r="O1345" s="29" t="s">
        <v>1627</v>
      </c>
      <c r="P1345" s="36">
        <v>43886</v>
      </c>
      <c r="Q1345" s="31">
        <v>28440.19</v>
      </c>
      <c r="R1345" s="33">
        <f>M1345/Q1345</f>
        <v>42.759208008104025</v>
      </c>
    </row>
    <row r="1346" spans="1:18" s="30" customFormat="1" ht="15" customHeight="1">
      <c r="A1346" s="37" t="s">
        <v>356</v>
      </c>
      <c r="B1346" s="26" t="s">
        <v>1540</v>
      </c>
      <c r="C1346" s="39">
        <v>112</v>
      </c>
      <c r="D1346" s="40" t="s">
        <v>2067</v>
      </c>
      <c r="E1346" s="38" t="s">
        <v>198</v>
      </c>
      <c r="F1346" s="38" t="s">
        <v>21</v>
      </c>
      <c r="G1346" s="32">
        <v>0</v>
      </c>
      <c r="H1346" s="32">
        <v>0</v>
      </c>
      <c r="I1346" s="32">
        <v>129498435</v>
      </c>
      <c r="J1346" s="35">
        <f>+G1346-H1346+I1346</f>
        <v>129498435</v>
      </c>
      <c r="K1346" s="28">
        <v>0</v>
      </c>
      <c r="L1346" s="32">
        <v>0</v>
      </c>
      <c r="M1346" s="35">
        <f>+J1346+L1346</f>
        <v>129498435</v>
      </c>
      <c r="N1346" s="28" t="s">
        <v>2035</v>
      </c>
      <c r="O1346" s="29" t="s">
        <v>2036</v>
      </c>
      <c r="P1346" s="36">
        <v>43081</v>
      </c>
      <c r="Q1346" s="31">
        <v>26781.73</v>
      </c>
      <c r="R1346" s="33">
        <f>M1346/Q1346</f>
        <v>4835.3274788447197</v>
      </c>
    </row>
    <row r="1347" spans="1:18" s="30" customFormat="1" ht="15" customHeight="1">
      <c r="A1347" s="37" t="s">
        <v>39</v>
      </c>
      <c r="B1347" s="26" t="s">
        <v>1658</v>
      </c>
      <c r="C1347" s="39">
        <v>112</v>
      </c>
      <c r="D1347" s="40" t="s">
        <v>2068</v>
      </c>
      <c r="E1347" s="38" t="s">
        <v>4</v>
      </c>
      <c r="F1347" s="38" t="s">
        <v>13</v>
      </c>
      <c r="G1347" s="32">
        <v>0</v>
      </c>
      <c r="H1347" s="32">
        <v>0</v>
      </c>
      <c r="I1347" s="32">
        <v>1347495</v>
      </c>
      <c r="J1347" s="35">
        <f>+G1347-H1347+I1347</f>
        <v>1347495</v>
      </c>
      <c r="K1347" s="28">
        <v>0</v>
      </c>
      <c r="L1347" s="32">
        <v>0</v>
      </c>
      <c r="M1347" s="35">
        <f>+J1347+L1347</f>
        <v>1347495</v>
      </c>
      <c r="N1347" s="28" t="s">
        <v>1917</v>
      </c>
      <c r="O1347" s="29" t="s">
        <v>1918</v>
      </c>
      <c r="P1347" s="36">
        <v>43495</v>
      </c>
      <c r="Q1347" s="31">
        <v>27547.11</v>
      </c>
      <c r="R1347" s="33">
        <f>M1347/Q1347</f>
        <v>48.916020591633746</v>
      </c>
    </row>
    <row r="1348" spans="1:18" s="30" customFormat="1" ht="15" customHeight="1">
      <c r="A1348" s="46" t="s">
        <v>189</v>
      </c>
      <c r="B1348" s="26" t="s">
        <v>225</v>
      </c>
      <c r="C1348" s="65">
        <v>112</v>
      </c>
      <c r="D1348" s="51" t="s">
        <v>2069</v>
      </c>
      <c r="E1348" s="38" t="s">
        <v>3</v>
      </c>
      <c r="F1348" s="48" t="s">
        <v>11</v>
      </c>
      <c r="G1348" s="52">
        <v>0</v>
      </c>
      <c r="H1348" s="52">
        <v>7711114</v>
      </c>
      <c r="I1348" s="52">
        <v>12375320</v>
      </c>
      <c r="J1348" s="53">
        <f>+G1348-H1348+I1348</f>
        <v>4664206</v>
      </c>
      <c r="K1348" s="70">
        <v>0</v>
      </c>
      <c r="L1348" s="52">
        <v>0</v>
      </c>
      <c r="M1348" s="53">
        <f>+J1348+L1348</f>
        <v>4664206</v>
      </c>
      <c r="N1348" s="55" t="s">
        <v>1168</v>
      </c>
      <c r="O1348" s="56" t="s">
        <v>1169</v>
      </c>
      <c r="P1348" s="56">
        <v>44725</v>
      </c>
      <c r="Q1348" s="49">
        <v>33243.86</v>
      </c>
      <c r="R1348" s="57">
        <f>M1348/Q1348</f>
        <v>140.30278072401941</v>
      </c>
    </row>
    <row r="1349" spans="1:18" s="30" customFormat="1" ht="15" customHeight="1">
      <c r="A1349" s="37" t="s">
        <v>688</v>
      </c>
      <c r="B1349" s="26" t="s">
        <v>1728</v>
      </c>
      <c r="C1349" s="39">
        <v>112</v>
      </c>
      <c r="D1349" s="40" t="s">
        <v>2070</v>
      </c>
      <c r="E1349" s="38" t="s">
        <v>4</v>
      </c>
      <c r="F1349" s="38" t="s">
        <v>13</v>
      </c>
      <c r="G1349" s="32">
        <v>18998830.950399999</v>
      </c>
      <c r="H1349" s="32">
        <v>1546590.2592</v>
      </c>
      <c r="I1349" s="52">
        <v>0</v>
      </c>
      <c r="J1349" s="35">
        <f>+G1349-H1349+I1349</f>
        <v>17452240.691199999</v>
      </c>
      <c r="K1349" s="28">
        <v>0</v>
      </c>
      <c r="L1349" s="32">
        <v>0</v>
      </c>
      <c r="M1349" s="35">
        <f>+J1349+L1349</f>
        <v>17452240.691199999</v>
      </c>
      <c r="N1349" s="28" t="s">
        <v>1935</v>
      </c>
      <c r="O1349" s="29" t="s">
        <v>1936</v>
      </c>
      <c r="P1349" s="36">
        <v>42899</v>
      </c>
      <c r="Q1349" s="31">
        <v>26649.99</v>
      </c>
      <c r="R1349" s="33">
        <f>M1349/Q1349</f>
        <v>654.86856434842935</v>
      </c>
    </row>
    <row r="1350" spans="1:18" s="30" customFormat="1" ht="15" customHeight="1">
      <c r="A1350" s="37" t="s">
        <v>391</v>
      </c>
      <c r="B1350" s="26" t="s">
        <v>392</v>
      </c>
      <c r="C1350" s="39">
        <v>111</v>
      </c>
      <c r="D1350" s="40" t="s">
        <v>2071</v>
      </c>
      <c r="E1350" s="38" t="s">
        <v>4</v>
      </c>
      <c r="F1350" s="38" t="s">
        <v>11</v>
      </c>
      <c r="G1350" s="32">
        <v>0</v>
      </c>
      <c r="H1350" s="32">
        <v>0</v>
      </c>
      <c r="I1350" s="32">
        <v>1188252</v>
      </c>
      <c r="J1350" s="35">
        <f>+G1350-H1350+I1350</f>
        <v>1188252</v>
      </c>
      <c r="K1350" s="28">
        <v>0</v>
      </c>
      <c r="L1350" s="32">
        <v>0</v>
      </c>
      <c r="M1350" s="35">
        <f>+J1350+L1350</f>
        <v>1188252</v>
      </c>
      <c r="N1350" s="28" t="s">
        <v>2026</v>
      </c>
      <c r="O1350" s="29" t="s">
        <v>2027</v>
      </c>
      <c r="P1350" s="36">
        <v>43789</v>
      </c>
      <c r="Q1350" s="31">
        <v>28147.47</v>
      </c>
      <c r="R1350" s="33">
        <f>M1350/Q1350</f>
        <v>42.215232843307049</v>
      </c>
    </row>
    <row r="1351" spans="1:18" s="30" customFormat="1" ht="15" customHeight="1">
      <c r="A1351" s="37" t="s">
        <v>293</v>
      </c>
      <c r="B1351" s="26" t="s">
        <v>294</v>
      </c>
      <c r="C1351" s="39">
        <v>111</v>
      </c>
      <c r="D1351" s="40" t="s">
        <v>2072</v>
      </c>
      <c r="E1351" s="38" t="s">
        <v>3</v>
      </c>
      <c r="F1351" s="38" t="s">
        <v>10</v>
      </c>
      <c r="G1351" s="32">
        <v>5212179</v>
      </c>
      <c r="H1351" s="32">
        <v>4659708</v>
      </c>
      <c r="I1351" s="52">
        <v>0</v>
      </c>
      <c r="J1351" s="35">
        <f>+G1351-H1351+I1351</f>
        <v>552471</v>
      </c>
      <c r="K1351" s="28">
        <v>0</v>
      </c>
      <c r="L1351" s="32">
        <v>0</v>
      </c>
      <c r="M1351" s="35">
        <f>+J1351+L1351</f>
        <v>552471</v>
      </c>
      <c r="N1351" s="28" t="s">
        <v>1830</v>
      </c>
      <c r="O1351" s="29" t="s">
        <v>1831</v>
      </c>
      <c r="P1351" s="36">
        <v>43878</v>
      </c>
      <c r="Q1351" s="31">
        <v>28393.3</v>
      </c>
      <c r="R1351" s="33">
        <f>M1351/Q1351</f>
        <v>19.457794620561895</v>
      </c>
    </row>
    <row r="1352" spans="1:18" s="30" customFormat="1" ht="15" customHeight="1">
      <c r="A1352" s="37" t="s">
        <v>356</v>
      </c>
      <c r="B1352" s="26" t="s">
        <v>1540</v>
      </c>
      <c r="C1352" s="39">
        <v>111</v>
      </c>
      <c r="D1352" s="40" t="s">
        <v>2073</v>
      </c>
      <c r="E1352" s="38" t="s">
        <v>3</v>
      </c>
      <c r="F1352" s="38" t="s">
        <v>12</v>
      </c>
      <c r="G1352" s="32">
        <v>0</v>
      </c>
      <c r="H1352" s="32">
        <v>31696666</v>
      </c>
      <c r="I1352" s="32">
        <v>53361682</v>
      </c>
      <c r="J1352" s="35">
        <f>+G1352-H1352+I1352</f>
        <v>21665016</v>
      </c>
      <c r="K1352" s="28">
        <v>0</v>
      </c>
      <c r="L1352" s="32">
        <v>0</v>
      </c>
      <c r="M1352" s="35">
        <f>+J1352+L1352</f>
        <v>21665016</v>
      </c>
      <c r="N1352" s="28" t="s">
        <v>1939</v>
      </c>
      <c r="O1352" s="29" t="s">
        <v>1940</v>
      </c>
      <c r="P1352" s="36">
        <v>43263</v>
      </c>
      <c r="Q1352" s="31">
        <v>27110</v>
      </c>
      <c r="R1352" s="33">
        <f>M1352/Q1352</f>
        <v>799.1521947620804</v>
      </c>
    </row>
    <row r="1353" spans="1:18" s="30" customFormat="1" ht="15" customHeight="1">
      <c r="A1353" s="37" t="s">
        <v>39</v>
      </c>
      <c r="B1353" s="26" t="s">
        <v>1658</v>
      </c>
      <c r="C1353" s="39">
        <v>111</v>
      </c>
      <c r="D1353" s="40" t="s">
        <v>2074</v>
      </c>
      <c r="E1353" s="38" t="s">
        <v>3</v>
      </c>
      <c r="F1353" s="38" t="s">
        <v>11</v>
      </c>
      <c r="G1353" s="32">
        <v>845151</v>
      </c>
      <c r="H1353" s="32">
        <v>1322560</v>
      </c>
      <c r="I1353" s="32">
        <v>2123380</v>
      </c>
      <c r="J1353" s="35">
        <f>+G1353-H1353+I1353</f>
        <v>1645971</v>
      </c>
      <c r="K1353" s="28">
        <v>0</v>
      </c>
      <c r="L1353" s="32">
        <v>0</v>
      </c>
      <c r="M1353" s="35">
        <f>+J1353+L1353</f>
        <v>1645971</v>
      </c>
      <c r="N1353" s="28" t="s">
        <v>1917</v>
      </c>
      <c r="O1353" s="29" t="s">
        <v>1918</v>
      </c>
      <c r="P1353" s="36">
        <v>43495</v>
      </c>
      <c r="Q1353" s="31">
        <v>27547.11</v>
      </c>
      <c r="R1353" s="33">
        <f>M1353/Q1353</f>
        <v>59.751131788416281</v>
      </c>
    </row>
    <row r="1354" spans="1:18" s="30" customFormat="1" ht="15" customHeight="1">
      <c r="A1354" s="37" t="s">
        <v>293</v>
      </c>
      <c r="B1354" s="26" t="s">
        <v>294</v>
      </c>
      <c r="C1354" s="39">
        <v>110</v>
      </c>
      <c r="D1354" s="40" t="s">
        <v>2075</v>
      </c>
      <c r="E1354" s="38" t="s">
        <v>3</v>
      </c>
      <c r="F1354" s="38" t="s">
        <v>10</v>
      </c>
      <c r="G1354" s="32">
        <v>18064164</v>
      </c>
      <c r="H1354" s="32">
        <v>11652529</v>
      </c>
      <c r="I1354" s="32">
        <v>576201</v>
      </c>
      <c r="J1354" s="35">
        <f>+G1354-H1354+I1354</f>
        <v>6987836</v>
      </c>
      <c r="K1354" s="28">
        <v>0</v>
      </c>
      <c r="L1354" s="32">
        <v>0</v>
      </c>
      <c r="M1354" s="35">
        <f>+J1354+L1354</f>
        <v>6987836</v>
      </c>
      <c r="N1354" s="28" t="s">
        <v>1626</v>
      </c>
      <c r="O1354" s="29" t="s">
        <v>1627</v>
      </c>
      <c r="P1354" s="36">
        <v>43886</v>
      </c>
      <c r="Q1354" s="31">
        <v>28440.19</v>
      </c>
      <c r="R1354" s="33">
        <f>M1354/Q1354</f>
        <v>245.70285922843695</v>
      </c>
    </row>
    <row r="1355" spans="1:18" s="30" customFormat="1" ht="15" customHeight="1">
      <c r="A1355" s="37" t="s">
        <v>356</v>
      </c>
      <c r="B1355" s="26" t="s">
        <v>1841</v>
      </c>
      <c r="C1355" s="39">
        <v>110</v>
      </c>
      <c r="D1355" s="40" t="s">
        <v>2076</v>
      </c>
      <c r="E1355" s="38" t="s">
        <v>6</v>
      </c>
      <c r="F1355" s="38" t="s">
        <v>13</v>
      </c>
      <c r="G1355" s="32">
        <v>624200</v>
      </c>
      <c r="H1355" s="32">
        <v>0</v>
      </c>
      <c r="I1355" s="32">
        <v>80063</v>
      </c>
      <c r="J1355" s="35">
        <f>+G1355-H1355+I1355</f>
        <v>704263</v>
      </c>
      <c r="K1355" s="28">
        <v>0</v>
      </c>
      <c r="L1355" s="32">
        <v>0</v>
      </c>
      <c r="M1355" s="35">
        <f>+J1355+L1355</f>
        <v>704263</v>
      </c>
      <c r="N1355" s="28" t="s">
        <v>2055</v>
      </c>
      <c r="O1355" s="29" t="s">
        <v>2056</v>
      </c>
      <c r="P1355" s="36">
        <v>44315</v>
      </c>
      <c r="Q1355" s="31">
        <v>29462.75</v>
      </c>
      <c r="R1355" s="33">
        <f>M1355/Q1355</f>
        <v>23.9035052736082</v>
      </c>
    </row>
    <row r="1356" spans="1:18" s="30" customFormat="1" ht="15" customHeight="1">
      <c r="A1356" s="37" t="s">
        <v>356</v>
      </c>
      <c r="B1356" s="26" t="s">
        <v>1540</v>
      </c>
      <c r="C1356" s="39">
        <v>110</v>
      </c>
      <c r="D1356" s="40" t="s">
        <v>2077</v>
      </c>
      <c r="E1356" s="38" t="s">
        <v>198</v>
      </c>
      <c r="F1356" s="38" t="s">
        <v>14</v>
      </c>
      <c r="G1356" s="32">
        <v>46051462</v>
      </c>
      <c r="H1356" s="32">
        <v>0</v>
      </c>
      <c r="I1356" s="32">
        <v>44527569</v>
      </c>
      <c r="J1356" s="35">
        <f>+G1356-H1356+I1356</f>
        <v>90579031</v>
      </c>
      <c r="K1356" s="28">
        <v>0</v>
      </c>
      <c r="L1356" s="32">
        <v>0</v>
      </c>
      <c r="M1356" s="35">
        <f>+J1356+L1356</f>
        <v>90579031</v>
      </c>
      <c r="N1356" s="28" t="s">
        <v>2035</v>
      </c>
      <c r="O1356" s="29" t="s">
        <v>2036</v>
      </c>
      <c r="P1356" s="36">
        <v>43081</v>
      </c>
      <c r="Q1356" s="31">
        <v>26781.73</v>
      </c>
      <c r="R1356" s="33">
        <f>M1356/Q1356</f>
        <v>3382.1202364447704</v>
      </c>
    </row>
    <row r="1357" spans="1:18" s="30" customFormat="1" ht="15" customHeight="1">
      <c r="A1357" s="37" t="s">
        <v>39</v>
      </c>
      <c r="B1357" s="26" t="s">
        <v>1658</v>
      </c>
      <c r="C1357" s="39">
        <v>110</v>
      </c>
      <c r="D1357" s="40" t="s">
        <v>2078</v>
      </c>
      <c r="E1357" s="38" t="s">
        <v>4</v>
      </c>
      <c r="F1357" s="38" t="s">
        <v>11</v>
      </c>
      <c r="G1357" s="32">
        <v>6615655</v>
      </c>
      <c r="H1357" s="32">
        <v>0</v>
      </c>
      <c r="I1357" s="52">
        <v>0</v>
      </c>
      <c r="J1357" s="35">
        <f>+G1357-H1357+I1357</f>
        <v>6615655</v>
      </c>
      <c r="K1357" s="28">
        <v>0</v>
      </c>
      <c r="L1357" s="32">
        <v>0</v>
      </c>
      <c r="M1357" s="35">
        <f>+J1357+L1357</f>
        <v>6615655</v>
      </c>
      <c r="N1357" s="28" t="s">
        <v>1917</v>
      </c>
      <c r="O1357" s="29" t="s">
        <v>1918</v>
      </c>
      <c r="P1357" s="36">
        <v>43495</v>
      </c>
      <c r="Q1357" s="31">
        <v>27547.11</v>
      </c>
      <c r="R1357" s="33">
        <f>M1357/Q1357</f>
        <v>240.15786047973816</v>
      </c>
    </row>
    <row r="1358" spans="1:18" s="30" customFormat="1" ht="15" customHeight="1">
      <c r="A1358" s="46" t="s">
        <v>189</v>
      </c>
      <c r="B1358" s="26" t="s">
        <v>225</v>
      </c>
      <c r="C1358" s="65">
        <v>110</v>
      </c>
      <c r="D1358" s="51" t="s">
        <v>2079</v>
      </c>
      <c r="E1358" s="38" t="s">
        <v>3</v>
      </c>
      <c r="F1358" s="48" t="s">
        <v>11</v>
      </c>
      <c r="G1358" s="52">
        <v>12666124</v>
      </c>
      <c r="H1358" s="52">
        <v>10469353</v>
      </c>
      <c r="I1358" s="52">
        <v>0</v>
      </c>
      <c r="J1358" s="53">
        <f>+G1358-H1358+I1358</f>
        <v>2196771</v>
      </c>
      <c r="K1358" s="70">
        <v>0</v>
      </c>
      <c r="L1358" s="52">
        <v>0</v>
      </c>
      <c r="M1358" s="53">
        <f>+J1358+L1358</f>
        <v>2196771</v>
      </c>
      <c r="N1358" s="55" t="s">
        <v>1168</v>
      </c>
      <c r="O1358" s="56" t="s">
        <v>1169</v>
      </c>
      <c r="P1358" s="56">
        <v>44725</v>
      </c>
      <c r="Q1358" s="49">
        <v>33243.86</v>
      </c>
      <c r="R1358" s="57">
        <f>M1358/Q1358</f>
        <v>66.080503286922763</v>
      </c>
    </row>
    <row r="1359" spans="1:18" s="30" customFormat="1" ht="15" customHeight="1">
      <c r="A1359" s="37" t="s">
        <v>688</v>
      </c>
      <c r="B1359" s="26" t="s">
        <v>1728</v>
      </c>
      <c r="C1359" s="39">
        <v>110</v>
      </c>
      <c r="D1359" s="40" t="s">
        <v>2080</v>
      </c>
      <c r="E1359" s="38" t="s">
        <v>4</v>
      </c>
      <c r="F1359" s="38" t="s">
        <v>15</v>
      </c>
      <c r="G1359" s="32">
        <v>0</v>
      </c>
      <c r="H1359" s="32">
        <v>984292</v>
      </c>
      <c r="I1359" s="32">
        <v>4674093</v>
      </c>
      <c r="J1359" s="35">
        <f>+G1359-H1359+I1359</f>
        <v>3689801</v>
      </c>
      <c r="K1359" s="28">
        <v>0</v>
      </c>
      <c r="L1359" s="32">
        <v>0</v>
      </c>
      <c r="M1359" s="35">
        <f>+J1359+L1359</f>
        <v>3689801</v>
      </c>
      <c r="N1359" s="28" t="s">
        <v>1730</v>
      </c>
      <c r="O1359" s="29" t="s">
        <v>1731</v>
      </c>
      <c r="P1359" s="36">
        <v>43444</v>
      </c>
      <c r="Q1359" s="31">
        <v>27565.79</v>
      </c>
      <c r="R1359" s="33">
        <f>M1359/Q1359</f>
        <v>133.85435353022714</v>
      </c>
    </row>
    <row r="1360" spans="1:18" s="30" customFormat="1" ht="15" customHeight="1">
      <c r="A1360" s="37" t="s">
        <v>391</v>
      </c>
      <c r="B1360" s="26" t="s">
        <v>392</v>
      </c>
      <c r="C1360" s="39">
        <v>109</v>
      </c>
      <c r="D1360" s="40" t="s">
        <v>2081</v>
      </c>
      <c r="E1360" s="38" t="s">
        <v>3</v>
      </c>
      <c r="F1360" s="38" t="s">
        <v>10</v>
      </c>
      <c r="G1360" s="32">
        <v>6557609</v>
      </c>
      <c r="H1360" s="32">
        <v>3889482</v>
      </c>
      <c r="I1360" s="52">
        <v>0</v>
      </c>
      <c r="J1360" s="35">
        <f>+G1360-H1360+I1360</f>
        <v>2668127</v>
      </c>
      <c r="K1360" s="28">
        <v>0</v>
      </c>
      <c r="L1360" s="32">
        <v>0</v>
      </c>
      <c r="M1360" s="35">
        <f>+J1360+L1360</f>
        <v>2668127</v>
      </c>
      <c r="N1360" s="28" t="s">
        <v>481</v>
      </c>
      <c r="O1360" s="29" t="s">
        <v>482</v>
      </c>
      <c r="P1360" s="36">
        <v>44130</v>
      </c>
      <c r="Q1360" s="31">
        <v>28810.82</v>
      </c>
      <c r="R1360" s="33">
        <f>M1360/Q1360</f>
        <v>92.608506109857345</v>
      </c>
    </row>
    <row r="1361" spans="1:18" s="30" customFormat="1" ht="15" customHeight="1">
      <c r="A1361" s="37" t="s">
        <v>293</v>
      </c>
      <c r="B1361" s="26" t="s">
        <v>294</v>
      </c>
      <c r="C1361" s="39">
        <v>109</v>
      </c>
      <c r="D1361" s="40" t="s">
        <v>2082</v>
      </c>
      <c r="E1361" s="38" t="s">
        <v>3</v>
      </c>
      <c r="F1361" s="38" t="s">
        <v>10</v>
      </c>
      <c r="G1361" s="32">
        <v>5133920</v>
      </c>
      <c r="H1361" s="32">
        <v>4706587</v>
      </c>
      <c r="I1361" s="32">
        <v>1846564</v>
      </c>
      <c r="J1361" s="35">
        <f>+G1361-H1361+I1361</f>
        <v>2273897</v>
      </c>
      <c r="K1361" s="28">
        <v>0</v>
      </c>
      <c r="L1361" s="32">
        <v>0</v>
      </c>
      <c r="M1361" s="35">
        <f>+J1361+L1361</f>
        <v>2273897</v>
      </c>
      <c r="N1361" s="28" t="s">
        <v>1537</v>
      </c>
      <c r="O1361" s="29" t="s">
        <v>1538</v>
      </c>
      <c r="P1361" s="36">
        <v>43914</v>
      </c>
      <c r="Q1361" s="31">
        <v>28331.86</v>
      </c>
      <c r="R1361" s="33">
        <f>M1361/Q1361</f>
        <v>80.259361722103662</v>
      </c>
    </row>
    <row r="1362" spans="1:18" s="30" customFormat="1" ht="15" customHeight="1">
      <c r="A1362" s="37" t="s">
        <v>356</v>
      </c>
      <c r="B1362" s="26" t="s">
        <v>1841</v>
      </c>
      <c r="C1362" s="39">
        <v>109</v>
      </c>
      <c r="D1362" s="40" t="s">
        <v>2083</v>
      </c>
      <c r="E1362" s="38" t="s">
        <v>3</v>
      </c>
      <c r="F1362" s="38" t="s">
        <v>12</v>
      </c>
      <c r="G1362" s="32">
        <v>964162</v>
      </c>
      <c r="H1362" s="32">
        <v>0</v>
      </c>
      <c r="I1362" s="52">
        <v>0</v>
      </c>
      <c r="J1362" s="35">
        <f>+G1362-H1362+I1362</f>
        <v>964162</v>
      </c>
      <c r="K1362" s="28">
        <v>0</v>
      </c>
      <c r="L1362" s="32">
        <v>0</v>
      </c>
      <c r="M1362" s="35">
        <f>+J1362+L1362</f>
        <v>964162</v>
      </c>
      <c r="N1362" s="28" t="s">
        <v>2055</v>
      </c>
      <c r="O1362" s="29" t="s">
        <v>2056</v>
      </c>
      <c r="P1362" s="36">
        <v>44315</v>
      </c>
      <c r="Q1362" s="31">
        <v>29462.75</v>
      </c>
      <c r="R1362" s="33">
        <f>M1362/Q1362</f>
        <v>32.724779594572809</v>
      </c>
    </row>
    <row r="1363" spans="1:18" s="30" customFormat="1" ht="15" customHeight="1">
      <c r="A1363" s="37" t="s">
        <v>52</v>
      </c>
      <c r="B1363" s="26" t="s">
        <v>622</v>
      </c>
      <c r="C1363" s="65">
        <v>16</v>
      </c>
      <c r="D1363" s="51" t="s">
        <v>2084</v>
      </c>
      <c r="E1363" s="38" t="s">
        <v>3</v>
      </c>
      <c r="F1363" s="38" t="s">
        <v>13</v>
      </c>
      <c r="G1363" s="52">
        <v>4933944</v>
      </c>
      <c r="H1363" s="52">
        <v>38062655</v>
      </c>
      <c r="I1363" s="52">
        <v>53184075</v>
      </c>
      <c r="J1363" s="53">
        <f>+G1363-H1363+I1363</f>
        <v>20055364</v>
      </c>
      <c r="K1363" s="27">
        <v>128</v>
      </c>
      <c r="L1363" s="32">
        <v>0</v>
      </c>
      <c r="M1363" s="53">
        <f>+J1363+L1363</f>
        <v>20055364</v>
      </c>
      <c r="N1363" s="55" t="s">
        <v>2085</v>
      </c>
      <c r="O1363" s="29" t="s">
        <v>2086</v>
      </c>
      <c r="P1363" s="36">
        <v>43735</v>
      </c>
      <c r="Q1363" s="49">
        <v>28042.93</v>
      </c>
      <c r="R1363" s="33">
        <f>M1363/Q1363</f>
        <v>715.16649651088528</v>
      </c>
    </row>
    <row r="1364" spans="1:18" s="30" customFormat="1" ht="15" customHeight="1">
      <c r="A1364" s="37" t="s">
        <v>356</v>
      </c>
      <c r="B1364" s="26" t="s">
        <v>1540</v>
      </c>
      <c r="C1364" s="39">
        <v>109</v>
      </c>
      <c r="D1364" s="40" t="s">
        <v>2087</v>
      </c>
      <c r="E1364" s="38" t="s">
        <v>198</v>
      </c>
      <c r="F1364" s="38" t="s">
        <v>13</v>
      </c>
      <c r="G1364" s="32">
        <v>0</v>
      </c>
      <c r="H1364" s="32">
        <v>76207523</v>
      </c>
      <c r="I1364" s="32">
        <v>246440595</v>
      </c>
      <c r="J1364" s="35">
        <f>+G1364-H1364+I1364</f>
        <v>170233072</v>
      </c>
      <c r="K1364" s="28">
        <v>0</v>
      </c>
      <c r="L1364" s="32">
        <v>0</v>
      </c>
      <c r="M1364" s="35">
        <f>+J1364+L1364</f>
        <v>170233072</v>
      </c>
      <c r="N1364" s="28" t="s">
        <v>2035</v>
      </c>
      <c r="O1364" s="29" t="s">
        <v>2036</v>
      </c>
      <c r="P1364" s="36">
        <v>43081</v>
      </c>
      <c r="Q1364" s="31">
        <v>26781.73</v>
      </c>
      <c r="R1364" s="33">
        <f>M1364/Q1364</f>
        <v>6356.3135017790109</v>
      </c>
    </row>
    <row r="1365" spans="1:18" s="30" customFormat="1" ht="15" customHeight="1">
      <c r="A1365" s="37" t="s">
        <v>39</v>
      </c>
      <c r="B1365" s="26" t="s">
        <v>1658</v>
      </c>
      <c r="C1365" s="39">
        <v>109</v>
      </c>
      <c r="D1365" s="40" t="s">
        <v>2088</v>
      </c>
      <c r="E1365" s="38" t="s">
        <v>4</v>
      </c>
      <c r="F1365" s="38" t="s">
        <v>11</v>
      </c>
      <c r="G1365" s="32">
        <v>16389237</v>
      </c>
      <c r="H1365" s="32">
        <v>1416852</v>
      </c>
      <c r="I1365" s="52">
        <v>0</v>
      </c>
      <c r="J1365" s="35">
        <f>+G1365-H1365+I1365</f>
        <v>14972385</v>
      </c>
      <c r="K1365" s="28">
        <v>0</v>
      </c>
      <c r="L1365" s="32">
        <v>0</v>
      </c>
      <c r="M1365" s="35">
        <f>+J1365+L1365</f>
        <v>14972385</v>
      </c>
      <c r="N1365" s="28" t="s">
        <v>1917</v>
      </c>
      <c r="O1365" s="29" t="s">
        <v>1918</v>
      </c>
      <c r="P1365" s="36">
        <v>43495</v>
      </c>
      <c r="Q1365" s="31">
        <v>27547.11</v>
      </c>
      <c r="R1365" s="33">
        <f>M1365/Q1365</f>
        <v>543.51926572333718</v>
      </c>
    </row>
    <row r="1366" spans="1:18" s="30" customFormat="1" ht="15" customHeight="1">
      <c r="A1366" s="46" t="s">
        <v>189</v>
      </c>
      <c r="B1366" s="26" t="s">
        <v>225</v>
      </c>
      <c r="C1366" s="65">
        <v>109</v>
      </c>
      <c r="D1366" s="51" t="s">
        <v>2089</v>
      </c>
      <c r="E1366" s="38" t="s">
        <v>3</v>
      </c>
      <c r="F1366" s="48" t="s">
        <v>11</v>
      </c>
      <c r="G1366" s="52">
        <v>2652903</v>
      </c>
      <c r="H1366" s="52">
        <v>0</v>
      </c>
      <c r="I1366" s="52">
        <v>0</v>
      </c>
      <c r="J1366" s="53">
        <f>+G1366-H1366+I1366</f>
        <v>2652903</v>
      </c>
      <c r="K1366" s="70">
        <v>0</v>
      </c>
      <c r="L1366" s="52">
        <v>0</v>
      </c>
      <c r="M1366" s="53">
        <f>+J1366+L1366</f>
        <v>2652903</v>
      </c>
      <c r="N1366" s="55" t="s">
        <v>1168</v>
      </c>
      <c r="O1366" s="56" t="s">
        <v>1169</v>
      </c>
      <c r="P1366" s="56">
        <v>44725</v>
      </c>
      <c r="Q1366" s="49">
        <v>33243.86</v>
      </c>
      <c r="R1366" s="57">
        <f>M1366/Q1366</f>
        <v>79.801292629676581</v>
      </c>
    </row>
    <row r="1367" spans="1:18" s="30" customFormat="1" ht="15" customHeight="1">
      <c r="A1367" s="37" t="s">
        <v>627</v>
      </c>
      <c r="B1367" s="26" t="s">
        <v>1392</v>
      </c>
      <c r="C1367" s="39">
        <v>2</v>
      </c>
      <c r="D1367" s="40" t="s">
        <v>2090</v>
      </c>
      <c r="E1367" s="38" t="s">
        <v>3</v>
      </c>
      <c r="F1367" s="38" t="s">
        <v>15</v>
      </c>
      <c r="G1367" s="32">
        <v>4973058</v>
      </c>
      <c r="H1367" s="32">
        <v>0</v>
      </c>
      <c r="I1367" s="32">
        <v>659422</v>
      </c>
      <c r="J1367" s="35">
        <f>+G1367-H1367+I1367</f>
        <v>5632480</v>
      </c>
      <c r="K1367" s="27">
        <v>5</v>
      </c>
      <c r="L1367" s="32">
        <v>0</v>
      </c>
      <c r="M1367" s="35">
        <f>+J1367+L1367</f>
        <v>5632480</v>
      </c>
      <c r="N1367" s="28" t="s">
        <v>1394</v>
      </c>
      <c r="O1367" s="29" t="s">
        <v>1395</v>
      </c>
      <c r="P1367" s="36">
        <v>44172</v>
      </c>
      <c r="Q1367" s="31">
        <v>29077.46</v>
      </c>
      <c r="R1367" s="33">
        <f>M1367/Q1367</f>
        <v>193.70605272950252</v>
      </c>
    </row>
    <row r="1368" spans="1:18" s="30" customFormat="1" ht="15" customHeight="1">
      <c r="A1368" s="37" t="s">
        <v>688</v>
      </c>
      <c r="B1368" s="26" t="s">
        <v>1728</v>
      </c>
      <c r="C1368" s="39">
        <v>109</v>
      </c>
      <c r="D1368" s="40" t="s">
        <v>2091</v>
      </c>
      <c r="E1368" s="38" t="s">
        <v>4</v>
      </c>
      <c r="F1368" s="38" t="s">
        <v>15</v>
      </c>
      <c r="G1368" s="32">
        <v>0</v>
      </c>
      <c r="H1368" s="32">
        <v>0</v>
      </c>
      <c r="I1368" s="32">
        <v>6076060.0319999997</v>
      </c>
      <c r="J1368" s="35">
        <f>+G1368-H1368+I1368</f>
        <v>6076060.0319999997</v>
      </c>
      <c r="K1368" s="28">
        <v>0</v>
      </c>
      <c r="L1368" s="32">
        <v>0</v>
      </c>
      <c r="M1368" s="35">
        <f>+J1368+L1368</f>
        <v>6076060.0319999997</v>
      </c>
      <c r="N1368" s="28" t="s">
        <v>1935</v>
      </c>
      <c r="O1368" s="29" t="s">
        <v>1936</v>
      </c>
      <c r="P1368" s="36">
        <v>42899</v>
      </c>
      <c r="Q1368" s="31">
        <v>26649.99</v>
      </c>
      <c r="R1368" s="33">
        <f>M1368/Q1368</f>
        <v>227.99483346898063</v>
      </c>
    </row>
    <row r="1369" spans="1:18" s="30" customFormat="1" ht="15" customHeight="1">
      <c r="A1369" s="37" t="s">
        <v>391</v>
      </c>
      <c r="B1369" s="26" t="s">
        <v>392</v>
      </c>
      <c r="C1369" s="39">
        <v>108</v>
      </c>
      <c r="D1369" s="40" t="s">
        <v>2092</v>
      </c>
      <c r="E1369" s="38" t="s">
        <v>3</v>
      </c>
      <c r="F1369" s="38" t="s">
        <v>10</v>
      </c>
      <c r="G1369" s="32">
        <v>7999007</v>
      </c>
      <c r="H1369" s="32">
        <v>0</v>
      </c>
      <c r="I1369" s="32">
        <v>3250675</v>
      </c>
      <c r="J1369" s="35">
        <f>+G1369-H1369+I1369</f>
        <v>11249682</v>
      </c>
      <c r="K1369" s="28">
        <v>0</v>
      </c>
      <c r="L1369" s="32">
        <v>0</v>
      </c>
      <c r="M1369" s="35">
        <f>+J1369+L1369</f>
        <v>11249682</v>
      </c>
      <c r="N1369" s="28" t="s">
        <v>2026</v>
      </c>
      <c r="O1369" s="29" t="s">
        <v>2027</v>
      </c>
      <c r="P1369" s="36">
        <v>43789</v>
      </c>
      <c r="Q1369" s="31">
        <v>28147.47</v>
      </c>
      <c r="R1369" s="33">
        <f>M1369/Q1369</f>
        <v>399.66938414003101</v>
      </c>
    </row>
    <row r="1370" spans="1:18" s="30" customFormat="1" ht="15" customHeight="1">
      <c r="A1370" s="37" t="s">
        <v>874</v>
      </c>
      <c r="B1370" s="26" t="s">
        <v>875</v>
      </c>
      <c r="C1370" s="39">
        <v>108</v>
      </c>
      <c r="D1370" s="40" t="s">
        <v>2093</v>
      </c>
      <c r="E1370" s="38" t="s">
        <v>4</v>
      </c>
      <c r="F1370" s="38" t="s">
        <v>14</v>
      </c>
      <c r="G1370" s="32">
        <v>0</v>
      </c>
      <c r="H1370" s="32">
        <v>14688910</v>
      </c>
      <c r="I1370" s="52">
        <v>0</v>
      </c>
      <c r="J1370" s="35">
        <f>+G1370-H1370+I1370</f>
        <v>-14688910</v>
      </c>
      <c r="K1370" s="28">
        <v>0</v>
      </c>
      <c r="L1370" s="32">
        <v>0</v>
      </c>
      <c r="M1370" s="35">
        <f>+J1370+L1370</f>
        <v>-14688910</v>
      </c>
      <c r="N1370" s="28" t="s">
        <v>2094</v>
      </c>
      <c r="O1370" s="29" t="s">
        <v>2095</v>
      </c>
      <c r="P1370" s="36">
        <v>44742</v>
      </c>
      <c r="Q1370" s="31">
        <v>33086.83</v>
      </c>
      <c r="R1370" s="33">
        <f>M1370/Q1370</f>
        <v>-443.95035728717437</v>
      </c>
    </row>
    <row r="1371" spans="1:18" s="30" customFormat="1" ht="15" customHeight="1">
      <c r="A1371" s="37" t="s">
        <v>356</v>
      </c>
      <c r="B1371" s="26" t="s">
        <v>1540</v>
      </c>
      <c r="C1371" s="39">
        <v>108</v>
      </c>
      <c r="D1371" s="40" t="s">
        <v>2096</v>
      </c>
      <c r="E1371" s="38" t="s">
        <v>3</v>
      </c>
      <c r="F1371" s="38" t="s">
        <v>15</v>
      </c>
      <c r="G1371" s="32">
        <v>2731034</v>
      </c>
      <c r="H1371" s="32">
        <v>0</v>
      </c>
      <c r="I1371" s="32">
        <v>1663113</v>
      </c>
      <c r="J1371" s="35">
        <f>+G1371-H1371+I1371</f>
        <v>4394147</v>
      </c>
      <c r="K1371" s="28">
        <v>0</v>
      </c>
      <c r="L1371" s="32">
        <v>0</v>
      </c>
      <c r="M1371" s="35">
        <f>+J1371+L1371</f>
        <v>4394147</v>
      </c>
      <c r="N1371" s="28" t="s">
        <v>2035</v>
      </c>
      <c r="O1371" s="29" t="s">
        <v>2036</v>
      </c>
      <c r="P1371" s="36">
        <v>43081</v>
      </c>
      <c r="Q1371" s="31">
        <v>26781.73</v>
      </c>
      <c r="R1371" s="33">
        <f>M1371/Q1371</f>
        <v>164.07255991304521</v>
      </c>
    </row>
    <row r="1372" spans="1:18" s="30" customFormat="1" ht="15" customHeight="1">
      <c r="A1372" s="37" t="s">
        <v>39</v>
      </c>
      <c r="B1372" s="26" t="s">
        <v>1658</v>
      </c>
      <c r="C1372" s="39">
        <v>108</v>
      </c>
      <c r="D1372" s="40" t="s">
        <v>2097</v>
      </c>
      <c r="E1372" s="38" t="s">
        <v>3</v>
      </c>
      <c r="F1372" s="38" t="s">
        <v>11</v>
      </c>
      <c r="G1372" s="32">
        <v>11747155</v>
      </c>
      <c r="H1372" s="32">
        <v>5679950</v>
      </c>
      <c r="I1372" s="52">
        <v>0</v>
      </c>
      <c r="J1372" s="35">
        <f>+G1372-H1372+I1372</f>
        <v>6067205</v>
      </c>
      <c r="K1372" s="28">
        <v>0</v>
      </c>
      <c r="L1372" s="32">
        <v>0</v>
      </c>
      <c r="M1372" s="35">
        <f>+J1372+L1372</f>
        <v>6067205</v>
      </c>
      <c r="N1372" s="28" t="s">
        <v>1917</v>
      </c>
      <c r="O1372" s="29" t="s">
        <v>1918</v>
      </c>
      <c r="P1372" s="36">
        <v>43495</v>
      </c>
      <c r="Q1372" s="31">
        <v>27547.11</v>
      </c>
      <c r="R1372" s="33">
        <f>M1372/Q1372</f>
        <v>220.24833095014321</v>
      </c>
    </row>
    <row r="1373" spans="1:18" s="30" customFormat="1" ht="15" customHeight="1">
      <c r="A1373" s="46" t="s">
        <v>189</v>
      </c>
      <c r="B1373" s="26" t="s">
        <v>225</v>
      </c>
      <c r="C1373" s="65">
        <v>108</v>
      </c>
      <c r="D1373" s="51" t="s">
        <v>2098</v>
      </c>
      <c r="E1373" s="38" t="s">
        <v>3</v>
      </c>
      <c r="F1373" s="48" t="s">
        <v>11</v>
      </c>
      <c r="G1373" s="52">
        <v>56077637</v>
      </c>
      <c r="H1373" s="52">
        <v>4048810</v>
      </c>
      <c r="I1373" s="52">
        <v>0</v>
      </c>
      <c r="J1373" s="53">
        <f>+G1373-H1373+I1373</f>
        <v>52028827</v>
      </c>
      <c r="K1373" s="70">
        <v>0</v>
      </c>
      <c r="L1373" s="52">
        <v>0</v>
      </c>
      <c r="M1373" s="53">
        <f>+J1373+L1373</f>
        <v>52028827</v>
      </c>
      <c r="N1373" s="55" t="s">
        <v>1168</v>
      </c>
      <c r="O1373" s="56" t="s">
        <v>1169</v>
      </c>
      <c r="P1373" s="56">
        <v>44725</v>
      </c>
      <c r="Q1373" s="49">
        <v>33243.86</v>
      </c>
      <c r="R1373" s="57">
        <f>M1373/Q1373</f>
        <v>1565.0657595116813</v>
      </c>
    </row>
    <row r="1374" spans="1:18" s="30" customFormat="1" ht="15" customHeight="1">
      <c r="A1374" s="37" t="s">
        <v>688</v>
      </c>
      <c r="B1374" s="26" t="s">
        <v>1728</v>
      </c>
      <c r="C1374" s="39">
        <v>108</v>
      </c>
      <c r="D1374" s="40" t="s">
        <v>2099</v>
      </c>
      <c r="E1374" s="38" t="s">
        <v>4</v>
      </c>
      <c r="F1374" s="38" t="s">
        <v>12</v>
      </c>
      <c r="G1374" s="32">
        <v>0</v>
      </c>
      <c r="H1374" s="32">
        <v>31713024</v>
      </c>
      <c r="I1374" s="32">
        <v>46051747.929599993</v>
      </c>
      <c r="J1374" s="35">
        <f>+G1374-H1374+I1374</f>
        <v>14338723.929599993</v>
      </c>
      <c r="K1374" s="28">
        <v>0</v>
      </c>
      <c r="L1374" s="32">
        <v>0</v>
      </c>
      <c r="M1374" s="35">
        <f>+J1374+L1374</f>
        <v>14338723.929599993</v>
      </c>
      <c r="N1374" s="28" t="s">
        <v>1935</v>
      </c>
      <c r="O1374" s="29" t="s">
        <v>1936</v>
      </c>
      <c r="P1374" s="36">
        <v>42899</v>
      </c>
      <c r="Q1374" s="31">
        <v>26649.99</v>
      </c>
      <c r="R1374" s="33">
        <f>M1374/Q1374</f>
        <v>538.03862326402339</v>
      </c>
    </row>
    <row r="1375" spans="1:18" s="30" customFormat="1" ht="15" customHeight="1">
      <c r="A1375" s="37" t="s">
        <v>293</v>
      </c>
      <c r="B1375" s="26" t="s">
        <v>294</v>
      </c>
      <c r="C1375" s="39">
        <v>107</v>
      </c>
      <c r="D1375" s="40" t="s">
        <v>2100</v>
      </c>
      <c r="E1375" s="38" t="s">
        <v>3</v>
      </c>
      <c r="F1375" s="38" t="s">
        <v>12</v>
      </c>
      <c r="G1375" s="32">
        <v>49220</v>
      </c>
      <c r="H1375" s="32">
        <v>0</v>
      </c>
      <c r="I1375" s="32">
        <v>8829499</v>
      </c>
      <c r="J1375" s="35">
        <f>+G1375-H1375+I1375</f>
        <v>8878719</v>
      </c>
      <c r="K1375" s="28">
        <v>0</v>
      </c>
      <c r="L1375" s="32">
        <v>0</v>
      </c>
      <c r="M1375" s="35">
        <f>+J1375+L1375</f>
        <v>8878719</v>
      </c>
      <c r="N1375" s="28" t="s">
        <v>1567</v>
      </c>
      <c r="O1375" s="29" t="s">
        <v>1568</v>
      </c>
      <c r="P1375" s="36">
        <v>43886</v>
      </c>
      <c r="Q1375" s="31">
        <v>28440.19</v>
      </c>
      <c r="R1375" s="33">
        <f>M1375/Q1375</f>
        <v>312.18915907383177</v>
      </c>
    </row>
    <row r="1376" spans="1:18" s="30" customFormat="1" ht="15" customHeight="1">
      <c r="A1376" s="37" t="s">
        <v>874</v>
      </c>
      <c r="B1376" s="26" t="s">
        <v>875</v>
      </c>
      <c r="C1376" s="39">
        <v>107</v>
      </c>
      <c r="D1376" s="40" t="s">
        <v>2101</v>
      </c>
      <c r="E1376" s="38" t="s">
        <v>4</v>
      </c>
      <c r="F1376" s="38" t="s">
        <v>12</v>
      </c>
      <c r="G1376" s="32">
        <v>0</v>
      </c>
      <c r="H1376" s="32">
        <v>0</v>
      </c>
      <c r="I1376" s="32">
        <v>77679397</v>
      </c>
      <c r="J1376" s="35">
        <f>+G1376-H1376+I1376</f>
        <v>77679397</v>
      </c>
      <c r="K1376" s="28">
        <v>0</v>
      </c>
      <c r="L1376" s="32">
        <v>0</v>
      </c>
      <c r="M1376" s="35">
        <f>+J1376+L1376</f>
        <v>77679397</v>
      </c>
      <c r="N1376" s="28" t="s">
        <v>2094</v>
      </c>
      <c r="O1376" s="29" t="s">
        <v>2095</v>
      </c>
      <c r="P1376" s="36">
        <v>44742</v>
      </c>
      <c r="Q1376" s="31">
        <v>33086.83</v>
      </c>
      <c r="R1376" s="33">
        <f>M1376/Q1376</f>
        <v>2347.7437095061691</v>
      </c>
    </row>
    <row r="1377" spans="1:18" s="30" customFormat="1" ht="15" customHeight="1">
      <c r="A1377" s="37" t="s">
        <v>356</v>
      </c>
      <c r="B1377" s="26" t="s">
        <v>1841</v>
      </c>
      <c r="C1377" s="39">
        <v>107</v>
      </c>
      <c r="D1377" s="40" t="s">
        <v>2102</v>
      </c>
      <c r="E1377" s="38" t="s">
        <v>3</v>
      </c>
      <c r="F1377" s="38" t="s">
        <v>12</v>
      </c>
      <c r="G1377" s="32">
        <v>4384475</v>
      </c>
      <c r="H1377" s="32">
        <v>0</v>
      </c>
      <c r="I1377" s="32">
        <v>398754</v>
      </c>
      <c r="J1377" s="35">
        <f>+G1377-H1377+I1377</f>
        <v>4783229</v>
      </c>
      <c r="K1377" s="28">
        <v>0</v>
      </c>
      <c r="L1377" s="32">
        <v>0</v>
      </c>
      <c r="M1377" s="35">
        <f>+J1377+L1377</f>
        <v>4783229</v>
      </c>
      <c r="N1377" s="28" t="s">
        <v>2055</v>
      </c>
      <c r="O1377" s="29" t="s">
        <v>2056</v>
      </c>
      <c r="P1377" s="36">
        <v>44315</v>
      </c>
      <c r="Q1377" s="31">
        <v>29462.75</v>
      </c>
      <c r="R1377" s="33">
        <f>M1377/Q1377</f>
        <v>162.34835512638841</v>
      </c>
    </row>
    <row r="1378" spans="1:18" s="30" customFormat="1" ht="15" customHeight="1">
      <c r="A1378" s="37" t="s">
        <v>39</v>
      </c>
      <c r="B1378" s="26" t="s">
        <v>1658</v>
      </c>
      <c r="C1378" s="39">
        <v>107</v>
      </c>
      <c r="D1378" s="40" t="s">
        <v>2103</v>
      </c>
      <c r="E1378" s="38" t="s">
        <v>3</v>
      </c>
      <c r="F1378" s="38" t="s">
        <v>10</v>
      </c>
      <c r="G1378" s="32">
        <v>1574030</v>
      </c>
      <c r="H1378" s="32">
        <v>0</v>
      </c>
      <c r="I1378" s="52">
        <v>0</v>
      </c>
      <c r="J1378" s="35">
        <f>+G1378-H1378+I1378</f>
        <v>1574030</v>
      </c>
      <c r="K1378" s="28">
        <v>0</v>
      </c>
      <c r="L1378" s="32">
        <v>0</v>
      </c>
      <c r="M1378" s="35">
        <f>+J1378+L1378</f>
        <v>1574030</v>
      </c>
      <c r="N1378" s="28" t="s">
        <v>1917</v>
      </c>
      <c r="O1378" s="29" t="s">
        <v>1918</v>
      </c>
      <c r="P1378" s="36">
        <v>43495</v>
      </c>
      <c r="Q1378" s="31">
        <v>27547.11</v>
      </c>
      <c r="R1378" s="33">
        <f>M1378/Q1378</f>
        <v>57.139569268790808</v>
      </c>
    </row>
    <row r="1379" spans="1:18" s="30" customFormat="1" ht="15" customHeight="1">
      <c r="A1379" s="37" t="s">
        <v>627</v>
      </c>
      <c r="B1379" s="26" t="s">
        <v>628</v>
      </c>
      <c r="C1379" s="39">
        <v>9</v>
      </c>
      <c r="D1379" s="40" t="s">
        <v>2104</v>
      </c>
      <c r="E1379" s="38" t="s">
        <v>3</v>
      </c>
      <c r="F1379" s="38" t="s">
        <v>13</v>
      </c>
      <c r="G1379" s="32">
        <v>5178966.6319999993</v>
      </c>
      <c r="H1379" s="32">
        <v>5861071.8331199996</v>
      </c>
      <c r="I1379" s="32">
        <v>53419840.094319999</v>
      </c>
      <c r="J1379" s="35">
        <f>+G1379-H1379+I1379</f>
        <v>52737734.893199995</v>
      </c>
      <c r="K1379" s="27">
        <v>64</v>
      </c>
      <c r="L1379" s="32">
        <v>0</v>
      </c>
      <c r="M1379" s="35">
        <f>+J1379+L1379</f>
        <v>52737734.893199995</v>
      </c>
      <c r="N1379" s="28" t="s">
        <v>2105</v>
      </c>
      <c r="O1379" s="29" t="s">
        <v>2106</v>
      </c>
      <c r="P1379" s="36">
        <v>43690</v>
      </c>
      <c r="Q1379" s="31">
        <v>27960.63</v>
      </c>
      <c r="R1379" s="33">
        <f>M1379/Q1379</f>
        <v>1886.1425830963033</v>
      </c>
    </row>
    <row r="1380" spans="1:18" s="30" customFormat="1" ht="15" customHeight="1">
      <c r="A1380" s="46" t="s">
        <v>189</v>
      </c>
      <c r="B1380" s="26" t="s">
        <v>225</v>
      </c>
      <c r="C1380" s="65">
        <v>107</v>
      </c>
      <c r="D1380" s="51" t="s">
        <v>2107</v>
      </c>
      <c r="E1380" s="38" t="s">
        <v>4</v>
      </c>
      <c r="F1380" s="48" t="s">
        <v>10</v>
      </c>
      <c r="G1380" s="52">
        <v>18351950</v>
      </c>
      <c r="H1380" s="52"/>
      <c r="I1380" s="52">
        <v>2932362</v>
      </c>
      <c r="J1380" s="53">
        <f>+G1380-H1380+I1380</f>
        <v>21284312</v>
      </c>
      <c r="K1380" s="70">
        <v>0</v>
      </c>
      <c r="L1380" s="52">
        <v>0</v>
      </c>
      <c r="M1380" s="53">
        <f>+J1380+L1380</f>
        <v>21284312</v>
      </c>
      <c r="N1380" s="55" t="s">
        <v>1109</v>
      </c>
      <c r="O1380" s="56" t="s">
        <v>1110</v>
      </c>
      <c r="P1380" s="56">
        <v>44560</v>
      </c>
      <c r="Q1380" s="49">
        <v>30986.76</v>
      </c>
      <c r="R1380" s="57">
        <f>M1380/Q1380</f>
        <v>686.8840756503746</v>
      </c>
    </row>
    <row r="1381" spans="1:18" s="30" customFormat="1" ht="15" customHeight="1">
      <c r="A1381" s="37" t="s">
        <v>293</v>
      </c>
      <c r="B1381" s="26" t="s">
        <v>294</v>
      </c>
      <c r="C1381" s="39">
        <v>555</v>
      </c>
      <c r="D1381" s="40" t="s">
        <v>2108</v>
      </c>
      <c r="E1381" s="38" t="s">
        <v>3</v>
      </c>
      <c r="F1381" s="38" t="s">
        <v>296</v>
      </c>
      <c r="G1381" s="32">
        <v>5216409</v>
      </c>
      <c r="H1381" s="32">
        <v>0</v>
      </c>
      <c r="I1381" s="32">
        <v>277670</v>
      </c>
      <c r="J1381" s="35">
        <f>+G1381-H1381+I1381</f>
        <v>5494079</v>
      </c>
      <c r="K1381" s="27" t="s">
        <v>297</v>
      </c>
      <c r="L1381" s="32">
        <v>0</v>
      </c>
      <c r="M1381" s="35">
        <f>+J1381+L1381</f>
        <v>5494079</v>
      </c>
      <c r="N1381" s="55" t="s">
        <v>298</v>
      </c>
      <c r="O1381" s="56" t="s">
        <v>299</v>
      </c>
      <c r="P1381" s="56">
        <v>44502</v>
      </c>
      <c r="Q1381" s="49">
        <v>30403.919999999998</v>
      </c>
      <c r="R1381" s="57">
        <f>+M1381/Q1381</f>
        <v>180.70298172077813</v>
      </c>
    </row>
    <row r="1382" spans="1:18" s="30" customFormat="1" ht="15" customHeight="1">
      <c r="A1382" s="37" t="s">
        <v>688</v>
      </c>
      <c r="B1382" s="26" t="s">
        <v>1728</v>
      </c>
      <c r="C1382" s="39">
        <v>107</v>
      </c>
      <c r="D1382" s="40" t="s">
        <v>2109</v>
      </c>
      <c r="E1382" s="38" t="s">
        <v>4</v>
      </c>
      <c r="F1382" s="38" t="s">
        <v>11</v>
      </c>
      <c r="G1382" s="32">
        <v>6760723.1999999993</v>
      </c>
      <c r="H1382" s="32">
        <v>0</v>
      </c>
      <c r="I1382" s="52">
        <v>0</v>
      </c>
      <c r="J1382" s="35">
        <f>+G1382-H1382+I1382</f>
        <v>6760723.1999999993</v>
      </c>
      <c r="K1382" s="28">
        <v>0</v>
      </c>
      <c r="L1382" s="32">
        <v>0</v>
      </c>
      <c r="M1382" s="35">
        <f>+J1382+L1382</f>
        <v>6760723.1999999993</v>
      </c>
      <c r="N1382" s="28" t="s">
        <v>1935</v>
      </c>
      <c r="O1382" s="29" t="s">
        <v>1936</v>
      </c>
      <c r="P1382" s="36">
        <v>42899</v>
      </c>
      <c r="Q1382" s="31">
        <v>26649.99</v>
      </c>
      <c r="R1382" s="33">
        <f>M1382/Q1382</f>
        <v>253.68576873762424</v>
      </c>
    </row>
    <row r="1383" spans="1:18" s="30" customFormat="1" ht="15" customHeight="1">
      <c r="A1383" s="37" t="s">
        <v>391</v>
      </c>
      <c r="B1383" s="26" t="s">
        <v>392</v>
      </c>
      <c r="C1383" s="39">
        <v>106</v>
      </c>
      <c r="D1383" s="40" t="s">
        <v>2110</v>
      </c>
      <c r="E1383" s="38" t="s">
        <v>3</v>
      </c>
      <c r="F1383" s="38" t="s">
        <v>10</v>
      </c>
      <c r="G1383" s="32">
        <v>3779119</v>
      </c>
      <c r="H1383" s="32">
        <v>1102290</v>
      </c>
      <c r="I1383" s="32">
        <v>201233</v>
      </c>
      <c r="J1383" s="35">
        <f>+G1383-H1383+I1383</f>
        <v>2878062</v>
      </c>
      <c r="K1383" s="28">
        <v>0</v>
      </c>
      <c r="L1383" s="32">
        <v>0</v>
      </c>
      <c r="M1383" s="35">
        <f>+J1383+L1383</f>
        <v>2878062</v>
      </c>
      <c r="N1383" s="28" t="s">
        <v>2026</v>
      </c>
      <c r="O1383" s="29" t="s">
        <v>2027</v>
      </c>
      <c r="P1383" s="36">
        <v>43789</v>
      </c>
      <c r="Q1383" s="31">
        <v>28147.47</v>
      </c>
      <c r="R1383" s="33">
        <f>M1383/Q1383</f>
        <v>102.24940287706141</v>
      </c>
    </row>
    <row r="1384" spans="1:18" s="30" customFormat="1" ht="15" customHeight="1">
      <c r="A1384" s="37" t="s">
        <v>293</v>
      </c>
      <c r="B1384" s="26" t="s">
        <v>294</v>
      </c>
      <c r="C1384" s="39">
        <v>106</v>
      </c>
      <c r="D1384" s="40" t="s">
        <v>2111</v>
      </c>
      <c r="E1384" s="38" t="s">
        <v>3</v>
      </c>
      <c r="F1384" s="38" t="s">
        <v>12</v>
      </c>
      <c r="G1384" s="32">
        <v>1148474</v>
      </c>
      <c r="H1384" s="32">
        <v>0</v>
      </c>
      <c r="I1384" s="32">
        <v>8668023</v>
      </c>
      <c r="J1384" s="35">
        <f>+G1384-H1384+I1384</f>
        <v>9816497</v>
      </c>
      <c r="K1384" s="28">
        <v>0</v>
      </c>
      <c r="L1384" s="32">
        <v>0</v>
      </c>
      <c r="M1384" s="35">
        <f>+J1384+L1384</f>
        <v>9816497</v>
      </c>
      <c r="N1384" s="28" t="s">
        <v>1537</v>
      </c>
      <c r="O1384" s="29" t="s">
        <v>1538</v>
      </c>
      <c r="P1384" s="36">
        <v>43914</v>
      </c>
      <c r="Q1384" s="31">
        <v>28331.86</v>
      </c>
      <c r="R1384" s="33">
        <f>M1384/Q1384</f>
        <v>346.48261709608897</v>
      </c>
    </row>
    <row r="1385" spans="1:18" s="30" customFormat="1" ht="15" customHeight="1">
      <c r="A1385" s="37" t="s">
        <v>39</v>
      </c>
      <c r="B1385" s="26" t="s">
        <v>1658</v>
      </c>
      <c r="C1385" s="39">
        <v>106</v>
      </c>
      <c r="D1385" s="40" t="s">
        <v>2112</v>
      </c>
      <c r="E1385" s="38" t="s">
        <v>4</v>
      </c>
      <c r="F1385" s="38" t="s">
        <v>12</v>
      </c>
      <c r="G1385" s="32">
        <v>2640447</v>
      </c>
      <c r="H1385" s="32">
        <v>334912846</v>
      </c>
      <c r="I1385" s="32">
        <v>245258868</v>
      </c>
      <c r="J1385" s="35">
        <f>+G1385-H1385+I1385</f>
        <v>-87013531</v>
      </c>
      <c r="K1385" s="28">
        <v>0</v>
      </c>
      <c r="L1385" s="32">
        <v>0</v>
      </c>
      <c r="M1385" s="35">
        <f>+J1385+L1385</f>
        <v>-87013531</v>
      </c>
      <c r="N1385" s="28" t="s">
        <v>1742</v>
      </c>
      <c r="O1385" s="29" t="s">
        <v>1743</v>
      </c>
      <c r="P1385" s="36">
        <v>43720</v>
      </c>
      <c r="Q1385" s="31">
        <v>28014.93</v>
      </c>
      <c r="R1385" s="33">
        <f>M1385/Q1385</f>
        <v>-3105.9699595894044</v>
      </c>
    </row>
    <row r="1386" spans="1:18" s="30" customFormat="1" ht="15" customHeight="1">
      <c r="A1386" s="37" t="s">
        <v>52</v>
      </c>
      <c r="B1386" s="26" t="s">
        <v>555</v>
      </c>
      <c r="C1386" s="39">
        <v>106</v>
      </c>
      <c r="D1386" s="40" t="s">
        <v>2113</v>
      </c>
      <c r="E1386" s="38" t="s">
        <v>3</v>
      </c>
      <c r="F1386" s="38" t="s">
        <v>11</v>
      </c>
      <c r="G1386" s="32">
        <v>0</v>
      </c>
      <c r="H1386" s="32">
        <v>3455190</v>
      </c>
      <c r="I1386" s="52">
        <v>0</v>
      </c>
      <c r="J1386" s="35">
        <f>+G1386-H1386+I1386</f>
        <v>-3455190</v>
      </c>
      <c r="K1386" s="28">
        <v>0</v>
      </c>
      <c r="L1386" s="32">
        <v>0</v>
      </c>
      <c r="M1386" s="35">
        <f>+J1386+L1386</f>
        <v>-3455190</v>
      </c>
      <c r="N1386" s="28" t="s">
        <v>2114</v>
      </c>
      <c r="O1386" s="29" t="s">
        <v>2115</v>
      </c>
      <c r="P1386" s="36">
        <v>43074</v>
      </c>
      <c r="Q1386" s="31">
        <v>26757.79</v>
      </c>
      <c r="R1386" s="33">
        <f>M1386/Q1386</f>
        <v>-129.12837719408068</v>
      </c>
    </row>
    <row r="1387" spans="1:18" s="30" customFormat="1" ht="15" customHeight="1">
      <c r="A1387" s="46" t="s">
        <v>189</v>
      </c>
      <c r="B1387" s="26" t="s">
        <v>225</v>
      </c>
      <c r="C1387" s="65">
        <v>106</v>
      </c>
      <c r="D1387" s="51" t="s">
        <v>2116</v>
      </c>
      <c r="E1387" s="38" t="s">
        <v>4</v>
      </c>
      <c r="F1387" s="48" t="s">
        <v>10</v>
      </c>
      <c r="G1387" s="52">
        <v>321313</v>
      </c>
      <c r="H1387" s="52"/>
      <c r="I1387" s="52">
        <v>3205994</v>
      </c>
      <c r="J1387" s="53">
        <f>+G1387-H1387+I1387</f>
        <v>3527307</v>
      </c>
      <c r="K1387" s="70">
        <v>0</v>
      </c>
      <c r="L1387" s="52">
        <v>0</v>
      </c>
      <c r="M1387" s="53">
        <f>+J1387+L1387</f>
        <v>3527307</v>
      </c>
      <c r="N1387" s="55" t="s">
        <v>1109</v>
      </c>
      <c r="O1387" s="56" t="s">
        <v>1110</v>
      </c>
      <c r="P1387" s="56">
        <v>44560</v>
      </c>
      <c r="Q1387" s="49">
        <v>30986.76</v>
      </c>
      <c r="R1387" s="57">
        <f>M1387/Q1387</f>
        <v>113.8327143592941</v>
      </c>
    </row>
    <row r="1388" spans="1:18" s="30" customFormat="1" ht="15" customHeight="1">
      <c r="A1388" s="37" t="s">
        <v>688</v>
      </c>
      <c r="B1388" s="26" t="s">
        <v>1728</v>
      </c>
      <c r="C1388" s="39">
        <v>106</v>
      </c>
      <c r="D1388" s="40" t="s">
        <v>2117</v>
      </c>
      <c r="E1388" s="38" t="s">
        <v>3</v>
      </c>
      <c r="F1388" s="38" t="s">
        <v>11</v>
      </c>
      <c r="G1388" s="32">
        <v>17251379</v>
      </c>
      <c r="H1388" s="32">
        <v>0</v>
      </c>
      <c r="I1388" s="52">
        <v>0</v>
      </c>
      <c r="J1388" s="35">
        <f>+G1388-H1388+I1388</f>
        <v>17251379</v>
      </c>
      <c r="K1388" s="28">
        <v>0</v>
      </c>
      <c r="L1388" s="32">
        <v>0</v>
      </c>
      <c r="M1388" s="35">
        <f>+J1388+L1388</f>
        <v>17251379</v>
      </c>
      <c r="N1388" s="28" t="s">
        <v>1730</v>
      </c>
      <c r="O1388" s="29" t="s">
        <v>1731</v>
      </c>
      <c r="P1388" s="36">
        <v>43444</v>
      </c>
      <c r="Q1388" s="31">
        <v>27565.79</v>
      </c>
      <c r="R1388" s="33">
        <f>M1388/Q1388</f>
        <v>625.82567015129985</v>
      </c>
    </row>
    <row r="1389" spans="1:18" s="30" customFormat="1" ht="15" customHeight="1">
      <c r="A1389" s="37" t="s">
        <v>356</v>
      </c>
      <c r="B1389" s="26" t="s">
        <v>1540</v>
      </c>
      <c r="C1389" s="39">
        <v>105</v>
      </c>
      <c r="D1389" s="40" t="s">
        <v>2118</v>
      </c>
      <c r="E1389" s="38" t="s">
        <v>3</v>
      </c>
      <c r="F1389" s="38" t="s">
        <v>15</v>
      </c>
      <c r="G1389" s="32">
        <v>10027052</v>
      </c>
      <c r="H1389" s="32">
        <v>0</v>
      </c>
      <c r="I1389" s="52">
        <v>0</v>
      </c>
      <c r="J1389" s="35">
        <f>+G1389-H1389+I1389</f>
        <v>10027052</v>
      </c>
      <c r="K1389" s="28">
        <v>0</v>
      </c>
      <c r="L1389" s="32">
        <v>0</v>
      </c>
      <c r="M1389" s="35">
        <f>+J1389+L1389</f>
        <v>10027052</v>
      </c>
      <c r="N1389" s="28" t="s">
        <v>2035</v>
      </c>
      <c r="O1389" s="29" t="s">
        <v>2036</v>
      </c>
      <c r="P1389" s="36">
        <v>43081</v>
      </c>
      <c r="Q1389" s="31">
        <v>26781.73</v>
      </c>
      <c r="R1389" s="33">
        <f>M1389/Q1389</f>
        <v>374.39896526475326</v>
      </c>
    </row>
    <row r="1390" spans="1:18" s="30" customFormat="1" ht="15" customHeight="1">
      <c r="A1390" s="37" t="s">
        <v>39</v>
      </c>
      <c r="B1390" s="26" t="s">
        <v>1658</v>
      </c>
      <c r="C1390" s="39">
        <v>105</v>
      </c>
      <c r="D1390" s="40" t="s">
        <v>2119</v>
      </c>
      <c r="E1390" s="38" t="s">
        <v>3</v>
      </c>
      <c r="F1390" s="38" t="s">
        <v>21</v>
      </c>
      <c r="G1390" s="32">
        <v>0</v>
      </c>
      <c r="H1390" s="32">
        <v>0</v>
      </c>
      <c r="I1390" s="32">
        <v>20744397</v>
      </c>
      <c r="J1390" s="35">
        <f>+G1390-H1390+I1390</f>
        <v>20744397</v>
      </c>
      <c r="K1390" s="28">
        <v>0</v>
      </c>
      <c r="L1390" s="32">
        <v>0</v>
      </c>
      <c r="M1390" s="35">
        <f>+J1390+L1390</f>
        <v>20744397</v>
      </c>
      <c r="N1390" s="28" t="s">
        <v>2120</v>
      </c>
      <c r="O1390" s="29" t="s">
        <v>2121</v>
      </c>
      <c r="P1390" s="36">
        <v>43448</v>
      </c>
      <c r="Q1390" s="31">
        <v>27565.79</v>
      </c>
      <c r="R1390" s="33">
        <f>M1390/Q1390</f>
        <v>752.54135651472347</v>
      </c>
    </row>
    <row r="1391" spans="1:18" s="30" customFormat="1" ht="15" customHeight="1">
      <c r="A1391" s="37" t="s">
        <v>688</v>
      </c>
      <c r="B1391" s="26" t="s">
        <v>1728</v>
      </c>
      <c r="C1391" s="39">
        <v>105</v>
      </c>
      <c r="D1391" s="40" t="s">
        <v>2122</v>
      </c>
      <c r="E1391" s="38" t="s">
        <v>4</v>
      </c>
      <c r="F1391" s="38" t="s">
        <v>11</v>
      </c>
      <c r="G1391" s="32">
        <v>1766911.9999999998</v>
      </c>
      <c r="H1391" s="32">
        <v>0</v>
      </c>
      <c r="I1391" s="52">
        <v>0</v>
      </c>
      <c r="J1391" s="35">
        <f>+G1391-H1391+I1391</f>
        <v>1766911.9999999998</v>
      </c>
      <c r="K1391" s="28">
        <v>0</v>
      </c>
      <c r="L1391" s="32">
        <v>0</v>
      </c>
      <c r="M1391" s="35">
        <f>+J1391+L1391</f>
        <v>1766911.9999999998</v>
      </c>
      <c r="N1391" s="28" t="s">
        <v>1935</v>
      </c>
      <c r="O1391" s="29" t="s">
        <v>1936</v>
      </c>
      <c r="P1391" s="36">
        <v>42899</v>
      </c>
      <c r="Q1391" s="31">
        <v>26649.99</v>
      </c>
      <c r="R1391" s="33">
        <f>M1391/Q1391</f>
        <v>66.30066277698414</v>
      </c>
    </row>
    <row r="1392" spans="1:18" s="30" customFormat="1" ht="15" customHeight="1">
      <c r="A1392" s="37" t="s">
        <v>391</v>
      </c>
      <c r="B1392" s="26" t="s">
        <v>392</v>
      </c>
      <c r="C1392" s="39">
        <v>104</v>
      </c>
      <c r="D1392" s="40" t="s">
        <v>2123</v>
      </c>
      <c r="E1392" s="38" t="s">
        <v>3</v>
      </c>
      <c r="F1392" s="38" t="s">
        <v>10</v>
      </c>
      <c r="G1392" s="32">
        <v>993003</v>
      </c>
      <c r="H1392" s="32">
        <v>0</v>
      </c>
      <c r="I1392" s="32">
        <v>471366</v>
      </c>
      <c r="J1392" s="35">
        <f>+G1392-H1392+I1392</f>
        <v>1464369</v>
      </c>
      <c r="K1392" s="28">
        <v>0</v>
      </c>
      <c r="L1392" s="32">
        <v>0</v>
      </c>
      <c r="M1392" s="35">
        <f>+J1392+L1392</f>
        <v>1464369</v>
      </c>
      <c r="N1392" s="28" t="s">
        <v>2026</v>
      </c>
      <c r="O1392" s="29" t="s">
        <v>2027</v>
      </c>
      <c r="P1392" s="36">
        <v>43789</v>
      </c>
      <c r="Q1392" s="31">
        <v>28147.47</v>
      </c>
      <c r="R1392" s="33">
        <f>M1392/Q1392</f>
        <v>52.024888915415843</v>
      </c>
    </row>
    <row r="1393" spans="1:18" s="30" customFormat="1" ht="15" customHeight="1">
      <c r="A1393" s="37" t="s">
        <v>874</v>
      </c>
      <c r="B1393" s="26" t="s">
        <v>875</v>
      </c>
      <c r="C1393" s="39">
        <v>104</v>
      </c>
      <c r="D1393" s="40" t="s">
        <v>2124</v>
      </c>
      <c r="E1393" s="38" t="s">
        <v>4</v>
      </c>
      <c r="F1393" s="38" t="s">
        <v>12</v>
      </c>
      <c r="G1393" s="32">
        <v>105022975</v>
      </c>
      <c r="H1393" s="32">
        <v>574234770</v>
      </c>
      <c r="I1393" s="32">
        <v>1359291574</v>
      </c>
      <c r="J1393" s="35">
        <f>+G1393-H1393+I1393</f>
        <v>890079779</v>
      </c>
      <c r="K1393" s="28">
        <v>0</v>
      </c>
      <c r="L1393" s="32">
        <v>0</v>
      </c>
      <c r="M1393" s="35">
        <f>+J1393+L1393</f>
        <v>890079779</v>
      </c>
      <c r="N1393" s="28" t="s">
        <v>2094</v>
      </c>
      <c r="O1393" s="29" t="s">
        <v>2095</v>
      </c>
      <c r="P1393" s="36">
        <v>44742</v>
      </c>
      <c r="Q1393" s="31">
        <v>33086.83</v>
      </c>
      <c r="R1393" s="33">
        <f>M1393/Q1393</f>
        <v>26901.33140587962</v>
      </c>
    </row>
    <row r="1394" spans="1:18" s="30" customFormat="1" ht="15" customHeight="1">
      <c r="A1394" s="37" t="s">
        <v>356</v>
      </c>
      <c r="B1394" s="26" t="s">
        <v>1540</v>
      </c>
      <c r="C1394" s="39">
        <v>104</v>
      </c>
      <c r="D1394" s="40" t="s">
        <v>2125</v>
      </c>
      <c r="E1394" s="38" t="s">
        <v>3</v>
      </c>
      <c r="F1394" s="38" t="s">
        <v>13</v>
      </c>
      <c r="G1394" s="32">
        <v>0</v>
      </c>
      <c r="H1394" s="32">
        <v>0</v>
      </c>
      <c r="I1394" s="32">
        <v>2758631</v>
      </c>
      <c r="J1394" s="35">
        <f>+G1394-H1394+I1394</f>
        <v>2758631</v>
      </c>
      <c r="K1394" s="28">
        <v>0</v>
      </c>
      <c r="L1394" s="32">
        <v>0</v>
      </c>
      <c r="M1394" s="35">
        <f>+J1394+L1394</f>
        <v>2758631</v>
      </c>
      <c r="N1394" s="28" t="s">
        <v>2035</v>
      </c>
      <c r="O1394" s="29" t="s">
        <v>2036</v>
      </c>
      <c r="P1394" s="36">
        <v>43081</v>
      </c>
      <c r="Q1394" s="31">
        <v>26781.73</v>
      </c>
      <c r="R1394" s="33">
        <f>M1394/Q1394</f>
        <v>103.00421219988402</v>
      </c>
    </row>
    <row r="1395" spans="1:18" s="30" customFormat="1" ht="15" customHeight="1">
      <c r="A1395" s="37" t="s">
        <v>39</v>
      </c>
      <c r="B1395" s="26" t="s">
        <v>1658</v>
      </c>
      <c r="C1395" s="39">
        <v>104</v>
      </c>
      <c r="D1395" s="40" t="s">
        <v>2126</v>
      </c>
      <c r="E1395" s="38" t="s">
        <v>3</v>
      </c>
      <c r="F1395" s="38" t="s">
        <v>10</v>
      </c>
      <c r="G1395" s="32">
        <v>3816357</v>
      </c>
      <c r="H1395" s="32">
        <v>1201110</v>
      </c>
      <c r="I1395" s="52">
        <v>0</v>
      </c>
      <c r="J1395" s="35">
        <f>+G1395-H1395+I1395</f>
        <v>2615247</v>
      </c>
      <c r="K1395" s="28">
        <v>0</v>
      </c>
      <c r="L1395" s="32">
        <v>0</v>
      </c>
      <c r="M1395" s="35">
        <f>+J1395+L1395</f>
        <v>2615247</v>
      </c>
      <c r="N1395" s="28" t="s">
        <v>2120</v>
      </c>
      <c r="O1395" s="29" t="s">
        <v>2121</v>
      </c>
      <c r="P1395" s="36">
        <v>43448</v>
      </c>
      <c r="Q1395" s="31">
        <v>27565.79</v>
      </c>
      <c r="R1395" s="33">
        <f>M1395/Q1395</f>
        <v>94.872920384287909</v>
      </c>
    </row>
    <row r="1396" spans="1:18" s="30" customFormat="1" ht="15" customHeight="1">
      <c r="A1396" s="37" t="s">
        <v>52</v>
      </c>
      <c r="B1396" s="26" t="s">
        <v>555</v>
      </c>
      <c r="C1396" s="39">
        <v>104</v>
      </c>
      <c r="D1396" s="40" t="s">
        <v>2127</v>
      </c>
      <c r="E1396" s="38" t="s">
        <v>3</v>
      </c>
      <c r="F1396" s="38" t="s">
        <v>10</v>
      </c>
      <c r="G1396" s="32">
        <v>0</v>
      </c>
      <c r="H1396" s="32">
        <v>12069821</v>
      </c>
      <c r="I1396" s="52">
        <v>0</v>
      </c>
      <c r="J1396" s="35">
        <f>+G1396-H1396+I1396</f>
        <v>-12069821</v>
      </c>
      <c r="K1396" s="28">
        <v>0</v>
      </c>
      <c r="L1396" s="32">
        <v>0</v>
      </c>
      <c r="M1396" s="35">
        <f>+J1396+L1396</f>
        <v>-12069821</v>
      </c>
      <c r="N1396" s="28" t="s">
        <v>2114</v>
      </c>
      <c r="O1396" s="29" t="s">
        <v>2115</v>
      </c>
      <c r="P1396" s="36">
        <v>43074</v>
      </c>
      <c r="Q1396" s="31">
        <v>26757.79</v>
      </c>
      <c r="R1396" s="33">
        <f>M1396/Q1396</f>
        <v>-451.07690134349662</v>
      </c>
    </row>
    <row r="1397" spans="1:18" s="30" customFormat="1" ht="15" customHeight="1">
      <c r="A1397" s="37" t="s">
        <v>688</v>
      </c>
      <c r="B1397" s="26" t="s">
        <v>1728</v>
      </c>
      <c r="C1397" s="39">
        <v>104</v>
      </c>
      <c r="D1397" s="40" t="s">
        <v>2128</v>
      </c>
      <c r="E1397" s="38" t="s">
        <v>4</v>
      </c>
      <c r="F1397" s="38" t="s">
        <v>12</v>
      </c>
      <c r="G1397" s="32">
        <v>6306047.9999999991</v>
      </c>
      <c r="H1397" s="32">
        <v>1306905.6000000001</v>
      </c>
      <c r="I1397" s="52">
        <v>0</v>
      </c>
      <c r="J1397" s="35">
        <f>+G1397-H1397+I1397</f>
        <v>4999142.3999999985</v>
      </c>
      <c r="K1397" s="28">
        <v>0</v>
      </c>
      <c r="L1397" s="32">
        <v>0</v>
      </c>
      <c r="M1397" s="35">
        <f>+J1397+L1397</f>
        <v>4999142.3999999985</v>
      </c>
      <c r="N1397" s="28" t="s">
        <v>1935</v>
      </c>
      <c r="O1397" s="29" t="s">
        <v>1936</v>
      </c>
      <c r="P1397" s="36">
        <v>42899</v>
      </c>
      <c r="Q1397" s="31">
        <v>26649.99</v>
      </c>
      <c r="R1397" s="33">
        <f>M1397/Q1397</f>
        <v>187.5851510638465</v>
      </c>
    </row>
    <row r="1398" spans="1:18" s="30" customFormat="1" ht="15" customHeight="1">
      <c r="A1398" s="37" t="s">
        <v>293</v>
      </c>
      <c r="B1398" s="26" t="s">
        <v>294</v>
      </c>
      <c r="C1398" s="39">
        <v>103</v>
      </c>
      <c r="D1398" s="40" t="s">
        <v>2129</v>
      </c>
      <c r="E1398" s="38" t="s">
        <v>3</v>
      </c>
      <c r="F1398" s="38" t="s">
        <v>12</v>
      </c>
      <c r="G1398" s="32">
        <v>4846524</v>
      </c>
      <c r="H1398" s="32">
        <v>0</v>
      </c>
      <c r="I1398" s="32">
        <v>15654307</v>
      </c>
      <c r="J1398" s="35">
        <f>+G1398-H1398+I1398</f>
        <v>20500831</v>
      </c>
      <c r="K1398" s="28">
        <v>0</v>
      </c>
      <c r="L1398" s="32">
        <v>0</v>
      </c>
      <c r="M1398" s="35">
        <f>+J1398+L1398</f>
        <v>20500831</v>
      </c>
      <c r="N1398" s="28" t="s">
        <v>1537</v>
      </c>
      <c r="O1398" s="29" t="s">
        <v>1538</v>
      </c>
      <c r="P1398" s="36">
        <v>43914</v>
      </c>
      <c r="Q1398" s="31">
        <v>28331.86</v>
      </c>
      <c r="R1398" s="33">
        <f>M1398/Q1398</f>
        <v>723.59636818761635</v>
      </c>
    </row>
    <row r="1399" spans="1:18" s="30" customFormat="1" ht="15" customHeight="1">
      <c r="A1399" s="37" t="s">
        <v>874</v>
      </c>
      <c r="B1399" s="26" t="s">
        <v>875</v>
      </c>
      <c r="C1399" s="39">
        <v>105</v>
      </c>
      <c r="D1399" s="40" t="s">
        <v>2130</v>
      </c>
      <c r="E1399" s="38" t="s">
        <v>3</v>
      </c>
      <c r="F1399" s="38" t="s">
        <v>13</v>
      </c>
      <c r="G1399" s="32">
        <v>5460206</v>
      </c>
      <c r="H1399" s="32">
        <v>0</v>
      </c>
      <c r="I1399" s="32">
        <v>127685689</v>
      </c>
      <c r="J1399" s="35">
        <f>+G1399-H1399+I1399</f>
        <v>133145895</v>
      </c>
      <c r="K1399" s="27">
        <v>45</v>
      </c>
      <c r="L1399" s="32">
        <v>0</v>
      </c>
      <c r="M1399" s="35">
        <f>+J1399+L1399</f>
        <v>133145895</v>
      </c>
      <c r="N1399" s="28" t="s">
        <v>877</v>
      </c>
      <c r="O1399" s="29" t="s">
        <v>878</v>
      </c>
      <c r="P1399" s="36">
        <v>44902</v>
      </c>
      <c r="Q1399" s="31">
        <v>34852.33</v>
      </c>
      <c r="R1399" s="33">
        <f>M1399/Q1399</f>
        <v>3820.2867641847761</v>
      </c>
    </row>
    <row r="1400" spans="1:18" s="30" customFormat="1" ht="15" customHeight="1">
      <c r="A1400" s="37" t="s">
        <v>874</v>
      </c>
      <c r="B1400" s="26" t="s">
        <v>875</v>
      </c>
      <c r="C1400" s="39">
        <v>103</v>
      </c>
      <c r="D1400" s="40" t="s">
        <v>2131</v>
      </c>
      <c r="E1400" s="38" t="s">
        <v>3</v>
      </c>
      <c r="F1400" s="38" t="s">
        <v>15</v>
      </c>
      <c r="G1400" s="32">
        <v>51383929</v>
      </c>
      <c r="H1400" s="32">
        <v>0</v>
      </c>
      <c r="I1400" s="32">
        <v>0</v>
      </c>
      <c r="J1400" s="35">
        <f>+G1400-H1400+I1400</f>
        <v>51383929</v>
      </c>
      <c r="K1400" s="28">
        <v>0</v>
      </c>
      <c r="L1400" s="32">
        <v>0</v>
      </c>
      <c r="M1400" s="35">
        <f>+J1400+L1400</f>
        <v>51383929</v>
      </c>
      <c r="N1400" s="28" t="s">
        <v>1512</v>
      </c>
      <c r="O1400" s="29" t="s">
        <v>1513</v>
      </c>
      <c r="P1400" s="36">
        <v>44972</v>
      </c>
      <c r="Q1400" s="31">
        <v>35378.559999999998</v>
      </c>
      <c r="R1400" s="33">
        <f>M1400/Q1400</f>
        <v>1452.4030655854847</v>
      </c>
    </row>
    <row r="1401" spans="1:18" s="30" customFormat="1" ht="15" customHeight="1">
      <c r="A1401" s="37" t="s">
        <v>356</v>
      </c>
      <c r="B1401" s="26" t="s">
        <v>1540</v>
      </c>
      <c r="C1401" s="39">
        <v>103</v>
      </c>
      <c r="D1401" s="40" t="s">
        <v>2132</v>
      </c>
      <c r="E1401" s="38" t="s">
        <v>198</v>
      </c>
      <c r="F1401" s="38" t="s">
        <v>12</v>
      </c>
      <c r="G1401" s="32">
        <v>0</v>
      </c>
      <c r="H1401" s="32">
        <v>0</v>
      </c>
      <c r="I1401" s="32">
        <v>32468305</v>
      </c>
      <c r="J1401" s="35">
        <f>+G1401-H1401+I1401</f>
        <v>32468305</v>
      </c>
      <c r="K1401" s="28">
        <v>0</v>
      </c>
      <c r="L1401" s="32">
        <v>0</v>
      </c>
      <c r="M1401" s="35">
        <f>+J1401+L1401</f>
        <v>32468305</v>
      </c>
      <c r="N1401" s="28" t="s">
        <v>2035</v>
      </c>
      <c r="O1401" s="29" t="s">
        <v>2036</v>
      </c>
      <c r="P1401" s="36">
        <v>43081</v>
      </c>
      <c r="Q1401" s="31">
        <v>26781.73</v>
      </c>
      <c r="R1401" s="33">
        <f>M1401/Q1401</f>
        <v>1212.3303834367682</v>
      </c>
    </row>
    <row r="1402" spans="1:18" s="30" customFormat="1" ht="15" customHeight="1">
      <c r="A1402" s="37" t="s">
        <v>627</v>
      </c>
      <c r="B1402" s="26" t="s">
        <v>1392</v>
      </c>
      <c r="C1402" s="39">
        <v>4</v>
      </c>
      <c r="D1402" s="40" t="s">
        <v>2133</v>
      </c>
      <c r="E1402" s="38" t="s">
        <v>198</v>
      </c>
      <c r="F1402" s="38" t="s">
        <v>11</v>
      </c>
      <c r="G1402" s="32">
        <v>5480257</v>
      </c>
      <c r="H1402" s="32">
        <v>32180793</v>
      </c>
      <c r="I1402" s="32">
        <v>34052889</v>
      </c>
      <c r="J1402" s="35">
        <f>+G1402-H1402+I1402</f>
        <v>7352353</v>
      </c>
      <c r="K1402" s="27">
        <v>239.5</v>
      </c>
      <c r="L1402" s="32">
        <v>0</v>
      </c>
      <c r="M1402" s="35">
        <f>+J1402+L1402</f>
        <v>7352353</v>
      </c>
      <c r="N1402" s="28" t="s">
        <v>1394</v>
      </c>
      <c r="O1402" s="29" t="s">
        <v>1395</v>
      </c>
      <c r="P1402" s="36">
        <v>44172</v>
      </c>
      <c r="Q1402" s="31">
        <v>29077.46</v>
      </c>
      <c r="R1402" s="33">
        <f>M1402/Q1402</f>
        <v>252.85403195464804</v>
      </c>
    </row>
    <row r="1403" spans="1:18" s="30" customFormat="1" ht="15" customHeight="1">
      <c r="A1403" s="37" t="s">
        <v>39</v>
      </c>
      <c r="B1403" s="26" t="s">
        <v>1658</v>
      </c>
      <c r="C1403" s="39">
        <v>103</v>
      </c>
      <c r="D1403" s="40" t="s">
        <v>2134</v>
      </c>
      <c r="E1403" s="38" t="s">
        <v>3</v>
      </c>
      <c r="F1403" s="38" t="s">
        <v>21</v>
      </c>
      <c r="G1403" s="32">
        <v>10504068</v>
      </c>
      <c r="H1403" s="32">
        <v>0</v>
      </c>
      <c r="I1403" s="52">
        <v>0</v>
      </c>
      <c r="J1403" s="35">
        <f>+G1403-H1403+I1403</f>
        <v>10504068</v>
      </c>
      <c r="K1403" s="28">
        <v>0</v>
      </c>
      <c r="L1403" s="32">
        <v>0</v>
      </c>
      <c r="M1403" s="35">
        <f>+J1403+L1403</f>
        <v>10504068</v>
      </c>
      <c r="N1403" s="28" t="s">
        <v>2120</v>
      </c>
      <c r="O1403" s="29" t="s">
        <v>2121</v>
      </c>
      <c r="P1403" s="36">
        <v>43448</v>
      </c>
      <c r="Q1403" s="31">
        <v>27565.79</v>
      </c>
      <c r="R1403" s="33">
        <f>M1403/Q1403</f>
        <v>381.05448818989044</v>
      </c>
    </row>
    <row r="1404" spans="1:18" s="30" customFormat="1" ht="15" customHeight="1">
      <c r="A1404" s="37" t="s">
        <v>356</v>
      </c>
      <c r="B1404" s="26" t="s">
        <v>357</v>
      </c>
      <c r="C1404" s="39" t="s">
        <v>2135</v>
      </c>
      <c r="D1404" s="40" t="s">
        <v>2136</v>
      </c>
      <c r="E1404" s="38" t="s">
        <v>4</v>
      </c>
      <c r="F1404" s="38" t="s">
        <v>11</v>
      </c>
      <c r="G1404" s="32">
        <v>5534090</v>
      </c>
      <c r="H1404" s="32">
        <v>0</v>
      </c>
      <c r="I1404" s="32">
        <v>1471514</v>
      </c>
      <c r="J1404" s="35">
        <f>+G1404-H1404+I1404</f>
        <v>7005604</v>
      </c>
      <c r="K1404" s="27">
        <v>30</v>
      </c>
      <c r="L1404" s="32">
        <v>0</v>
      </c>
      <c r="M1404" s="35">
        <f>+J1404+L1404</f>
        <v>7005604</v>
      </c>
      <c r="N1404" s="28" t="s">
        <v>360</v>
      </c>
      <c r="O1404" s="29" t="s">
        <v>361</v>
      </c>
      <c r="P1404" s="36">
        <v>43483</v>
      </c>
      <c r="Q1404" s="31">
        <v>27557.78</v>
      </c>
      <c r="R1404" s="33">
        <f>+M1404/Q1404</f>
        <v>254.21510731270808</v>
      </c>
    </row>
    <row r="1405" spans="1:18" s="30" customFormat="1" ht="15" customHeight="1">
      <c r="A1405" s="37" t="s">
        <v>688</v>
      </c>
      <c r="B1405" s="26" t="s">
        <v>1728</v>
      </c>
      <c r="C1405" s="39">
        <v>103</v>
      </c>
      <c r="D1405" s="40" t="s">
        <v>2137</v>
      </c>
      <c r="E1405" s="38" t="s">
        <v>4</v>
      </c>
      <c r="F1405" s="38" t="s">
        <v>10</v>
      </c>
      <c r="G1405" s="32">
        <v>15633498.764799999</v>
      </c>
      <c r="H1405" s="32">
        <v>0</v>
      </c>
      <c r="I1405" s="52">
        <v>0</v>
      </c>
      <c r="J1405" s="35">
        <f>+G1405-H1405+I1405</f>
        <v>15633498.764799999</v>
      </c>
      <c r="K1405" s="28">
        <v>0</v>
      </c>
      <c r="L1405" s="32">
        <v>0</v>
      </c>
      <c r="M1405" s="35">
        <f>+J1405+L1405</f>
        <v>15633498.764799999</v>
      </c>
      <c r="N1405" s="28" t="s">
        <v>1935</v>
      </c>
      <c r="O1405" s="29" t="s">
        <v>1936</v>
      </c>
      <c r="P1405" s="36">
        <v>42899</v>
      </c>
      <c r="Q1405" s="31">
        <v>26649.99</v>
      </c>
      <c r="R1405" s="33">
        <f>M1405/Q1405</f>
        <v>586.62306307807239</v>
      </c>
    </row>
    <row r="1406" spans="1:18" s="30" customFormat="1" ht="15" customHeight="1">
      <c r="A1406" s="37" t="s">
        <v>391</v>
      </c>
      <c r="B1406" s="26" t="s">
        <v>392</v>
      </c>
      <c r="C1406" s="39">
        <v>102</v>
      </c>
      <c r="D1406" s="40" t="s">
        <v>2138</v>
      </c>
      <c r="E1406" s="38" t="s">
        <v>198</v>
      </c>
      <c r="F1406" s="38" t="s">
        <v>10</v>
      </c>
      <c r="G1406" s="32">
        <v>2607752</v>
      </c>
      <c r="H1406" s="32">
        <v>0</v>
      </c>
      <c r="I1406" s="32">
        <v>11427597</v>
      </c>
      <c r="J1406" s="35">
        <f>+G1406-H1406+I1406</f>
        <v>14035349</v>
      </c>
      <c r="K1406" s="28">
        <v>0</v>
      </c>
      <c r="L1406" s="32">
        <v>0</v>
      </c>
      <c r="M1406" s="35">
        <f>+J1406+L1406</f>
        <v>14035349</v>
      </c>
      <c r="N1406" s="28" t="s">
        <v>2026</v>
      </c>
      <c r="O1406" s="29" t="s">
        <v>2027</v>
      </c>
      <c r="P1406" s="36">
        <v>43789</v>
      </c>
      <c r="Q1406" s="31">
        <v>28147.47</v>
      </c>
      <c r="R1406" s="33">
        <f>M1406/Q1406</f>
        <v>498.63625398659275</v>
      </c>
    </row>
    <row r="1407" spans="1:18" s="30" customFormat="1" ht="15" customHeight="1">
      <c r="A1407" s="37" t="s">
        <v>293</v>
      </c>
      <c r="B1407" s="26" t="s">
        <v>294</v>
      </c>
      <c r="C1407" s="39">
        <v>102</v>
      </c>
      <c r="D1407" s="40" t="s">
        <v>2139</v>
      </c>
      <c r="E1407" s="38" t="s">
        <v>3</v>
      </c>
      <c r="F1407" s="38" t="s">
        <v>10</v>
      </c>
      <c r="G1407" s="32">
        <v>3627844</v>
      </c>
      <c r="H1407" s="32">
        <v>0</v>
      </c>
      <c r="I1407" s="32">
        <v>16684447</v>
      </c>
      <c r="J1407" s="35">
        <f>+G1407-H1407+I1407</f>
        <v>20312291</v>
      </c>
      <c r="K1407" s="28">
        <v>0</v>
      </c>
      <c r="L1407" s="32">
        <v>0</v>
      </c>
      <c r="M1407" s="35">
        <f>+J1407+L1407</f>
        <v>20312291</v>
      </c>
      <c r="N1407" s="28" t="s">
        <v>2140</v>
      </c>
      <c r="O1407" s="29" t="s">
        <v>2141</v>
      </c>
      <c r="P1407" s="36">
        <v>43658</v>
      </c>
      <c r="Q1407" s="31">
        <v>27953.42</v>
      </c>
      <c r="R1407" s="33">
        <f>M1407/Q1407</f>
        <v>726.64779479577101</v>
      </c>
    </row>
    <row r="1408" spans="1:18" s="30" customFormat="1" ht="15" customHeight="1">
      <c r="A1408" s="37" t="s">
        <v>874</v>
      </c>
      <c r="B1408" s="26" t="s">
        <v>875</v>
      </c>
      <c r="C1408" s="39">
        <v>102</v>
      </c>
      <c r="D1408" s="40" t="s">
        <v>2142</v>
      </c>
      <c r="E1408" s="38" t="s">
        <v>4</v>
      </c>
      <c r="F1408" s="38" t="s">
        <v>15</v>
      </c>
      <c r="G1408" s="32">
        <v>113905805</v>
      </c>
      <c r="H1408" s="32">
        <v>136093</v>
      </c>
      <c r="I1408" s="32">
        <v>4093217</v>
      </c>
      <c r="J1408" s="35">
        <f>+G1408-H1408+I1408</f>
        <v>117862929</v>
      </c>
      <c r="K1408" s="28">
        <v>0</v>
      </c>
      <c r="L1408" s="32">
        <v>0</v>
      </c>
      <c r="M1408" s="35">
        <f>+J1408+L1408</f>
        <v>117862929</v>
      </c>
      <c r="N1408" s="28" t="s">
        <v>2094</v>
      </c>
      <c r="O1408" s="29" t="s">
        <v>2095</v>
      </c>
      <c r="P1408" s="36">
        <v>44742</v>
      </c>
      <c r="Q1408" s="31">
        <v>33086.83</v>
      </c>
      <c r="R1408" s="33">
        <f>M1408/Q1408</f>
        <v>3562.2309239053725</v>
      </c>
    </row>
    <row r="1409" spans="1:18" s="30" customFormat="1" ht="15" customHeight="1">
      <c r="A1409" s="37" t="s">
        <v>39</v>
      </c>
      <c r="B1409" s="26" t="s">
        <v>1658</v>
      </c>
      <c r="C1409" s="39">
        <v>102</v>
      </c>
      <c r="D1409" s="40" t="s">
        <v>2143</v>
      </c>
      <c r="E1409" s="38" t="s">
        <v>4</v>
      </c>
      <c r="F1409" s="38" t="s">
        <v>11</v>
      </c>
      <c r="G1409" s="32">
        <v>27099903</v>
      </c>
      <c r="H1409" s="32">
        <v>8148571</v>
      </c>
      <c r="I1409" s="52">
        <v>0</v>
      </c>
      <c r="J1409" s="35">
        <f>+G1409-H1409+I1409</f>
        <v>18951332</v>
      </c>
      <c r="K1409" s="28">
        <v>0</v>
      </c>
      <c r="L1409" s="32">
        <v>0</v>
      </c>
      <c r="M1409" s="35">
        <f>+J1409+L1409</f>
        <v>18951332</v>
      </c>
      <c r="N1409" s="28" t="s">
        <v>2120</v>
      </c>
      <c r="O1409" s="29" t="s">
        <v>2121</v>
      </c>
      <c r="P1409" s="36">
        <v>43448</v>
      </c>
      <c r="Q1409" s="31">
        <v>27565.79</v>
      </c>
      <c r="R1409" s="33">
        <f>M1409/Q1409</f>
        <v>687.49460835332491</v>
      </c>
    </row>
    <row r="1410" spans="1:18" s="30" customFormat="1" ht="15" customHeight="1">
      <c r="A1410" s="37" t="s">
        <v>688</v>
      </c>
      <c r="B1410" s="26" t="s">
        <v>1728</v>
      </c>
      <c r="C1410" s="39">
        <v>102</v>
      </c>
      <c r="D1410" s="40" t="s">
        <v>2144</v>
      </c>
      <c r="E1410" s="38" t="s">
        <v>4</v>
      </c>
      <c r="F1410" s="38" t="s">
        <v>10</v>
      </c>
      <c r="G1410" s="32">
        <v>7225216.9471999994</v>
      </c>
      <c r="H1410" s="32">
        <v>2972524.8</v>
      </c>
      <c r="I1410" s="52">
        <v>0</v>
      </c>
      <c r="J1410" s="35">
        <f>+G1410-H1410+I1410</f>
        <v>4252692.1471999995</v>
      </c>
      <c r="K1410" s="28">
        <v>0</v>
      </c>
      <c r="L1410" s="32">
        <v>0</v>
      </c>
      <c r="M1410" s="35">
        <f>+J1410+L1410</f>
        <v>4252692.1471999995</v>
      </c>
      <c r="N1410" s="28" t="s">
        <v>1935</v>
      </c>
      <c r="O1410" s="29" t="s">
        <v>1936</v>
      </c>
      <c r="P1410" s="36">
        <v>42899</v>
      </c>
      <c r="Q1410" s="31">
        <v>26649.99</v>
      </c>
      <c r="R1410" s="33">
        <f>M1410/Q1410</f>
        <v>159.5757502047843</v>
      </c>
    </row>
    <row r="1411" spans="1:18" s="30" customFormat="1" ht="15" customHeight="1">
      <c r="A1411" s="37" t="s">
        <v>391</v>
      </c>
      <c r="B1411" s="26" t="s">
        <v>392</v>
      </c>
      <c r="C1411" s="39">
        <v>101</v>
      </c>
      <c r="D1411" s="40" t="s">
        <v>2145</v>
      </c>
      <c r="E1411" s="38" t="s">
        <v>3</v>
      </c>
      <c r="F1411" s="38" t="s">
        <v>11</v>
      </c>
      <c r="G1411" s="32">
        <v>0</v>
      </c>
      <c r="H1411" s="32">
        <v>0</v>
      </c>
      <c r="I1411" s="32">
        <v>5398311</v>
      </c>
      <c r="J1411" s="35">
        <f>+G1411-H1411+I1411</f>
        <v>5398311</v>
      </c>
      <c r="K1411" s="28">
        <v>0</v>
      </c>
      <c r="L1411" s="32">
        <v>0</v>
      </c>
      <c r="M1411" s="35">
        <f>+J1411+L1411</f>
        <v>5398311</v>
      </c>
      <c r="N1411" s="28" t="s">
        <v>481</v>
      </c>
      <c r="O1411" s="29" t="s">
        <v>482</v>
      </c>
      <c r="P1411" s="36">
        <v>44130</v>
      </c>
      <c r="Q1411" s="31">
        <v>28810.82</v>
      </c>
      <c r="R1411" s="33">
        <f>M1411/Q1411</f>
        <v>187.37095993796774</v>
      </c>
    </row>
    <row r="1412" spans="1:18" s="30" customFormat="1" ht="15" customHeight="1">
      <c r="A1412" s="37" t="s">
        <v>874</v>
      </c>
      <c r="B1412" s="26" t="s">
        <v>875</v>
      </c>
      <c r="C1412" s="39">
        <v>101</v>
      </c>
      <c r="D1412" s="40" t="s">
        <v>2146</v>
      </c>
      <c r="E1412" s="38" t="s">
        <v>3</v>
      </c>
      <c r="F1412" s="38" t="s">
        <v>10</v>
      </c>
      <c r="G1412" s="32">
        <v>0</v>
      </c>
      <c r="H1412" s="32">
        <v>0</v>
      </c>
      <c r="I1412" s="32">
        <v>45913543</v>
      </c>
      <c r="J1412" s="35">
        <f>+G1412-H1412+I1412</f>
        <v>45913543</v>
      </c>
      <c r="K1412" s="28">
        <v>0</v>
      </c>
      <c r="L1412" s="32">
        <v>0</v>
      </c>
      <c r="M1412" s="35">
        <f>+J1412+L1412</f>
        <v>45913543</v>
      </c>
      <c r="N1412" s="28" t="s">
        <v>2094</v>
      </c>
      <c r="O1412" s="29" t="s">
        <v>2095</v>
      </c>
      <c r="P1412" s="36">
        <v>44742</v>
      </c>
      <c r="Q1412" s="31">
        <v>33086.83</v>
      </c>
      <c r="R1412" s="33">
        <f>M1412/Q1412</f>
        <v>1387.6682353673652</v>
      </c>
    </row>
    <row r="1413" spans="1:18" s="30" customFormat="1" ht="15" customHeight="1">
      <c r="A1413" s="37" t="s">
        <v>184</v>
      </c>
      <c r="B1413" s="26" t="s">
        <v>185</v>
      </c>
      <c r="C1413" s="39">
        <v>13</v>
      </c>
      <c r="D1413" s="40" t="s">
        <v>2147</v>
      </c>
      <c r="E1413" s="38" t="s">
        <v>3</v>
      </c>
      <c r="F1413" s="38" t="s">
        <v>11</v>
      </c>
      <c r="G1413" s="32">
        <v>5596746</v>
      </c>
      <c r="H1413" s="32">
        <v>0</v>
      </c>
      <c r="I1413" s="52">
        <v>0</v>
      </c>
      <c r="J1413" s="35">
        <f>+G1413-H1413+I1413</f>
        <v>5596746</v>
      </c>
      <c r="K1413" s="27"/>
      <c r="L1413" s="32">
        <v>0</v>
      </c>
      <c r="M1413" s="35">
        <f>+J1413+L1413</f>
        <v>5596746</v>
      </c>
      <c r="N1413" s="28" t="s">
        <v>187</v>
      </c>
      <c r="O1413" s="29" t="s">
        <v>188</v>
      </c>
      <c r="P1413" s="36">
        <v>44166</v>
      </c>
      <c r="Q1413" s="31">
        <v>29036.92</v>
      </c>
      <c r="R1413" s="33">
        <f>M1413/Q1413</f>
        <v>192.74585596543986</v>
      </c>
    </row>
    <row r="1414" spans="1:18" s="30" customFormat="1" ht="15" customHeight="1">
      <c r="A1414" s="37" t="s">
        <v>356</v>
      </c>
      <c r="B1414" s="26" t="s">
        <v>1841</v>
      </c>
      <c r="C1414" s="39">
        <v>101</v>
      </c>
      <c r="D1414" s="40" t="s">
        <v>2148</v>
      </c>
      <c r="E1414" s="38" t="s">
        <v>6</v>
      </c>
      <c r="F1414" s="38" t="s">
        <v>13</v>
      </c>
      <c r="G1414" s="32">
        <v>1409165</v>
      </c>
      <c r="H1414" s="32">
        <v>0</v>
      </c>
      <c r="I1414" s="32">
        <v>121112</v>
      </c>
      <c r="J1414" s="35">
        <f>+G1414-H1414+I1414</f>
        <v>1530277</v>
      </c>
      <c r="K1414" s="28">
        <v>0</v>
      </c>
      <c r="L1414" s="32">
        <v>0</v>
      </c>
      <c r="M1414" s="35">
        <f>+J1414+L1414</f>
        <v>1530277</v>
      </c>
      <c r="N1414" s="28" t="s">
        <v>2055</v>
      </c>
      <c r="O1414" s="29" t="s">
        <v>2056</v>
      </c>
      <c r="P1414" s="36">
        <v>44315</v>
      </c>
      <c r="Q1414" s="31">
        <v>29462.75</v>
      </c>
      <c r="R1414" s="33">
        <f>M1414/Q1414</f>
        <v>51.939381082892808</v>
      </c>
    </row>
    <row r="1415" spans="1:18" s="30" customFormat="1" ht="15" customHeight="1">
      <c r="A1415" s="37" t="s">
        <v>356</v>
      </c>
      <c r="B1415" s="26" t="s">
        <v>1540</v>
      </c>
      <c r="C1415" s="39">
        <v>101</v>
      </c>
      <c r="D1415" s="40" t="s">
        <v>2149</v>
      </c>
      <c r="E1415" s="38" t="s">
        <v>3</v>
      </c>
      <c r="F1415" s="38" t="s">
        <v>20</v>
      </c>
      <c r="G1415" s="32">
        <v>0</v>
      </c>
      <c r="H1415" s="32">
        <v>0</v>
      </c>
      <c r="I1415" s="32">
        <v>19183405</v>
      </c>
      <c r="J1415" s="35">
        <f>+G1415-H1415+I1415</f>
        <v>19183405</v>
      </c>
      <c r="K1415" s="28">
        <v>0</v>
      </c>
      <c r="L1415" s="32">
        <v>0</v>
      </c>
      <c r="M1415" s="35">
        <f>+J1415+L1415</f>
        <v>19183405</v>
      </c>
      <c r="N1415" s="28" t="s">
        <v>2035</v>
      </c>
      <c r="O1415" s="29" t="s">
        <v>2036</v>
      </c>
      <c r="P1415" s="36">
        <v>43081</v>
      </c>
      <c r="Q1415" s="31">
        <v>26781.73</v>
      </c>
      <c r="R1415" s="33">
        <f>M1415/Q1415</f>
        <v>716.28699863675729</v>
      </c>
    </row>
    <row r="1416" spans="1:18" s="30" customFormat="1" ht="15" customHeight="1">
      <c r="A1416" s="37" t="s">
        <v>39</v>
      </c>
      <c r="B1416" s="26" t="s">
        <v>1658</v>
      </c>
      <c r="C1416" s="39">
        <v>101</v>
      </c>
      <c r="D1416" s="40" t="s">
        <v>2150</v>
      </c>
      <c r="E1416" s="38" t="s">
        <v>4</v>
      </c>
      <c r="F1416" s="38" t="s">
        <v>13</v>
      </c>
      <c r="G1416" s="32">
        <v>5559639</v>
      </c>
      <c r="H1416" s="32">
        <v>4775543</v>
      </c>
      <c r="I1416" s="32">
        <v>5219028</v>
      </c>
      <c r="J1416" s="35">
        <f>+G1416-H1416+I1416</f>
        <v>6003124</v>
      </c>
      <c r="K1416" s="28">
        <v>0</v>
      </c>
      <c r="L1416" s="32">
        <v>0</v>
      </c>
      <c r="M1416" s="35">
        <f>+J1416+L1416</f>
        <v>6003124</v>
      </c>
      <c r="N1416" s="28" t="s">
        <v>2151</v>
      </c>
      <c r="O1416" s="29" t="s">
        <v>2152</v>
      </c>
      <c r="P1416" s="36">
        <v>43448</v>
      </c>
      <c r="Q1416" s="31">
        <v>27565.79</v>
      </c>
      <c r="R1416" s="33">
        <f>M1416/Q1416</f>
        <v>217.77442257232605</v>
      </c>
    </row>
    <row r="1417" spans="1:18" s="30" customFormat="1" ht="15" customHeight="1">
      <c r="A1417" s="37" t="s">
        <v>688</v>
      </c>
      <c r="B1417" s="26" t="s">
        <v>1728</v>
      </c>
      <c r="C1417" s="39">
        <v>101</v>
      </c>
      <c r="D1417" s="40" t="s">
        <v>2153</v>
      </c>
      <c r="E1417" s="38" t="s">
        <v>4</v>
      </c>
      <c r="F1417" s="38" t="s">
        <v>12</v>
      </c>
      <c r="G1417" s="32">
        <v>35166739.865599997</v>
      </c>
      <c r="H1417" s="32">
        <v>0</v>
      </c>
      <c r="I1417" s="32">
        <v>15739356.595199998</v>
      </c>
      <c r="J1417" s="35">
        <f>+G1417-H1417+I1417</f>
        <v>50906096.460799992</v>
      </c>
      <c r="K1417" s="28">
        <v>0</v>
      </c>
      <c r="L1417" s="32">
        <v>0</v>
      </c>
      <c r="M1417" s="35">
        <f>+J1417+L1417</f>
        <v>50906096.460799992</v>
      </c>
      <c r="N1417" s="28" t="s">
        <v>1935</v>
      </c>
      <c r="O1417" s="29" t="s">
        <v>1936</v>
      </c>
      <c r="P1417" s="36">
        <v>42899</v>
      </c>
      <c r="Q1417" s="31">
        <v>26649.99</v>
      </c>
      <c r="R1417" s="33">
        <f>M1417/Q1417</f>
        <v>1910.1731918398464</v>
      </c>
    </row>
    <row r="1418" spans="1:18" s="30" customFormat="1" ht="15" customHeight="1">
      <c r="A1418" s="37" t="s">
        <v>356</v>
      </c>
      <c r="B1418" s="26" t="s">
        <v>1841</v>
      </c>
      <c r="C1418" s="39">
        <v>100</v>
      </c>
      <c r="D1418" s="40" t="s">
        <v>2154</v>
      </c>
      <c r="E1418" s="38" t="s">
        <v>3</v>
      </c>
      <c r="F1418" s="38" t="s">
        <v>11</v>
      </c>
      <c r="G1418" s="32">
        <v>371980</v>
      </c>
      <c r="H1418" s="32">
        <v>0</v>
      </c>
      <c r="I1418" s="32">
        <v>241258</v>
      </c>
      <c r="J1418" s="35">
        <f>+G1418-H1418+I1418</f>
        <v>613238</v>
      </c>
      <c r="K1418" s="28">
        <v>0</v>
      </c>
      <c r="L1418" s="32">
        <v>0</v>
      </c>
      <c r="M1418" s="35">
        <f>+J1418+L1418</f>
        <v>613238</v>
      </c>
      <c r="N1418" s="28" t="s">
        <v>2155</v>
      </c>
      <c r="O1418" s="29" t="s">
        <v>2156</v>
      </c>
      <c r="P1418" s="36">
        <v>44308</v>
      </c>
      <c r="Q1418" s="31">
        <v>29462.75</v>
      </c>
      <c r="R1418" s="33">
        <f>M1418/Q1418</f>
        <v>20.814010912083901</v>
      </c>
    </row>
    <row r="1419" spans="1:18" s="30" customFormat="1" ht="15" customHeight="1">
      <c r="A1419" s="37" t="s">
        <v>356</v>
      </c>
      <c r="B1419" s="26" t="s">
        <v>1540</v>
      </c>
      <c r="C1419" s="39">
        <v>100</v>
      </c>
      <c r="D1419" s="40" t="s">
        <v>2157</v>
      </c>
      <c r="E1419" s="38" t="s">
        <v>3</v>
      </c>
      <c r="F1419" s="38" t="s">
        <v>13</v>
      </c>
      <c r="G1419" s="32">
        <v>78198106</v>
      </c>
      <c r="H1419" s="32">
        <v>0</v>
      </c>
      <c r="I1419" s="32">
        <v>102205601</v>
      </c>
      <c r="J1419" s="35">
        <f>+G1419-H1419+I1419</f>
        <v>180403707</v>
      </c>
      <c r="K1419" s="28">
        <v>0</v>
      </c>
      <c r="L1419" s="32">
        <v>0</v>
      </c>
      <c r="M1419" s="35">
        <f>+J1419+L1419</f>
        <v>180403707</v>
      </c>
      <c r="N1419" s="28" t="s">
        <v>2158</v>
      </c>
      <c r="O1419" s="29" t="s">
        <v>2159</v>
      </c>
      <c r="P1419" s="36">
        <v>43045</v>
      </c>
      <c r="Q1419" s="31">
        <v>26624.58</v>
      </c>
      <c r="R1419" s="33">
        <f>M1419/Q1419</f>
        <v>6775.8329708863012</v>
      </c>
    </row>
    <row r="1420" spans="1:18" s="30" customFormat="1" ht="15" customHeight="1">
      <c r="A1420" s="37" t="s">
        <v>39</v>
      </c>
      <c r="B1420" s="26" t="s">
        <v>1658</v>
      </c>
      <c r="C1420" s="39">
        <v>100</v>
      </c>
      <c r="D1420" s="40" t="s">
        <v>2160</v>
      </c>
      <c r="E1420" s="38" t="s">
        <v>4</v>
      </c>
      <c r="F1420" s="38" t="s">
        <v>20</v>
      </c>
      <c r="G1420" s="32">
        <v>0</v>
      </c>
      <c r="H1420" s="32">
        <v>152959267.87620002</v>
      </c>
      <c r="I1420" s="32">
        <v>152959267.95332861</v>
      </c>
      <c r="J1420" s="35">
        <f>+G1420-H1420+I1420</f>
        <v>7.7128589153289795E-2</v>
      </c>
      <c r="K1420" s="28">
        <v>0</v>
      </c>
      <c r="L1420" s="32">
        <v>0</v>
      </c>
      <c r="M1420" s="35">
        <f>+J1420+L1420</f>
        <v>7.7128589153289795E-2</v>
      </c>
      <c r="N1420" s="28" t="s">
        <v>2120</v>
      </c>
      <c r="O1420" s="29" t="s">
        <v>2121</v>
      </c>
      <c r="P1420" s="36">
        <v>43448</v>
      </c>
      <c r="Q1420" s="31">
        <v>27565.79</v>
      </c>
      <c r="R1420" s="33">
        <f>M1420/Q1420</f>
        <v>2.79798217839176E-6</v>
      </c>
    </row>
    <row r="1421" spans="1:18" s="30" customFormat="1" ht="15" customHeight="1">
      <c r="A1421" s="37" t="s">
        <v>52</v>
      </c>
      <c r="B1421" s="26" t="s">
        <v>555</v>
      </c>
      <c r="C1421" s="39">
        <v>100</v>
      </c>
      <c r="D1421" s="40" t="s">
        <v>2161</v>
      </c>
      <c r="E1421" s="38" t="s">
        <v>3</v>
      </c>
      <c r="F1421" s="38" t="s">
        <v>11</v>
      </c>
      <c r="G1421" s="32">
        <v>1219897</v>
      </c>
      <c r="H1421" s="32">
        <v>0</v>
      </c>
      <c r="I1421" s="32">
        <v>22162358</v>
      </c>
      <c r="J1421" s="35">
        <f>+G1421-H1421+I1421</f>
        <v>23382255</v>
      </c>
      <c r="K1421" s="28">
        <v>0</v>
      </c>
      <c r="L1421" s="32">
        <v>0</v>
      </c>
      <c r="M1421" s="35">
        <f>+J1421+L1421</f>
        <v>23382255</v>
      </c>
      <c r="N1421" s="28" t="s">
        <v>2114</v>
      </c>
      <c r="O1421" s="29" t="s">
        <v>2115</v>
      </c>
      <c r="P1421" s="36">
        <v>43074</v>
      </c>
      <c r="Q1421" s="31">
        <v>26757.79</v>
      </c>
      <c r="R1421" s="33">
        <f>M1421/Q1421</f>
        <v>873.84851290035533</v>
      </c>
    </row>
    <row r="1422" spans="1:18" s="30" customFormat="1" ht="15" customHeight="1">
      <c r="A1422" s="46" t="s">
        <v>189</v>
      </c>
      <c r="B1422" s="26" t="s">
        <v>225</v>
      </c>
      <c r="C1422" s="65">
        <v>100</v>
      </c>
      <c r="D1422" s="51" t="s">
        <v>2162</v>
      </c>
      <c r="E1422" s="38" t="s">
        <v>4</v>
      </c>
      <c r="F1422" s="38" t="s">
        <v>12</v>
      </c>
      <c r="G1422" s="52">
        <v>0</v>
      </c>
      <c r="H1422" s="52">
        <v>13449128</v>
      </c>
      <c r="I1422" s="52">
        <v>0</v>
      </c>
      <c r="J1422" s="53">
        <f>+G1422-H1422+I1422</f>
        <v>-13449128</v>
      </c>
      <c r="K1422" s="70">
        <v>0</v>
      </c>
      <c r="L1422" s="52">
        <v>0</v>
      </c>
      <c r="M1422" s="53">
        <f>+J1422+L1422</f>
        <v>-13449128</v>
      </c>
      <c r="N1422" s="55" t="s">
        <v>1109</v>
      </c>
      <c r="O1422" s="56" t="s">
        <v>1110</v>
      </c>
      <c r="P1422" s="56">
        <v>44560</v>
      </c>
      <c r="Q1422" s="49">
        <v>30986.76</v>
      </c>
      <c r="R1422" s="57">
        <f>M1422/Q1422</f>
        <v>-434.02821075840137</v>
      </c>
    </row>
    <row r="1423" spans="1:18" s="30" customFormat="1" ht="15" customHeight="1">
      <c r="A1423" s="37" t="s">
        <v>356</v>
      </c>
      <c r="B1423" s="26" t="s">
        <v>1841</v>
      </c>
      <c r="C1423" s="39">
        <v>99</v>
      </c>
      <c r="D1423" s="40" t="s">
        <v>2163</v>
      </c>
      <c r="E1423" s="38" t="s">
        <v>3</v>
      </c>
      <c r="F1423" s="38" t="s">
        <v>15</v>
      </c>
      <c r="G1423" s="32">
        <v>12083053</v>
      </c>
      <c r="H1423" s="32">
        <v>14152846</v>
      </c>
      <c r="I1423" s="52">
        <v>0</v>
      </c>
      <c r="J1423" s="35">
        <f>+G1423-H1423+I1423</f>
        <v>-2069793</v>
      </c>
      <c r="K1423" s="28">
        <v>0</v>
      </c>
      <c r="L1423" s="32">
        <v>0</v>
      </c>
      <c r="M1423" s="35">
        <f>+J1423+L1423</f>
        <v>-2069793</v>
      </c>
      <c r="N1423" s="28" t="s">
        <v>2155</v>
      </c>
      <c r="O1423" s="29" t="s">
        <v>2156</v>
      </c>
      <c r="P1423" s="36">
        <v>44308</v>
      </c>
      <c r="Q1423" s="31">
        <v>29462.75</v>
      </c>
      <c r="R1423" s="33">
        <f>M1423/Q1423</f>
        <v>-70.251181576736727</v>
      </c>
    </row>
    <row r="1424" spans="1:18" s="30" customFormat="1" ht="15" customHeight="1">
      <c r="A1424" s="37" t="s">
        <v>356</v>
      </c>
      <c r="B1424" s="26" t="s">
        <v>1540</v>
      </c>
      <c r="C1424" s="39">
        <v>99</v>
      </c>
      <c r="D1424" s="40" t="s">
        <v>2164</v>
      </c>
      <c r="E1424" s="38" t="s">
        <v>3</v>
      </c>
      <c r="F1424" s="38" t="s">
        <v>11</v>
      </c>
      <c r="G1424" s="32">
        <v>0</v>
      </c>
      <c r="H1424" s="32">
        <v>0</v>
      </c>
      <c r="I1424" s="32">
        <v>60235458</v>
      </c>
      <c r="J1424" s="35">
        <f>+G1424-H1424+I1424</f>
        <v>60235458</v>
      </c>
      <c r="K1424" s="28">
        <v>0</v>
      </c>
      <c r="L1424" s="32">
        <v>0</v>
      </c>
      <c r="M1424" s="35">
        <f>+J1424+L1424</f>
        <v>60235458</v>
      </c>
      <c r="N1424" s="28" t="s">
        <v>2035</v>
      </c>
      <c r="O1424" s="29" t="s">
        <v>2036</v>
      </c>
      <c r="P1424" s="36">
        <v>43081</v>
      </c>
      <c r="Q1424" s="31">
        <v>26781.73</v>
      </c>
      <c r="R1424" s="33">
        <f>M1424/Q1424</f>
        <v>2249.124981843966</v>
      </c>
    </row>
    <row r="1425" spans="1:18" s="30" customFormat="1" ht="15" customHeight="1">
      <c r="A1425" s="37" t="s">
        <v>39</v>
      </c>
      <c r="B1425" s="26" t="s">
        <v>1658</v>
      </c>
      <c r="C1425" s="39">
        <v>99</v>
      </c>
      <c r="D1425" s="40" t="s">
        <v>2165</v>
      </c>
      <c r="E1425" s="38" t="s">
        <v>4</v>
      </c>
      <c r="F1425" s="38" t="s">
        <v>11</v>
      </c>
      <c r="G1425" s="32">
        <v>0</v>
      </c>
      <c r="H1425" s="32">
        <v>3505845</v>
      </c>
      <c r="I1425" s="32">
        <v>11166433</v>
      </c>
      <c r="J1425" s="35">
        <f>+G1425-H1425+I1425</f>
        <v>7660588</v>
      </c>
      <c r="K1425" s="28">
        <v>0</v>
      </c>
      <c r="L1425" s="32">
        <v>0</v>
      </c>
      <c r="M1425" s="35">
        <f>+J1425+L1425</f>
        <v>7660588</v>
      </c>
      <c r="N1425" s="28" t="s">
        <v>2120</v>
      </c>
      <c r="O1425" s="29" t="s">
        <v>2121</v>
      </c>
      <c r="P1425" s="36">
        <v>43448</v>
      </c>
      <c r="Q1425" s="31">
        <v>27565.79</v>
      </c>
      <c r="R1425" s="33">
        <f>M1425/Q1425</f>
        <v>277.90199373934138</v>
      </c>
    </row>
    <row r="1426" spans="1:18" s="30" customFormat="1" ht="15" customHeight="1">
      <c r="A1426" s="46" t="s">
        <v>189</v>
      </c>
      <c r="B1426" s="26" t="s">
        <v>225</v>
      </c>
      <c r="C1426" s="65">
        <v>99</v>
      </c>
      <c r="D1426" s="51" t="s">
        <v>2166</v>
      </c>
      <c r="E1426" s="38" t="s">
        <v>4</v>
      </c>
      <c r="F1426" s="48" t="s">
        <v>11</v>
      </c>
      <c r="G1426" s="52">
        <v>239514</v>
      </c>
      <c r="H1426" s="52">
        <v>221203</v>
      </c>
      <c r="I1426" s="52">
        <v>254134</v>
      </c>
      <c r="J1426" s="53">
        <f>+G1426-H1426+I1426</f>
        <v>272445</v>
      </c>
      <c r="K1426" s="70">
        <v>0</v>
      </c>
      <c r="L1426" s="52">
        <v>0</v>
      </c>
      <c r="M1426" s="53">
        <f>+J1426+L1426</f>
        <v>272445</v>
      </c>
      <c r="N1426" s="55" t="s">
        <v>1109</v>
      </c>
      <c r="O1426" s="56" t="s">
        <v>1110</v>
      </c>
      <c r="P1426" s="56">
        <v>44560</v>
      </c>
      <c r="Q1426" s="49">
        <v>30986.76</v>
      </c>
      <c r="R1426" s="57">
        <f>M1426/Q1426</f>
        <v>8.7923035515813854</v>
      </c>
    </row>
    <row r="1427" spans="1:18" s="30" customFormat="1" ht="15" customHeight="1">
      <c r="A1427" s="37" t="s">
        <v>688</v>
      </c>
      <c r="B1427" s="26" t="s">
        <v>1728</v>
      </c>
      <c r="C1427" s="39">
        <v>99</v>
      </c>
      <c r="D1427" s="40" t="s">
        <v>2167</v>
      </c>
      <c r="E1427" s="38" t="s">
        <v>4</v>
      </c>
      <c r="F1427" s="38" t="s">
        <v>12</v>
      </c>
      <c r="G1427" s="32">
        <v>0</v>
      </c>
      <c r="H1427" s="32">
        <v>0</v>
      </c>
      <c r="I1427" s="32">
        <v>2952506.9055999997</v>
      </c>
      <c r="J1427" s="35">
        <f>+G1427-H1427+I1427</f>
        <v>2952506.9055999997</v>
      </c>
      <c r="K1427" s="28">
        <v>0</v>
      </c>
      <c r="L1427" s="32">
        <v>0</v>
      </c>
      <c r="M1427" s="35">
        <f>+J1427+L1427</f>
        <v>2952506.9055999997</v>
      </c>
      <c r="N1427" s="28" t="s">
        <v>1935</v>
      </c>
      <c r="O1427" s="29" t="s">
        <v>1936</v>
      </c>
      <c r="P1427" s="36">
        <v>42899</v>
      </c>
      <c r="Q1427" s="31">
        <v>26649.99</v>
      </c>
      <c r="R1427" s="33">
        <f>M1427/Q1427</f>
        <v>110.78829318885296</v>
      </c>
    </row>
    <row r="1428" spans="1:18" s="30" customFormat="1" ht="15" customHeight="1">
      <c r="A1428" s="37" t="s">
        <v>391</v>
      </c>
      <c r="B1428" s="26" t="s">
        <v>392</v>
      </c>
      <c r="C1428" s="39">
        <v>115</v>
      </c>
      <c r="D1428" s="40" t="s">
        <v>2168</v>
      </c>
      <c r="E1428" s="38" t="s">
        <v>3</v>
      </c>
      <c r="F1428" s="38" t="s">
        <v>11</v>
      </c>
      <c r="G1428" s="32">
        <v>5862560</v>
      </c>
      <c r="H1428" s="32">
        <v>60768559</v>
      </c>
      <c r="I1428" s="32">
        <v>66752117</v>
      </c>
      <c r="J1428" s="35">
        <f>+G1428-H1428+I1428</f>
        <v>11846118</v>
      </c>
      <c r="K1428" s="27"/>
      <c r="L1428" s="32">
        <v>0</v>
      </c>
      <c r="M1428" s="35">
        <f>+J1428+L1428</f>
        <v>11846118</v>
      </c>
      <c r="N1428" s="28" t="s">
        <v>481</v>
      </c>
      <c r="O1428" s="29" t="s">
        <v>482</v>
      </c>
      <c r="P1428" s="36">
        <v>44130</v>
      </c>
      <c r="Q1428" s="31">
        <v>28810.82</v>
      </c>
      <c r="R1428" s="33">
        <f>M1428/Q1428</f>
        <v>411.16906773219227</v>
      </c>
    </row>
    <row r="1429" spans="1:18" s="30" customFormat="1" ht="15" customHeight="1">
      <c r="A1429" s="37" t="s">
        <v>874</v>
      </c>
      <c r="B1429" s="26" t="s">
        <v>875</v>
      </c>
      <c r="C1429" s="39">
        <v>98</v>
      </c>
      <c r="D1429" s="40" t="s">
        <v>2169</v>
      </c>
      <c r="E1429" s="38" t="s">
        <v>3</v>
      </c>
      <c r="F1429" s="38" t="s">
        <v>13</v>
      </c>
      <c r="G1429" s="32">
        <v>20927860</v>
      </c>
      <c r="H1429" s="32">
        <v>45400224</v>
      </c>
      <c r="I1429" s="32">
        <v>94335964</v>
      </c>
      <c r="J1429" s="35">
        <f>+G1429-H1429+I1429</f>
        <v>69863600</v>
      </c>
      <c r="K1429" s="28">
        <v>0</v>
      </c>
      <c r="L1429" s="32">
        <v>0</v>
      </c>
      <c r="M1429" s="35">
        <f>+J1429+L1429</f>
        <v>69863600</v>
      </c>
      <c r="N1429" s="28" t="s">
        <v>2094</v>
      </c>
      <c r="O1429" s="29" t="s">
        <v>2095</v>
      </c>
      <c r="P1429" s="36">
        <v>44742</v>
      </c>
      <c r="Q1429" s="31">
        <v>33086.83</v>
      </c>
      <c r="R1429" s="33">
        <f>M1429/Q1429</f>
        <v>2111.5229231691278</v>
      </c>
    </row>
    <row r="1430" spans="1:18" s="30" customFormat="1" ht="15" customHeight="1">
      <c r="A1430" s="37" t="s">
        <v>356</v>
      </c>
      <c r="B1430" s="26" t="s">
        <v>1841</v>
      </c>
      <c r="C1430" s="39">
        <v>98</v>
      </c>
      <c r="D1430" s="40" t="s">
        <v>2170</v>
      </c>
      <c r="E1430" s="38" t="s">
        <v>3</v>
      </c>
      <c r="F1430" s="38" t="s">
        <v>11</v>
      </c>
      <c r="G1430" s="32">
        <v>2575612</v>
      </c>
      <c r="H1430" s="32">
        <v>0</v>
      </c>
      <c r="I1430" s="52">
        <v>0</v>
      </c>
      <c r="J1430" s="35">
        <f>+G1430-H1430+I1430</f>
        <v>2575612</v>
      </c>
      <c r="K1430" s="28">
        <v>0</v>
      </c>
      <c r="L1430" s="32">
        <v>0</v>
      </c>
      <c r="M1430" s="35">
        <f>+J1430+L1430</f>
        <v>2575612</v>
      </c>
      <c r="N1430" s="28" t="s">
        <v>2155</v>
      </c>
      <c r="O1430" s="29" t="s">
        <v>2156</v>
      </c>
      <c r="P1430" s="36">
        <v>44308</v>
      </c>
      <c r="Q1430" s="31">
        <v>29462.75</v>
      </c>
      <c r="R1430" s="33">
        <f>M1430/Q1430</f>
        <v>87.419266701173513</v>
      </c>
    </row>
    <row r="1431" spans="1:18" s="30" customFormat="1" ht="15" customHeight="1">
      <c r="A1431" s="37" t="s">
        <v>39</v>
      </c>
      <c r="B1431" s="26" t="s">
        <v>1658</v>
      </c>
      <c r="C1431" s="39">
        <v>98</v>
      </c>
      <c r="D1431" s="40" t="s">
        <v>2171</v>
      </c>
      <c r="E1431" s="38" t="s">
        <v>3</v>
      </c>
      <c r="F1431" s="38" t="s">
        <v>11</v>
      </c>
      <c r="G1431" s="32">
        <v>0</v>
      </c>
      <c r="H1431" s="32">
        <v>0</v>
      </c>
      <c r="I1431" s="32">
        <v>11830999.833404131</v>
      </c>
      <c r="J1431" s="35">
        <f>+G1431-H1431+I1431</f>
        <v>11830999.833404131</v>
      </c>
      <c r="K1431" s="28">
        <v>0</v>
      </c>
      <c r="L1431" s="32">
        <v>0</v>
      </c>
      <c r="M1431" s="35">
        <f>+J1431+L1431</f>
        <v>11830999.833404131</v>
      </c>
      <c r="N1431" s="28" t="s">
        <v>2120</v>
      </c>
      <c r="O1431" s="29" t="s">
        <v>2121</v>
      </c>
      <c r="P1431" s="36">
        <v>43448</v>
      </c>
      <c r="Q1431" s="31">
        <v>27565.79</v>
      </c>
      <c r="R1431" s="33">
        <f>M1431/Q1431</f>
        <v>429.19139387640007</v>
      </c>
    </row>
    <row r="1432" spans="1:18" s="30" customFormat="1" ht="15" customHeight="1">
      <c r="A1432" s="37" t="s">
        <v>52</v>
      </c>
      <c r="B1432" s="26" t="s">
        <v>555</v>
      </c>
      <c r="C1432" s="39">
        <v>98</v>
      </c>
      <c r="D1432" s="40" t="s">
        <v>2172</v>
      </c>
      <c r="E1432" s="38" t="s">
        <v>3</v>
      </c>
      <c r="F1432" s="38" t="s">
        <v>11</v>
      </c>
      <c r="G1432" s="32">
        <v>427105814</v>
      </c>
      <c r="H1432" s="32">
        <v>355420706</v>
      </c>
      <c r="I1432" s="32">
        <v>2680229</v>
      </c>
      <c r="J1432" s="35">
        <f>+G1432-H1432+I1432</f>
        <v>74365337</v>
      </c>
      <c r="K1432" s="28">
        <v>0</v>
      </c>
      <c r="L1432" s="32">
        <v>0</v>
      </c>
      <c r="M1432" s="35">
        <f>+J1432+L1432</f>
        <v>74365337</v>
      </c>
      <c r="N1432" s="28" t="s">
        <v>2173</v>
      </c>
      <c r="O1432" s="29" t="s">
        <v>2174</v>
      </c>
      <c r="P1432" s="36">
        <v>43140</v>
      </c>
      <c r="Q1432" s="31">
        <v>26832.73</v>
      </c>
      <c r="R1432" s="33">
        <f>M1432/Q1432</f>
        <v>2771.4413330287302</v>
      </c>
    </row>
    <row r="1433" spans="1:18" s="30" customFormat="1" ht="15" customHeight="1">
      <c r="A1433" s="37" t="s">
        <v>688</v>
      </c>
      <c r="B1433" s="26" t="s">
        <v>1728</v>
      </c>
      <c r="C1433" s="39">
        <v>98</v>
      </c>
      <c r="D1433" s="40" t="s">
        <v>2175</v>
      </c>
      <c r="E1433" s="38" t="s">
        <v>4</v>
      </c>
      <c r="F1433" s="38" t="s">
        <v>11</v>
      </c>
      <c r="G1433" s="32">
        <v>11742154</v>
      </c>
      <c r="H1433" s="32">
        <v>475238.40000000002</v>
      </c>
      <c r="I1433" s="52">
        <v>0</v>
      </c>
      <c r="J1433" s="35">
        <f>+G1433-H1433+I1433</f>
        <v>11266915.6</v>
      </c>
      <c r="K1433" s="28">
        <v>0</v>
      </c>
      <c r="L1433" s="32">
        <v>0</v>
      </c>
      <c r="M1433" s="35">
        <f>+J1433+L1433</f>
        <v>11266915.6</v>
      </c>
      <c r="N1433" s="28" t="s">
        <v>1935</v>
      </c>
      <c r="O1433" s="29" t="s">
        <v>1936</v>
      </c>
      <c r="P1433" s="36">
        <v>42899</v>
      </c>
      <c r="Q1433" s="31">
        <v>26649.99</v>
      </c>
      <c r="R1433" s="33">
        <f>M1433/Q1433</f>
        <v>422.77372711959737</v>
      </c>
    </row>
    <row r="1434" spans="1:18" s="30" customFormat="1" ht="15" customHeight="1">
      <c r="A1434" s="37" t="s">
        <v>391</v>
      </c>
      <c r="B1434" s="26" t="s">
        <v>392</v>
      </c>
      <c r="C1434" s="39">
        <v>97</v>
      </c>
      <c r="D1434" s="40" t="s">
        <v>2176</v>
      </c>
      <c r="E1434" s="38" t="s">
        <v>3</v>
      </c>
      <c r="F1434" s="38" t="s">
        <v>11</v>
      </c>
      <c r="G1434" s="32">
        <v>4504605</v>
      </c>
      <c r="H1434" s="32">
        <v>0</v>
      </c>
      <c r="I1434" s="32">
        <v>1782887</v>
      </c>
      <c r="J1434" s="35">
        <f>+G1434-H1434+I1434</f>
        <v>6287492</v>
      </c>
      <c r="K1434" s="28">
        <v>0</v>
      </c>
      <c r="L1434" s="32">
        <v>0</v>
      </c>
      <c r="M1434" s="35">
        <f>+J1434+L1434</f>
        <v>6287492</v>
      </c>
      <c r="N1434" s="28" t="s">
        <v>2026</v>
      </c>
      <c r="O1434" s="29" t="s">
        <v>2027</v>
      </c>
      <c r="P1434" s="36">
        <v>43789</v>
      </c>
      <c r="Q1434" s="31">
        <v>28147.47</v>
      </c>
      <c r="R1434" s="33">
        <f>M1434/Q1434</f>
        <v>223.37680793335954</v>
      </c>
    </row>
    <row r="1435" spans="1:18" s="30" customFormat="1" ht="15" customHeight="1">
      <c r="A1435" s="37" t="s">
        <v>874</v>
      </c>
      <c r="B1435" s="26" t="s">
        <v>875</v>
      </c>
      <c r="C1435" s="39">
        <v>97</v>
      </c>
      <c r="D1435" s="40" t="s">
        <v>2177</v>
      </c>
      <c r="E1435" s="38" t="s">
        <v>3</v>
      </c>
      <c r="F1435" s="38" t="s">
        <v>11</v>
      </c>
      <c r="G1435" s="32">
        <v>47129758</v>
      </c>
      <c r="H1435" s="32"/>
      <c r="I1435" s="32">
        <v>11255491</v>
      </c>
      <c r="J1435" s="35">
        <f>+G1435-H1435+I1435</f>
        <v>58385249</v>
      </c>
      <c r="K1435" s="28">
        <v>0</v>
      </c>
      <c r="L1435" s="32">
        <v>0</v>
      </c>
      <c r="M1435" s="35">
        <f>+J1435+L1435</f>
        <v>58385249</v>
      </c>
      <c r="N1435" s="28" t="s">
        <v>2048</v>
      </c>
      <c r="O1435" s="29" t="s">
        <v>2049</v>
      </c>
      <c r="P1435" s="36">
        <v>44379</v>
      </c>
      <c r="Q1435" s="31">
        <v>29716</v>
      </c>
      <c r="R1435" s="33">
        <v>1964.79</v>
      </c>
    </row>
    <row r="1436" spans="1:18" s="30" customFormat="1" ht="15" customHeight="1">
      <c r="A1436" s="37" t="s">
        <v>391</v>
      </c>
      <c r="B1436" s="26" t="s">
        <v>392</v>
      </c>
      <c r="C1436" s="39">
        <v>155</v>
      </c>
      <c r="D1436" s="40" t="s">
        <v>2178</v>
      </c>
      <c r="E1436" s="38" t="s">
        <v>3</v>
      </c>
      <c r="F1436" s="38" t="s">
        <v>10</v>
      </c>
      <c r="G1436" s="32">
        <v>5979115</v>
      </c>
      <c r="H1436" s="32">
        <v>0</v>
      </c>
      <c r="I1436" s="32">
        <v>8599312</v>
      </c>
      <c r="J1436" s="35">
        <f>+G1436-H1436+I1436</f>
        <v>14578427</v>
      </c>
      <c r="K1436" s="27"/>
      <c r="L1436" s="32">
        <v>0</v>
      </c>
      <c r="M1436" s="35">
        <f>+J1436+L1436</f>
        <v>14578427</v>
      </c>
      <c r="N1436" s="28" t="s">
        <v>481</v>
      </c>
      <c r="O1436" s="29" t="s">
        <v>482</v>
      </c>
      <c r="P1436" s="36">
        <v>44130</v>
      </c>
      <c r="Q1436" s="31">
        <v>28810.82</v>
      </c>
      <c r="R1436" s="33">
        <f>M1436/Q1436</f>
        <v>506.0052785724252</v>
      </c>
    </row>
    <row r="1437" spans="1:18" s="30" customFormat="1" ht="15" customHeight="1">
      <c r="A1437" s="37" t="s">
        <v>356</v>
      </c>
      <c r="B1437" s="26" t="s">
        <v>1841</v>
      </c>
      <c r="C1437" s="39">
        <v>97</v>
      </c>
      <c r="D1437" s="40" t="s">
        <v>2179</v>
      </c>
      <c r="E1437" s="38" t="s">
        <v>3</v>
      </c>
      <c r="F1437" s="38" t="s">
        <v>11</v>
      </c>
      <c r="G1437" s="32">
        <v>0</v>
      </c>
      <c r="H1437" s="32">
        <v>0</v>
      </c>
      <c r="I1437" s="32">
        <v>18431760</v>
      </c>
      <c r="J1437" s="35">
        <f>+G1437-H1437+I1437</f>
        <v>18431760</v>
      </c>
      <c r="K1437" s="28">
        <v>0</v>
      </c>
      <c r="L1437" s="32">
        <v>0</v>
      </c>
      <c r="M1437" s="35">
        <f>+J1437+L1437</f>
        <v>18431760</v>
      </c>
      <c r="N1437" s="28" t="s">
        <v>2155</v>
      </c>
      <c r="O1437" s="29" t="s">
        <v>2156</v>
      </c>
      <c r="P1437" s="36">
        <v>44308</v>
      </c>
      <c r="Q1437" s="31">
        <v>29462.75</v>
      </c>
      <c r="R1437" s="33">
        <f>M1437/Q1437</f>
        <v>625.59537042536761</v>
      </c>
    </row>
    <row r="1438" spans="1:18" s="30" customFormat="1" ht="15" customHeight="1">
      <c r="A1438" s="37" t="s">
        <v>39</v>
      </c>
      <c r="B1438" s="26" t="s">
        <v>1658</v>
      </c>
      <c r="C1438" s="39">
        <v>97</v>
      </c>
      <c r="D1438" s="40" t="s">
        <v>2180</v>
      </c>
      <c r="E1438" s="38" t="s">
        <v>6</v>
      </c>
      <c r="F1438" s="38" t="s">
        <v>21</v>
      </c>
      <c r="G1438" s="32">
        <v>4950796.84745936</v>
      </c>
      <c r="H1438" s="32">
        <v>1535116.8876</v>
      </c>
      <c r="I1438" s="32">
        <v>15343993.947040001</v>
      </c>
      <c r="J1438" s="35">
        <f>+G1438-H1438+I1438</f>
        <v>18759673.906899363</v>
      </c>
      <c r="K1438" s="28">
        <v>0</v>
      </c>
      <c r="L1438" s="32">
        <v>0</v>
      </c>
      <c r="M1438" s="35">
        <f>+J1438+L1438</f>
        <v>18759673.906899363</v>
      </c>
      <c r="N1438" s="28" t="s">
        <v>2120</v>
      </c>
      <c r="O1438" s="29" t="s">
        <v>2121</v>
      </c>
      <c r="P1438" s="36">
        <v>43448</v>
      </c>
      <c r="Q1438" s="31">
        <v>27565.79</v>
      </c>
      <c r="R1438" s="33">
        <f>M1438/Q1438</f>
        <v>680.54185665998909</v>
      </c>
    </row>
    <row r="1439" spans="1:18" s="30" customFormat="1" ht="15" customHeight="1">
      <c r="A1439" s="46" t="s">
        <v>189</v>
      </c>
      <c r="B1439" s="26" t="s">
        <v>225</v>
      </c>
      <c r="C1439" s="65">
        <v>97</v>
      </c>
      <c r="D1439" s="51" t="s">
        <v>2181</v>
      </c>
      <c r="E1439" s="38" t="s">
        <v>3</v>
      </c>
      <c r="F1439" s="38" t="s">
        <v>13</v>
      </c>
      <c r="G1439" s="52">
        <v>0</v>
      </c>
      <c r="H1439" s="52">
        <v>0</v>
      </c>
      <c r="I1439" s="52">
        <v>1525715</v>
      </c>
      <c r="J1439" s="53">
        <f>+G1439-H1439+I1439</f>
        <v>1525715</v>
      </c>
      <c r="K1439" s="70">
        <v>0</v>
      </c>
      <c r="L1439" s="52">
        <v>0</v>
      </c>
      <c r="M1439" s="53">
        <f>+J1439+L1439</f>
        <v>1525715</v>
      </c>
      <c r="N1439" s="55" t="s">
        <v>2182</v>
      </c>
      <c r="O1439" s="56" t="s">
        <v>2183</v>
      </c>
      <c r="P1439" s="56">
        <v>44420</v>
      </c>
      <c r="Q1439" s="49">
        <v>29789.24</v>
      </c>
      <c r="R1439" s="57">
        <f>M1439/Q1439</f>
        <v>51.216983044884657</v>
      </c>
    </row>
    <row r="1440" spans="1:18" s="30" customFormat="1" ht="15" customHeight="1">
      <c r="A1440" s="37" t="s">
        <v>688</v>
      </c>
      <c r="B1440" s="26" t="s">
        <v>1728</v>
      </c>
      <c r="C1440" s="39">
        <v>97</v>
      </c>
      <c r="D1440" s="40" t="s">
        <v>2184</v>
      </c>
      <c r="E1440" s="38" t="s">
        <v>3</v>
      </c>
      <c r="F1440" s="38" t="s">
        <v>11</v>
      </c>
      <c r="G1440" s="32">
        <v>5404918.3103999998</v>
      </c>
      <c r="H1440" s="32">
        <v>0</v>
      </c>
      <c r="I1440" s="52">
        <v>0</v>
      </c>
      <c r="J1440" s="35">
        <f>+G1440-H1440+I1440</f>
        <v>5404918.3103999998</v>
      </c>
      <c r="K1440" s="28">
        <v>0</v>
      </c>
      <c r="L1440" s="32">
        <v>0</v>
      </c>
      <c r="M1440" s="35">
        <f>+J1440+L1440</f>
        <v>5404918.3103999998</v>
      </c>
      <c r="N1440" s="28" t="s">
        <v>1935</v>
      </c>
      <c r="O1440" s="29" t="s">
        <v>1936</v>
      </c>
      <c r="P1440" s="36">
        <v>42899</v>
      </c>
      <c r="Q1440" s="31">
        <v>26649.99</v>
      </c>
      <c r="R1440" s="33">
        <f>M1440/Q1440</f>
        <v>202.81126973781227</v>
      </c>
    </row>
    <row r="1441" spans="1:18" s="30" customFormat="1" ht="15" customHeight="1">
      <c r="A1441" s="37" t="s">
        <v>391</v>
      </c>
      <c r="B1441" s="26" t="s">
        <v>392</v>
      </c>
      <c r="C1441" s="39">
        <v>96</v>
      </c>
      <c r="D1441" s="40" t="s">
        <v>2185</v>
      </c>
      <c r="E1441" s="38" t="s">
        <v>4</v>
      </c>
      <c r="F1441" s="38" t="s">
        <v>21</v>
      </c>
      <c r="G1441" s="32">
        <v>5466989</v>
      </c>
      <c r="H1441" s="32">
        <v>0</v>
      </c>
      <c r="I1441" s="52">
        <v>0</v>
      </c>
      <c r="J1441" s="35">
        <f>+G1441-H1441+I1441</f>
        <v>5466989</v>
      </c>
      <c r="K1441" s="28">
        <v>0</v>
      </c>
      <c r="L1441" s="32">
        <v>0</v>
      </c>
      <c r="M1441" s="35">
        <f>+J1441+L1441</f>
        <v>5466989</v>
      </c>
      <c r="N1441" s="28" t="s">
        <v>2026</v>
      </c>
      <c r="O1441" s="29" t="s">
        <v>2027</v>
      </c>
      <c r="P1441" s="36">
        <v>43789</v>
      </c>
      <c r="Q1441" s="31">
        <v>28147.47</v>
      </c>
      <c r="R1441" s="33">
        <f>M1441/Q1441</f>
        <v>194.22665696064334</v>
      </c>
    </row>
    <row r="1442" spans="1:18" s="30" customFormat="1" ht="15" customHeight="1">
      <c r="A1442" s="37" t="s">
        <v>356</v>
      </c>
      <c r="B1442" s="26" t="s">
        <v>1540</v>
      </c>
      <c r="C1442" s="39">
        <v>96</v>
      </c>
      <c r="D1442" s="40" t="s">
        <v>2186</v>
      </c>
      <c r="E1442" s="38" t="s">
        <v>3</v>
      </c>
      <c r="F1442" s="38" t="s">
        <v>11</v>
      </c>
      <c r="G1442" s="32">
        <v>2779890</v>
      </c>
      <c r="H1442" s="32">
        <v>0</v>
      </c>
      <c r="I1442" s="32">
        <v>33402358</v>
      </c>
      <c r="J1442" s="35">
        <f>+G1442-H1442+I1442</f>
        <v>36182248</v>
      </c>
      <c r="K1442" s="28">
        <v>0</v>
      </c>
      <c r="L1442" s="32">
        <v>0</v>
      </c>
      <c r="M1442" s="35">
        <f>+J1442+L1442</f>
        <v>36182248</v>
      </c>
      <c r="N1442" s="28" t="s">
        <v>2035</v>
      </c>
      <c r="O1442" s="29" t="s">
        <v>2036</v>
      </c>
      <c r="P1442" s="36">
        <v>43081</v>
      </c>
      <c r="Q1442" s="31">
        <v>26781.73</v>
      </c>
      <c r="R1442" s="33">
        <f>M1442/Q1442</f>
        <v>1351.0048828063011</v>
      </c>
    </row>
    <row r="1443" spans="1:18" s="30" customFormat="1" ht="15" customHeight="1">
      <c r="A1443" s="37" t="s">
        <v>39</v>
      </c>
      <c r="B1443" s="26" t="s">
        <v>1658</v>
      </c>
      <c r="C1443" s="39">
        <v>96</v>
      </c>
      <c r="D1443" s="40" t="s">
        <v>2187</v>
      </c>
      <c r="E1443" s="38" t="s">
        <v>4</v>
      </c>
      <c r="F1443" s="38" t="s">
        <v>11</v>
      </c>
      <c r="G1443" s="32">
        <v>28069682.482919998</v>
      </c>
      <c r="H1443" s="32">
        <v>134200795.81200001</v>
      </c>
      <c r="I1443" s="32">
        <v>133423388.55</v>
      </c>
      <c r="J1443" s="35">
        <f>+G1443-H1443+I1443</f>
        <v>27292275.220919982</v>
      </c>
      <c r="K1443" s="28">
        <v>0</v>
      </c>
      <c r="L1443" s="32">
        <v>0</v>
      </c>
      <c r="M1443" s="35">
        <f>+J1443+L1443</f>
        <v>27292275.220919982</v>
      </c>
      <c r="N1443" s="28" t="s">
        <v>2120</v>
      </c>
      <c r="O1443" s="29" t="s">
        <v>2121</v>
      </c>
      <c r="P1443" s="36">
        <v>43448</v>
      </c>
      <c r="Q1443" s="31">
        <v>27565.79</v>
      </c>
      <c r="R1443" s="33">
        <f>M1443/Q1443</f>
        <v>990.07774567389436</v>
      </c>
    </row>
    <row r="1444" spans="1:18" s="30" customFormat="1" ht="15" customHeight="1">
      <c r="A1444" s="37" t="s">
        <v>52</v>
      </c>
      <c r="B1444" s="26" t="s">
        <v>555</v>
      </c>
      <c r="C1444" s="39">
        <v>96</v>
      </c>
      <c r="D1444" s="40" t="s">
        <v>2188</v>
      </c>
      <c r="E1444" s="38" t="s">
        <v>3</v>
      </c>
      <c r="F1444" s="38" t="s">
        <v>11</v>
      </c>
      <c r="G1444" s="32">
        <v>151403746</v>
      </c>
      <c r="H1444" s="32">
        <v>161452620</v>
      </c>
      <c r="I1444" s="32">
        <v>24964852</v>
      </c>
      <c r="J1444" s="35">
        <f>+G1444-H1444+I1444</f>
        <v>14915978</v>
      </c>
      <c r="K1444" s="28">
        <v>0</v>
      </c>
      <c r="L1444" s="32">
        <v>0</v>
      </c>
      <c r="M1444" s="35">
        <f>+J1444+L1444</f>
        <v>14915978</v>
      </c>
      <c r="N1444" s="28" t="s">
        <v>2173</v>
      </c>
      <c r="O1444" s="29" t="s">
        <v>2174</v>
      </c>
      <c r="P1444" s="36">
        <v>43140</v>
      </c>
      <c r="Q1444" s="31">
        <v>26832.73</v>
      </c>
      <c r="R1444" s="33">
        <f>M1444/Q1444</f>
        <v>555.88745535769192</v>
      </c>
    </row>
    <row r="1445" spans="1:18" s="30" customFormat="1" ht="15" customHeight="1">
      <c r="A1445" s="46" t="s">
        <v>189</v>
      </c>
      <c r="B1445" s="26" t="s">
        <v>225</v>
      </c>
      <c r="C1445" s="65">
        <v>96</v>
      </c>
      <c r="D1445" s="51" t="s">
        <v>2189</v>
      </c>
      <c r="E1445" s="38" t="s">
        <v>3</v>
      </c>
      <c r="F1445" s="38" t="s">
        <v>13</v>
      </c>
      <c r="G1445" s="52">
        <v>24578415</v>
      </c>
      <c r="H1445" s="52">
        <v>2227822</v>
      </c>
      <c r="I1445" s="52"/>
      <c r="J1445" s="53">
        <f>+G1445-H1445+I1445</f>
        <v>22350593</v>
      </c>
      <c r="K1445" s="70">
        <v>0</v>
      </c>
      <c r="L1445" s="52">
        <v>0</v>
      </c>
      <c r="M1445" s="53">
        <f>+J1445+L1445</f>
        <v>22350593</v>
      </c>
      <c r="N1445" s="55" t="s">
        <v>2182</v>
      </c>
      <c r="O1445" s="56" t="s">
        <v>2190</v>
      </c>
      <c r="P1445" s="56">
        <v>44420</v>
      </c>
      <c r="Q1445" s="49">
        <v>29789.24</v>
      </c>
      <c r="R1445" s="57">
        <f>M1445/Q1445</f>
        <v>750.29080970175801</v>
      </c>
    </row>
    <row r="1446" spans="1:18" s="30" customFormat="1" ht="15" customHeight="1">
      <c r="A1446" s="37" t="s">
        <v>688</v>
      </c>
      <c r="B1446" s="26" t="s">
        <v>1728</v>
      </c>
      <c r="C1446" s="39">
        <v>96</v>
      </c>
      <c r="D1446" s="40" t="s">
        <v>2191</v>
      </c>
      <c r="E1446" s="38" t="s">
        <v>4</v>
      </c>
      <c r="F1446" s="38" t="s">
        <v>12</v>
      </c>
      <c r="G1446" s="32">
        <v>3476703.9999999995</v>
      </c>
      <c r="H1446" s="32">
        <v>0</v>
      </c>
      <c r="I1446" s="32">
        <v>15563295.999999998</v>
      </c>
      <c r="J1446" s="35">
        <f>+G1446-H1446+I1446</f>
        <v>19039999.999999996</v>
      </c>
      <c r="K1446" s="28">
        <v>0</v>
      </c>
      <c r="L1446" s="32">
        <v>0</v>
      </c>
      <c r="M1446" s="35">
        <f>+J1446+L1446</f>
        <v>19039999.999999996</v>
      </c>
      <c r="N1446" s="28" t="s">
        <v>1935</v>
      </c>
      <c r="O1446" s="29" t="s">
        <v>1936</v>
      </c>
      <c r="P1446" s="36">
        <v>42899</v>
      </c>
      <c r="Q1446" s="31">
        <v>26649.99</v>
      </c>
      <c r="R1446" s="33">
        <f>M1446/Q1446</f>
        <v>714.44679716577741</v>
      </c>
    </row>
    <row r="1447" spans="1:18" s="30" customFormat="1" ht="15" customHeight="1">
      <c r="A1447" s="37" t="s">
        <v>391</v>
      </c>
      <c r="B1447" s="26" t="s">
        <v>392</v>
      </c>
      <c r="C1447" s="39">
        <v>95</v>
      </c>
      <c r="D1447" s="40" t="s">
        <v>2192</v>
      </c>
      <c r="E1447" s="38" t="s">
        <v>3</v>
      </c>
      <c r="F1447" s="38" t="s">
        <v>10</v>
      </c>
      <c r="G1447" s="32">
        <v>7597723</v>
      </c>
      <c r="H1447" s="32">
        <v>0</v>
      </c>
      <c r="I1447" s="52">
        <v>0</v>
      </c>
      <c r="J1447" s="35">
        <f>+G1447-H1447+I1447</f>
        <v>7597723</v>
      </c>
      <c r="K1447" s="28">
        <v>0</v>
      </c>
      <c r="L1447" s="32">
        <v>0</v>
      </c>
      <c r="M1447" s="35">
        <f>+J1447+L1447</f>
        <v>7597723</v>
      </c>
      <c r="N1447" s="28" t="s">
        <v>2026</v>
      </c>
      <c r="O1447" s="29" t="s">
        <v>2027</v>
      </c>
      <c r="P1447" s="36">
        <v>43789</v>
      </c>
      <c r="Q1447" s="31">
        <v>28147.47</v>
      </c>
      <c r="R1447" s="33">
        <f>M1447/Q1447</f>
        <v>269.92560965514838</v>
      </c>
    </row>
    <row r="1448" spans="1:18" s="30" customFormat="1" ht="15" customHeight="1">
      <c r="A1448" s="37" t="s">
        <v>874</v>
      </c>
      <c r="B1448" s="26" t="s">
        <v>875</v>
      </c>
      <c r="C1448" s="39">
        <v>95</v>
      </c>
      <c r="D1448" s="40" t="s">
        <v>2193</v>
      </c>
      <c r="E1448" s="38" t="s">
        <v>3</v>
      </c>
      <c r="F1448" s="38" t="s">
        <v>11</v>
      </c>
      <c r="G1448" s="32">
        <v>49727938</v>
      </c>
      <c r="H1448" s="32">
        <v>0</v>
      </c>
      <c r="I1448" s="52">
        <v>0</v>
      </c>
      <c r="J1448" s="35">
        <f>+G1448-H1448+I1448</f>
        <v>49727938</v>
      </c>
      <c r="K1448" s="28">
        <v>0</v>
      </c>
      <c r="L1448" s="32">
        <v>0</v>
      </c>
      <c r="M1448" s="35">
        <f>+J1448+L1448</f>
        <v>49727938</v>
      </c>
      <c r="N1448" s="28" t="s">
        <v>2094</v>
      </c>
      <c r="O1448" s="29" t="s">
        <v>2095</v>
      </c>
      <c r="P1448" s="36">
        <v>44742</v>
      </c>
      <c r="Q1448" s="31">
        <v>33086.83</v>
      </c>
      <c r="R1448" s="33">
        <f>M1448/Q1448</f>
        <v>1502.952624956818</v>
      </c>
    </row>
    <row r="1449" spans="1:18" s="30" customFormat="1" ht="15" customHeight="1">
      <c r="A1449" s="37" t="s">
        <v>356</v>
      </c>
      <c r="B1449" s="26" t="s">
        <v>1540</v>
      </c>
      <c r="C1449" s="39">
        <v>95</v>
      </c>
      <c r="D1449" s="40" t="s">
        <v>2194</v>
      </c>
      <c r="E1449" s="38" t="s">
        <v>198</v>
      </c>
      <c r="F1449" s="38" t="s">
        <v>12</v>
      </c>
      <c r="G1449" s="32">
        <v>0</v>
      </c>
      <c r="H1449" s="32">
        <v>0</v>
      </c>
      <c r="I1449" s="32">
        <v>41000027</v>
      </c>
      <c r="J1449" s="35">
        <f>+G1449-H1449+I1449</f>
        <v>41000027</v>
      </c>
      <c r="K1449" s="28">
        <v>0</v>
      </c>
      <c r="L1449" s="32">
        <v>0</v>
      </c>
      <c r="M1449" s="35">
        <f>+J1449+L1449</f>
        <v>41000027</v>
      </c>
      <c r="N1449" s="28" t="s">
        <v>2035</v>
      </c>
      <c r="O1449" s="29" t="s">
        <v>2036</v>
      </c>
      <c r="P1449" s="36">
        <v>43081</v>
      </c>
      <c r="Q1449" s="31">
        <v>26781.73</v>
      </c>
      <c r="R1449" s="33">
        <f>M1449/Q1449</f>
        <v>1530.8953902529822</v>
      </c>
    </row>
    <row r="1450" spans="1:18" s="30" customFormat="1" ht="15" customHeight="1">
      <c r="A1450" s="37" t="s">
        <v>39</v>
      </c>
      <c r="B1450" s="26" t="s">
        <v>1658</v>
      </c>
      <c r="C1450" s="39">
        <v>95</v>
      </c>
      <c r="D1450" s="40" t="s">
        <v>2195</v>
      </c>
      <c r="E1450" s="38" t="s">
        <v>4</v>
      </c>
      <c r="F1450" s="38" t="s">
        <v>15</v>
      </c>
      <c r="G1450" s="32">
        <v>13264467</v>
      </c>
      <c r="H1450" s="32">
        <v>1799965</v>
      </c>
      <c r="I1450" s="32">
        <v>52364278.932599999</v>
      </c>
      <c r="J1450" s="35">
        <f>+G1450-H1450+I1450</f>
        <v>63828780.932599999</v>
      </c>
      <c r="K1450" s="28">
        <v>0</v>
      </c>
      <c r="L1450" s="32">
        <v>0</v>
      </c>
      <c r="M1450" s="35">
        <f>+J1450+L1450</f>
        <v>63828780.932599999</v>
      </c>
      <c r="N1450" s="28" t="s">
        <v>2120</v>
      </c>
      <c r="O1450" s="29" t="s">
        <v>2121</v>
      </c>
      <c r="P1450" s="36">
        <v>43448</v>
      </c>
      <c r="Q1450" s="31">
        <v>27565.79</v>
      </c>
      <c r="R1450" s="33">
        <f>M1450/Q1450</f>
        <v>2315.5070445142328</v>
      </c>
    </row>
    <row r="1451" spans="1:18" s="30" customFormat="1" ht="15" customHeight="1">
      <c r="A1451" s="37" t="s">
        <v>184</v>
      </c>
      <c r="B1451" s="26" t="s">
        <v>185</v>
      </c>
      <c r="C1451" s="39">
        <v>3</v>
      </c>
      <c r="D1451" s="40" t="s">
        <v>21</v>
      </c>
      <c r="E1451" s="38" t="s">
        <v>3</v>
      </c>
      <c r="F1451" s="38" t="s">
        <v>21</v>
      </c>
      <c r="G1451" s="32">
        <v>6237879</v>
      </c>
      <c r="H1451" s="32">
        <v>0</v>
      </c>
      <c r="I1451" s="52">
        <v>0</v>
      </c>
      <c r="J1451" s="35">
        <f>+G1451-H1451+I1451</f>
        <v>6237879</v>
      </c>
      <c r="K1451" s="27">
        <v>11</v>
      </c>
      <c r="L1451" s="32">
        <v>0</v>
      </c>
      <c r="M1451" s="35">
        <f>+J1451+L1451</f>
        <v>6237879</v>
      </c>
      <c r="N1451" s="28" t="s">
        <v>187</v>
      </c>
      <c r="O1451" s="29" t="s">
        <v>188</v>
      </c>
      <c r="P1451" s="36">
        <v>44166</v>
      </c>
      <c r="Q1451" s="31">
        <v>29036.92</v>
      </c>
      <c r="R1451" s="33">
        <f>M1451/Q1451</f>
        <v>214.82578042023741</v>
      </c>
    </row>
    <row r="1452" spans="1:18" s="30" customFormat="1" ht="15" customHeight="1">
      <c r="A1452" s="37" t="s">
        <v>874</v>
      </c>
      <c r="B1452" s="26" t="s">
        <v>875</v>
      </c>
      <c r="C1452" s="39">
        <v>99</v>
      </c>
      <c r="D1452" s="40" t="s">
        <v>2196</v>
      </c>
      <c r="E1452" s="38" t="s">
        <v>4</v>
      </c>
      <c r="F1452" s="38" t="s">
        <v>11</v>
      </c>
      <c r="G1452" s="32">
        <v>6242863</v>
      </c>
      <c r="H1452" s="32">
        <v>21664445</v>
      </c>
      <c r="I1452" s="32">
        <v>444859510</v>
      </c>
      <c r="J1452" s="35">
        <f>+G1452-H1452+I1452</f>
        <v>429437928</v>
      </c>
      <c r="K1452" s="27">
        <v>180</v>
      </c>
      <c r="L1452" s="32">
        <v>0</v>
      </c>
      <c r="M1452" s="35">
        <f>+J1452+L1452</f>
        <v>429437928</v>
      </c>
      <c r="N1452" s="28" t="s">
        <v>877</v>
      </c>
      <c r="O1452" s="29" t="s">
        <v>878</v>
      </c>
      <c r="P1452" s="36">
        <v>44902</v>
      </c>
      <c r="Q1452" s="31">
        <v>34852.33</v>
      </c>
      <c r="R1452" s="33">
        <f>M1452/Q1452</f>
        <v>12321.641852926332</v>
      </c>
    </row>
    <row r="1453" spans="1:18" s="30" customFormat="1" ht="15" customHeight="1">
      <c r="A1453" s="37" t="s">
        <v>52</v>
      </c>
      <c r="B1453" s="26" t="s">
        <v>555</v>
      </c>
      <c r="C1453" s="39">
        <v>95</v>
      </c>
      <c r="D1453" s="40" t="s">
        <v>2197</v>
      </c>
      <c r="E1453" s="38" t="s">
        <v>3</v>
      </c>
      <c r="F1453" s="38" t="s">
        <v>11</v>
      </c>
      <c r="G1453" s="32">
        <v>0</v>
      </c>
      <c r="H1453" s="32">
        <v>136564</v>
      </c>
      <c r="I1453" s="52">
        <v>0</v>
      </c>
      <c r="J1453" s="35">
        <f>+G1453-H1453+I1453</f>
        <v>-136564</v>
      </c>
      <c r="K1453" s="28">
        <v>0</v>
      </c>
      <c r="L1453" s="32">
        <v>0</v>
      </c>
      <c r="M1453" s="35">
        <f>+J1453+L1453</f>
        <v>-136564</v>
      </c>
      <c r="N1453" s="28" t="s">
        <v>2173</v>
      </c>
      <c r="O1453" s="29" t="s">
        <v>2174</v>
      </c>
      <c r="P1453" s="36">
        <v>43140</v>
      </c>
      <c r="Q1453" s="31">
        <v>26832.73</v>
      </c>
      <c r="R1453" s="33">
        <f>M1453/Q1453</f>
        <v>-5.0894560486391063</v>
      </c>
    </row>
    <row r="1454" spans="1:18" s="30" customFormat="1" ht="15" customHeight="1">
      <c r="A1454" s="46" t="s">
        <v>189</v>
      </c>
      <c r="B1454" s="26" t="s">
        <v>225</v>
      </c>
      <c r="C1454" s="65">
        <v>95</v>
      </c>
      <c r="D1454" s="51" t="s">
        <v>2198</v>
      </c>
      <c r="E1454" s="38" t="s">
        <v>3</v>
      </c>
      <c r="F1454" s="48" t="s">
        <v>10</v>
      </c>
      <c r="G1454" s="52">
        <v>3572586</v>
      </c>
      <c r="H1454" s="52">
        <v>0</v>
      </c>
      <c r="I1454" s="52">
        <v>487235</v>
      </c>
      <c r="J1454" s="53">
        <f>+G1454-H1454+I1454</f>
        <v>4059821</v>
      </c>
      <c r="K1454" s="70">
        <v>0</v>
      </c>
      <c r="L1454" s="52">
        <v>0</v>
      </c>
      <c r="M1454" s="53">
        <f>+J1454+L1454</f>
        <v>4059821</v>
      </c>
      <c r="N1454" s="55" t="s">
        <v>2182</v>
      </c>
      <c r="O1454" s="56" t="s">
        <v>2190</v>
      </c>
      <c r="P1454" s="56">
        <v>44420</v>
      </c>
      <c r="Q1454" s="49">
        <v>29789.24</v>
      </c>
      <c r="R1454" s="57">
        <f>M1454/Q1454</f>
        <v>136.28481290559947</v>
      </c>
    </row>
    <row r="1455" spans="1:18" ht="15" customHeight="1">
      <c r="A1455" s="37" t="s">
        <v>391</v>
      </c>
      <c r="B1455" s="26" t="s">
        <v>392</v>
      </c>
      <c r="C1455" s="39">
        <v>94</v>
      </c>
      <c r="D1455" s="40" t="s">
        <v>2199</v>
      </c>
      <c r="E1455" s="38" t="s">
        <v>3</v>
      </c>
      <c r="F1455" s="38" t="s">
        <v>10</v>
      </c>
      <c r="G1455" s="32">
        <v>2203750</v>
      </c>
      <c r="H1455" s="32">
        <v>5193352</v>
      </c>
      <c r="I1455" s="32">
        <v>1263073</v>
      </c>
      <c r="J1455" s="35">
        <f>+G1455-H1455+I1455</f>
        <v>-1726529</v>
      </c>
      <c r="K1455" s="28">
        <v>0</v>
      </c>
      <c r="L1455" s="32">
        <v>0</v>
      </c>
      <c r="M1455" s="35">
        <f>+J1455+L1455</f>
        <v>-1726529</v>
      </c>
      <c r="N1455" s="28" t="s">
        <v>2026</v>
      </c>
      <c r="O1455" s="29" t="s">
        <v>2027</v>
      </c>
      <c r="P1455" s="36">
        <v>43789</v>
      </c>
      <c r="Q1455" s="31">
        <v>28147.47</v>
      </c>
      <c r="R1455" s="33">
        <f>M1455/Q1455</f>
        <v>-61.338692251914644</v>
      </c>
    </row>
    <row r="1456" spans="1:18" ht="15" customHeight="1">
      <c r="A1456" s="37" t="s">
        <v>874</v>
      </c>
      <c r="B1456" s="26" t="s">
        <v>875</v>
      </c>
      <c r="C1456" s="39">
        <v>94</v>
      </c>
      <c r="D1456" s="40" t="s">
        <v>2200</v>
      </c>
      <c r="E1456" s="38" t="s">
        <v>3</v>
      </c>
      <c r="F1456" s="38" t="s">
        <v>10</v>
      </c>
      <c r="G1456" s="32">
        <v>0</v>
      </c>
      <c r="H1456" s="32">
        <v>0</v>
      </c>
      <c r="I1456" s="32">
        <v>1130095840</v>
      </c>
      <c r="J1456" s="35">
        <f>+G1456-H1456+I1456</f>
        <v>1130095840</v>
      </c>
      <c r="K1456" s="28">
        <v>0</v>
      </c>
      <c r="L1456" s="32">
        <v>0</v>
      </c>
      <c r="M1456" s="35">
        <f>+J1456+L1456</f>
        <v>1130095840</v>
      </c>
      <c r="N1456" s="28" t="s">
        <v>2094</v>
      </c>
      <c r="O1456" s="29" t="s">
        <v>2095</v>
      </c>
      <c r="P1456" s="36">
        <v>44742</v>
      </c>
      <c r="Q1456" s="31">
        <v>33086.83</v>
      </c>
      <c r="R1456" s="33">
        <f>M1456/Q1456</f>
        <v>34155.45822915039</v>
      </c>
    </row>
    <row r="1457" spans="1:18" ht="15" customHeight="1">
      <c r="A1457" s="37" t="s">
        <v>356</v>
      </c>
      <c r="B1457" s="26" t="s">
        <v>1841</v>
      </c>
      <c r="C1457" s="39">
        <v>94</v>
      </c>
      <c r="D1457" s="40" t="s">
        <v>2201</v>
      </c>
      <c r="E1457" s="38" t="s">
        <v>6</v>
      </c>
      <c r="F1457" s="38" t="s">
        <v>13</v>
      </c>
      <c r="G1457" s="32">
        <v>1570649</v>
      </c>
      <c r="H1457" s="32">
        <v>0</v>
      </c>
      <c r="I1457" s="32">
        <v>185120</v>
      </c>
      <c r="J1457" s="35">
        <f>+G1457-H1457+I1457</f>
        <v>1755769</v>
      </c>
      <c r="K1457" s="28">
        <v>0</v>
      </c>
      <c r="L1457" s="32">
        <v>0</v>
      </c>
      <c r="M1457" s="35">
        <f>+J1457+L1457</f>
        <v>1755769</v>
      </c>
      <c r="N1457" s="28" t="s">
        <v>2155</v>
      </c>
      <c r="O1457" s="29" t="s">
        <v>2156</v>
      </c>
      <c r="P1457" s="36">
        <v>44308</v>
      </c>
      <c r="Q1457" s="31">
        <v>29462.75</v>
      </c>
      <c r="R1457" s="33">
        <f>M1457/Q1457</f>
        <v>59.592841808724579</v>
      </c>
    </row>
    <row r="1458" spans="1:18" ht="15" customHeight="1">
      <c r="A1458" s="37" t="s">
        <v>356</v>
      </c>
      <c r="B1458" s="26" t="s">
        <v>1540</v>
      </c>
      <c r="C1458" s="39">
        <v>94</v>
      </c>
      <c r="D1458" s="40" t="s">
        <v>2202</v>
      </c>
      <c r="E1458" s="38" t="s">
        <v>3</v>
      </c>
      <c r="F1458" s="38" t="s">
        <v>15</v>
      </c>
      <c r="G1458" s="32">
        <v>0</v>
      </c>
      <c r="H1458" s="32">
        <v>0</v>
      </c>
      <c r="I1458" s="32">
        <v>209762997.04097858</v>
      </c>
      <c r="J1458" s="35">
        <f>+G1458-H1458+I1458</f>
        <v>209762997.04097858</v>
      </c>
      <c r="K1458" s="28">
        <v>0</v>
      </c>
      <c r="L1458" s="32">
        <v>0</v>
      </c>
      <c r="M1458" s="35">
        <f>+J1458+L1458</f>
        <v>209762997.04097858</v>
      </c>
      <c r="N1458" s="28" t="s">
        <v>2203</v>
      </c>
      <c r="O1458" s="29" t="s">
        <v>2204</v>
      </c>
      <c r="P1458" s="36">
        <v>42984</v>
      </c>
      <c r="Q1458" s="31">
        <v>26614.39</v>
      </c>
      <c r="R1458" s="33">
        <f>M1458/Q1458</f>
        <v>7881.5632085115831</v>
      </c>
    </row>
    <row r="1459" spans="1:18" ht="15" customHeight="1">
      <c r="A1459" s="37" t="s">
        <v>39</v>
      </c>
      <c r="B1459" s="26" t="s">
        <v>1658</v>
      </c>
      <c r="C1459" s="39">
        <v>94</v>
      </c>
      <c r="D1459" s="40" t="s">
        <v>2205</v>
      </c>
      <c r="E1459" s="38" t="s">
        <v>4</v>
      </c>
      <c r="F1459" s="38" t="s">
        <v>13</v>
      </c>
      <c r="G1459" s="32">
        <v>213567145</v>
      </c>
      <c r="H1459" s="32">
        <v>174007664</v>
      </c>
      <c r="I1459" s="32">
        <v>95856</v>
      </c>
      <c r="J1459" s="35">
        <f>+G1459-H1459+I1459</f>
        <v>39655337</v>
      </c>
      <c r="K1459" s="28">
        <v>0</v>
      </c>
      <c r="L1459" s="32">
        <v>0</v>
      </c>
      <c r="M1459" s="35">
        <f>+J1459+L1459</f>
        <v>39655337</v>
      </c>
      <c r="N1459" s="28" t="s">
        <v>2120</v>
      </c>
      <c r="O1459" s="29" t="s">
        <v>2121</v>
      </c>
      <c r="P1459" s="36">
        <v>43448</v>
      </c>
      <c r="Q1459" s="31">
        <v>27565.79</v>
      </c>
      <c r="R1459" s="33">
        <f>M1459/Q1459</f>
        <v>1438.5706703852854</v>
      </c>
    </row>
    <row r="1460" spans="1:18" ht="15" customHeight="1">
      <c r="A1460" s="37" t="s">
        <v>52</v>
      </c>
      <c r="B1460" s="26" t="s">
        <v>555</v>
      </c>
      <c r="C1460" s="39">
        <v>94</v>
      </c>
      <c r="D1460" s="40" t="s">
        <v>2206</v>
      </c>
      <c r="E1460" s="38" t="s">
        <v>3</v>
      </c>
      <c r="F1460" s="38" t="s">
        <v>11</v>
      </c>
      <c r="G1460" s="32">
        <v>125506</v>
      </c>
      <c r="H1460" s="32">
        <v>0</v>
      </c>
      <c r="I1460" s="32">
        <v>2802477</v>
      </c>
      <c r="J1460" s="35">
        <f>+G1460-H1460+I1460</f>
        <v>2927983</v>
      </c>
      <c r="K1460" s="28">
        <v>0</v>
      </c>
      <c r="L1460" s="32">
        <v>0</v>
      </c>
      <c r="M1460" s="35">
        <f>+J1460+L1460</f>
        <v>2927983</v>
      </c>
      <c r="N1460" s="28" t="s">
        <v>2173</v>
      </c>
      <c r="O1460" s="29" t="s">
        <v>2174</v>
      </c>
      <c r="P1460" s="36">
        <v>43140</v>
      </c>
      <c r="Q1460" s="31">
        <v>26832.73</v>
      </c>
      <c r="R1460" s="33">
        <f>M1460/Q1460</f>
        <v>109.11983238380888</v>
      </c>
    </row>
    <row r="1461" spans="1:18" ht="15" customHeight="1">
      <c r="A1461" s="37" t="s">
        <v>293</v>
      </c>
      <c r="B1461" s="26" t="s">
        <v>294</v>
      </c>
      <c r="C1461" s="39">
        <v>93</v>
      </c>
      <c r="D1461" s="40" t="s">
        <v>2207</v>
      </c>
      <c r="E1461" s="38" t="s">
        <v>3</v>
      </c>
      <c r="F1461" s="38" t="s">
        <v>12</v>
      </c>
      <c r="G1461" s="32">
        <v>318795</v>
      </c>
      <c r="H1461" s="32">
        <v>0</v>
      </c>
      <c r="I1461" s="32">
        <v>4018268</v>
      </c>
      <c r="J1461" s="35">
        <f>+G1461-H1461+I1461</f>
        <v>4337063</v>
      </c>
      <c r="K1461" s="28">
        <v>0</v>
      </c>
      <c r="L1461" s="32">
        <v>0</v>
      </c>
      <c r="M1461" s="35">
        <f>+J1461+L1461</f>
        <v>4337063</v>
      </c>
      <c r="N1461" s="28" t="s">
        <v>1537</v>
      </c>
      <c r="O1461" s="29" t="s">
        <v>1538</v>
      </c>
      <c r="P1461" s="36">
        <v>43914</v>
      </c>
      <c r="Q1461" s="31">
        <v>28331.86</v>
      </c>
      <c r="R1461" s="33">
        <f>M1461/Q1461</f>
        <v>153.08077196484805</v>
      </c>
    </row>
    <row r="1462" spans="1:18" ht="15" customHeight="1">
      <c r="A1462" s="37" t="s">
        <v>874</v>
      </c>
      <c r="B1462" s="26" t="s">
        <v>875</v>
      </c>
      <c r="C1462" s="39">
        <v>93</v>
      </c>
      <c r="D1462" s="40" t="s">
        <v>2208</v>
      </c>
      <c r="E1462" s="38" t="s">
        <v>4</v>
      </c>
      <c r="F1462" s="38" t="s">
        <v>12</v>
      </c>
      <c r="G1462" s="32">
        <v>0</v>
      </c>
      <c r="H1462" s="32">
        <v>14074170</v>
      </c>
      <c r="I1462" s="32">
        <v>871555512</v>
      </c>
      <c r="J1462" s="35">
        <f>+G1462-H1462+I1462</f>
        <v>857481342</v>
      </c>
      <c r="K1462" s="28">
        <v>0</v>
      </c>
      <c r="L1462" s="32">
        <v>0</v>
      </c>
      <c r="M1462" s="35">
        <f>+J1462+L1462</f>
        <v>857481342</v>
      </c>
      <c r="N1462" s="28" t="s">
        <v>2094</v>
      </c>
      <c r="O1462" s="29" t="s">
        <v>2095</v>
      </c>
      <c r="P1462" s="36">
        <v>44742</v>
      </c>
      <c r="Q1462" s="31">
        <v>33086.83</v>
      </c>
      <c r="R1462" s="33">
        <f>M1462/Q1462</f>
        <v>25916.09235457129</v>
      </c>
    </row>
    <row r="1463" spans="1:18" ht="15" customHeight="1">
      <c r="A1463" s="37" t="s">
        <v>356</v>
      </c>
      <c r="B1463" s="26" t="s">
        <v>1540</v>
      </c>
      <c r="C1463" s="39">
        <v>93</v>
      </c>
      <c r="D1463" s="40" t="s">
        <v>2209</v>
      </c>
      <c r="E1463" s="38" t="s">
        <v>198</v>
      </c>
      <c r="F1463" s="38" t="s">
        <v>11</v>
      </c>
      <c r="G1463" s="32">
        <v>150014529</v>
      </c>
      <c r="H1463" s="32">
        <v>8154961</v>
      </c>
      <c r="I1463" s="32">
        <v>149866923</v>
      </c>
      <c r="J1463" s="35">
        <f>+G1463-H1463+I1463</f>
        <v>291726491</v>
      </c>
      <c r="K1463" s="28">
        <v>0</v>
      </c>
      <c r="L1463" s="32">
        <v>0</v>
      </c>
      <c r="M1463" s="35">
        <f>+J1463+L1463</f>
        <v>291726491</v>
      </c>
      <c r="N1463" s="28" t="s">
        <v>2035</v>
      </c>
      <c r="O1463" s="29" t="s">
        <v>2036</v>
      </c>
      <c r="P1463" s="36">
        <v>43081</v>
      </c>
      <c r="Q1463" s="31">
        <v>26781.73</v>
      </c>
      <c r="R1463" s="33">
        <f>M1463/Q1463</f>
        <v>10892.742589817761</v>
      </c>
    </row>
    <row r="1464" spans="1:18" ht="15" customHeight="1">
      <c r="A1464" s="37" t="s">
        <v>39</v>
      </c>
      <c r="B1464" s="26" t="s">
        <v>1658</v>
      </c>
      <c r="C1464" s="39">
        <v>93</v>
      </c>
      <c r="D1464" s="40" t="s">
        <v>2210</v>
      </c>
      <c r="E1464" s="38" t="s">
        <v>4</v>
      </c>
      <c r="F1464" s="38" t="s">
        <v>20</v>
      </c>
      <c r="G1464" s="32">
        <v>22475923</v>
      </c>
      <c r="H1464" s="32">
        <v>35810650</v>
      </c>
      <c r="I1464" s="52">
        <v>0</v>
      </c>
      <c r="J1464" s="35">
        <f>+G1464-H1464+I1464</f>
        <v>-13334727</v>
      </c>
      <c r="K1464" s="28">
        <v>0</v>
      </c>
      <c r="L1464" s="32">
        <v>0</v>
      </c>
      <c r="M1464" s="35">
        <f>+J1464+L1464</f>
        <v>-13334727</v>
      </c>
      <c r="N1464" s="28" t="s">
        <v>2120</v>
      </c>
      <c r="O1464" s="29" t="s">
        <v>2121</v>
      </c>
      <c r="P1464" s="36">
        <v>43448</v>
      </c>
      <c r="Q1464" s="31">
        <v>27565.79</v>
      </c>
      <c r="R1464" s="33">
        <f>M1464/Q1464</f>
        <v>-483.74187716005963</v>
      </c>
    </row>
    <row r="1465" spans="1:18" ht="15" customHeight="1">
      <c r="A1465" s="46" t="s">
        <v>189</v>
      </c>
      <c r="B1465" s="26" t="s">
        <v>225</v>
      </c>
      <c r="C1465" s="65">
        <v>93</v>
      </c>
      <c r="D1465" s="51" t="s">
        <v>2211</v>
      </c>
      <c r="E1465" s="38" t="s">
        <v>3</v>
      </c>
      <c r="F1465" s="48" t="s">
        <v>10</v>
      </c>
      <c r="G1465" s="52">
        <v>5281508</v>
      </c>
      <c r="H1465" s="52">
        <v>2305705</v>
      </c>
      <c r="I1465" s="52">
        <v>0</v>
      </c>
      <c r="J1465" s="53">
        <f>+G1465-H1465+I1465</f>
        <v>2975803</v>
      </c>
      <c r="K1465" s="70">
        <v>0</v>
      </c>
      <c r="L1465" s="52">
        <v>0</v>
      </c>
      <c r="M1465" s="53">
        <f>+J1465+L1465</f>
        <v>2975803</v>
      </c>
      <c r="N1465" s="55" t="s">
        <v>2182</v>
      </c>
      <c r="O1465" s="56" t="s">
        <v>2190</v>
      </c>
      <c r="P1465" s="56">
        <v>44420</v>
      </c>
      <c r="Q1465" s="49">
        <v>29789.24</v>
      </c>
      <c r="R1465" s="57">
        <f>M1465/Q1465</f>
        <v>99.895230626897487</v>
      </c>
    </row>
    <row r="1466" spans="1:18" ht="15" customHeight="1">
      <c r="A1466" s="37" t="s">
        <v>688</v>
      </c>
      <c r="B1466" s="26" t="s">
        <v>1728</v>
      </c>
      <c r="C1466" s="39">
        <v>93</v>
      </c>
      <c r="D1466" s="40" t="s">
        <v>2212</v>
      </c>
      <c r="E1466" s="38" t="s">
        <v>4</v>
      </c>
      <c r="F1466" s="38" t="s">
        <v>20</v>
      </c>
      <c r="G1466" s="32">
        <v>0</v>
      </c>
      <c r="H1466" s="32">
        <v>0</v>
      </c>
      <c r="I1466" s="32">
        <v>1595020</v>
      </c>
      <c r="J1466" s="35">
        <f>+G1466-H1466+I1466</f>
        <v>1595020</v>
      </c>
      <c r="K1466" s="28">
        <v>0</v>
      </c>
      <c r="L1466" s="32">
        <v>0</v>
      </c>
      <c r="M1466" s="35">
        <f>+J1466+L1466</f>
        <v>1595020</v>
      </c>
      <c r="N1466" s="28" t="s">
        <v>1935</v>
      </c>
      <c r="O1466" s="29" t="s">
        <v>1936</v>
      </c>
      <c r="P1466" s="36">
        <v>42899</v>
      </c>
      <c r="Q1466" s="31">
        <v>26649.99</v>
      </c>
      <c r="R1466" s="33">
        <f>M1466/Q1466</f>
        <v>59.850679118453698</v>
      </c>
    </row>
    <row r="1467" spans="1:18" ht="15" customHeight="1">
      <c r="A1467" s="37" t="s">
        <v>293</v>
      </c>
      <c r="B1467" s="26" t="s">
        <v>294</v>
      </c>
      <c r="C1467" s="39">
        <v>92</v>
      </c>
      <c r="D1467" s="40" t="s">
        <v>2213</v>
      </c>
      <c r="E1467" s="38" t="s">
        <v>3</v>
      </c>
      <c r="F1467" s="38" t="s">
        <v>12</v>
      </c>
      <c r="G1467" s="32">
        <v>712558</v>
      </c>
      <c r="H1467" s="32">
        <v>0</v>
      </c>
      <c r="I1467" s="32">
        <v>8179555</v>
      </c>
      <c r="J1467" s="35">
        <f>+G1467-H1467+I1467</f>
        <v>8892113</v>
      </c>
      <c r="K1467" s="28">
        <v>0</v>
      </c>
      <c r="L1467" s="32">
        <v>0</v>
      </c>
      <c r="M1467" s="35">
        <f>+J1467+L1467</f>
        <v>8892113</v>
      </c>
      <c r="N1467" s="28" t="s">
        <v>1567</v>
      </c>
      <c r="O1467" s="29" t="s">
        <v>1568</v>
      </c>
      <c r="P1467" s="36">
        <v>43886</v>
      </c>
      <c r="Q1467" s="31">
        <v>28440.19</v>
      </c>
      <c r="R1467" s="33">
        <f>M1467/Q1467</f>
        <v>312.66011232695706</v>
      </c>
    </row>
    <row r="1468" spans="1:18" ht="15" customHeight="1">
      <c r="A1468" s="37" t="s">
        <v>356</v>
      </c>
      <c r="B1468" s="26" t="s">
        <v>1841</v>
      </c>
      <c r="C1468" s="39">
        <v>92</v>
      </c>
      <c r="D1468" s="40" t="s">
        <v>2214</v>
      </c>
      <c r="E1468" s="38" t="s">
        <v>6</v>
      </c>
      <c r="F1468" s="38" t="s">
        <v>13</v>
      </c>
      <c r="G1468" s="32">
        <v>755751</v>
      </c>
      <c r="H1468" s="32">
        <v>0</v>
      </c>
      <c r="I1468" s="32">
        <v>48444</v>
      </c>
      <c r="J1468" s="35">
        <f>+G1468-H1468+I1468</f>
        <v>804195</v>
      </c>
      <c r="K1468" s="28">
        <v>0</v>
      </c>
      <c r="L1468" s="32">
        <v>0</v>
      </c>
      <c r="M1468" s="35">
        <f>+J1468+L1468</f>
        <v>804195</v>
      </c>
      <c r="N1468" s="28" t="s">
        <v>2155</v>
      </c>
      <c r="O1468" s="29" t="s">
        <v>2156</v>
      </c>
      <c r="P1468" s="36">
        <v>44308</v>
      </c>
      <c r="Q1468" s="31">
        <v>29462.75</v>
      </c>
      <c r="R1468" s="33">
        <f>M1468/Q1468</f>
        <v>27.295313573919611</v>
      </c>
    </row>
    <row r="1469" spans="1:18" ht="15" customHeight="1">
      <c r="A1469" s="37" t="s">
        <v>356</v>
      </c>
      <c r="B1469" s="26" t="s">
        <v>1540</v>
      </c>
      <c r="C1469" s="39">
        <v>92</v>
      </c>
      <c r="D1469" s="40" t="s">
        <v>2215</v>
      </c>
      <c r="E1469" s="38" t="s">
        <v>4</v>
      </c>
      <c r="F1469" s="38" t="s">
        <v>11</v>
      </c>
      <c r="G1469" s="32">
        <v>75689362</v>
      </c>
      <c r="H1469" s="32">
        <v>6522858</v>
      </c>
      <c r="I1469" s="32">
        <v>115143825</v>
      </c>
      <c r="J1469" s="35">
        <f>+G1469-H1469+I1469</f>
        <v>184310329</v>
      </c>
      <c r="K1469" s="28">
        <v>0</v>
      </c>
      <c r="L1469" s="32">
        <v>0</v>
      </c>
      <c r="M1469" s="35">
        <f>+J1469+L1469</f>
        <v>184310329</v>
      </c>
      <c r="N1469" s="28" t="s">
        <v>2035</v>
      </c>
      <c r="O1469" s="29" t="s">
        <v>2036</v>
      </c>
      <c r="P1469" s="36">
        <v>43081</v>
      </c>
      <c r="Q1469" s="31">
        <v>26781.73</v>
      </c>
      <c r="R1469" s="33">
        <f>M1469/Q1469</f>
        <v>6881.9426153575596</v>
      </c>
    </row>
    <row r="1470" spans="1:18" ht="15" customHeight="1">
      <c r="A1470" s="37" t="s">
        <v>39</v>
      </c>
      <c r="B1470" s="26" t="s">
        <v>1658</v>
      </c>
      <c r="C1470" s="39">
        <v>92</v>
      </c>
      <c r="D1470" s="40" t="s">
        <v>2216</v>
      </c>
      <c r="E1470" s="38" t="s">
        <v>4</v>
      </c>
      <c r="F1470" s="38" t="s">
        <v>11</v>
      </c>
      <c r="G1470" s="32">
        <v>0</v>
      </c>
      <c r="H1470" s="32">
        <v>1218051614.925215</v>
      </c>
      <c r="I1470" s="32">
        <v>1071316119.764907</v>
      </c>
      <c r="J1470" s="35">
        <f>+G1470-H1470+I1470</f>
        <v>-146735495.160308</v>
      </c>
      <c r="K1470" s="28">
        <v>0</v>
      </c>
      <c r="L1470" s="32">
        <v>0</v>
      </c>
      <c r="M1470" s="35">
        <f>+J1470+L1470</f>
        <v>-146735495.160308</v>
      </c>
      <c r="N1470" s="28" t="s">
        <v>2120</v>
      </c>
      <c r="O1470" s="29" t="s">
        <v>2121</v>
      </c>
      <c r="P1470" s="36">
        <v>43448</v>
      </c>
      <c r="Q1470" s="31">
        <v>27565.79</v>
      </c>
      <c r="R1470" s="33">
        <f>M1470/Q1470</f>
        <v>-5323.1013934412185</v>
      </c>
    </row>
    <row r="1471" spans="1:18" s="30" customFormat="1" ht="15" customHeight="1">
      <c r="A1471" s="46" t="s">
        <v>189</v>
      </c>
      <c r="B1471" s="26" t="s">
        <v>225</v>
      </c>
      <c r="C1471" s="65">
        <v>92</v>
      </c>
      <c r="D1471" s="51" t="s">
        <v>2217</v>
      </c>
      <c r="E1471" s="38" t="s">
        <v>3</v>
      </c>
      <c r="F1471" s="48" t="s">
        <v>10</v>
      </c>
      <c r="G1471" s="52">
        <v>7310097</v>
      </c>
      <c r="H1471" s="52">
        <v>0</v>
      </c>
      <c r="I1471" s="52">
        <v>0</v>
      </c>
      <c r="J1471" s="53">
        <f>+G1471-H1471+I1471</f>
        <v>7310097</v>
      </c>
      <c r="K1471" s="70">
        <v>0</v>
      </c>
      <c r="L1471" s="52">
        <v>0</v>
      </c>
      <c r="M1471" s="53">
        <f>+J1471+L1471</f>
        <v>7310097</v>
      </c>
      <c r="N1471" s="55" t="s">
        <v>2182</v>
      </c>
      <c r="O1471" s="56" t="s">
        <v>2190</v>
      </c>
      <c r="P1471" s="56">
        <v>44420</v>
      </c>
      <c r="Q1471" s="49">
        <v>29789.24</v>
      </c>
      <c r="R1471" s="57">
        <f>M1471/Q1471</f>
        <v>245.39387376112984</v>
      </c>
    </row>
    <row r="1472" spans="1:18" s="30" customFormat="1" ht="15" customHeight="1">
      <c r="A1472" s="37" t="s">
        <v>391</v>
      </c>
      <c r="B1472" s="26" t="s">
        <v>392</v>
      </c>
      <c r="C1472" s="39">
        <v>91</v>
      </c>
      <c r="D1472" s="40" t="s">
        <v>2218</v>
      </c>
      <c r="E1472" s="38" t="s">
        <v>3</v>
      </c>
      <c r="F1472" s="38" t="s">
        <v>13</v>
      </c>
      <c r="G1472" s="32">
        <v>19965488</v>
      </c>
      <c r="H1472" s="32">
        <v>0</v>
      </c>
      <c r="I1472" s="32">
        <v>1736935</v>
      </c>
      <c r="J1472" s="35">
        <f>+G1472-H1472+I1472</f>
        <v>21702423</v>
      </c>
      <c r="K1472" s="28">
        <v>0</v>
      </c>
      <c r="L1472" s="32">
        <v>0</v>
      </c>
      <c r="M1472" s="35">
        <f>+J1472+L1472</f>
        <v>21702423</v>
      </c>
      <c r="N1472" s="28" t="s">
        <v>2026</v>
      </c>
      <c r="O1472" s="29" t="s">
        <v>2027</v>
      </c>
      <c r="P1472" s="36">
        <v>43789</v>
      </c>
      <c r="Q1472" s="31">
        <v>28147.47</v>
      </c>
      <c r="R1472" s="33">
        <f>M1472/Q1472</f>
        <v>771.02570852726728</v>
      </c>
    </row>
    <row r="1473" spans="1:18" s="30" customFormat="1" ht="15" customHeight="1">
      <c r="A1473" s="37" t="s">
        <v>293</v>
      </c>
      <c r="B1473" s="26" t="s">
        <v>294</v>
      </c>
      <c r="C1473" s="39">
        <v>91</v>
      </c>
      <c r="D1473" s="40" t="s">
        <v>2219</v>
      </c>
      <c r="E1473" s="38" t="s">
        <v>3</v>
      </c>
      <c r="F1473" s="38" t="s">
        <v>12</v>
      </c>
      <c r="G1473" s="32">
        <v>435592</v>
      </c>
      <c r="H1473" s="32">
        <v>0</v>
      </c>
      <c r="I1473" s="32">
        <v>7392891</v>
      </c>
      <c r="J1473" s="35">
        <f>+G1473-H1473+I1473</f>
        <v>7828483</v>
      </c>
      <c r="K1473" s="28">
        <v>0</v>
      </c>
      <c r="L1473" s="32">
        <v>0</v>
      </c>
      <c r="M1473" s="35">
        <f>+J1473+L1473</f>
        <v>7828483</v>
      </c>
      <c r="N1473" s="28" t="s">
        <v>1354</v>
      </c>
      <c r="O1473" s="29" t="s">
        <v>1355</v>
      </c>
      <c r="P1473" s="36">
        <v>44335</v>
      </c>
      <c r="Q1473" s="31">
        <v>29567.53</v>
      </c>
      <c r="R1473" s="33">
        <f>M1473/Q1473</f>
        <v>264.76621483093112</v>
      </c>
    </row>
    <row r="1474" spans="1:18" s="30" customFormat="1" ht="15" customHeight="1">
      <c r="A1474" s="37" t="s">
        <v>356</v>
      </c>
      <c r="B1474" s="26" t="s">
        <v>1841</v>
      </c>
      <c r="C1474" s="39">
        <v>91</v>
      </c>
      <c r="D1474" s="40" t="s">
        <v>2220</v>
      </c>
      <c r="E1474" s="38" t="s">
        <v>3</v>
      </c>
      <c r="F1474" s="38" t="s">
        <v>13</v>
      </c>
      <c r="G1474" s="32">
        <v>1384342</v>
      </c>
      <c r="H1474" s="32">
        <v>205302</v>
      </c>
      <c r="I1474" s="32">
        <v>419048</v>
      </c>
      <c r="J1474" s="35">
        <f>+G1474-H1474+I1474</f>
        <v>1598088</v>
      </c>
      <c r="K1474" s="28">
        <v>0</v>
      </c>
      <c r="L1474" s="32">
        <v>0</v>
      </c>
      <c r="M1474" s="35">
        <f>+J1474+L1474</f>
        <v>1598088</v>
      </c>
      <c r="N1474" s="28" t="s">
        <v>2155</v>
      </c>
      <c r="O1474" s="29" t="s">
        <v>2156</v>
      </c>
      <c r="P1474" s="36">
        <v>44308</v>
      </c>
      <c r="Q1474" s="31">
        <v>29462.75</v>
      </c>
      <c r="R1474" s="33">
        <f>M1474/Q1474</f>
        <v>54.240965286675547</v>
      </c>
    </row>
    <row r="1475" spans="1:18" s="30" customFormat="1" ht="15" customHeight="1">
      <c r="A1475" s="37" t="s">
        <v>356</v>
      </c>
      <c r="B1475" s="26" t="s">
        <v>1540</v>
      </c>
      <c r="C1475" s="39">
        <v>91</v>
      </c>
      <c r="D1475" s="40" t="s">
        <v>2221</v>
      </c>
      <c r="E1475" s="38" t="s">
        <v>3</v>
      </c>
      <c r="F1475" s="38" t="s">
        <v>15</v>
      </c>
      <c r="G1475" s="32">
        <v>0</v>
      </c>
      <c r="H1475" s="32">
        <v>0</v>
      </c>
      <c r="I1475" s="32">
        <v>14416986</v>
      </c>
      <c r="J1475" s="35">
        <f>+G1475-H1475+I1475</f>
        <v>14416986</v>
      </c>
      <c r="K1475" s="28">
        <v>0</v>
      </c>
      <c r="L1475" s="32">
        <v>0</v>
      </c>
      <c r="M1475" s="35">
        <f>+J1475+L1475</f>
        <v>14416986</v>
      </c>
      <c r="N1475" s="28" t="s">
        <v>2203</v>
      </c>
      <c r="O1475" s="29" t="s">
        <v>2204</v>
      </c>
      <c r="P1475" s="36">
        <v>42984</v>
      </c>
      <c r="Q1475" s="31">
        <v>26614.39</v>
      </c>
      <c r="R1475" s="33">
        <f>M1475/Q1475</f>
        <v>541.69890799676421</v>
      </c>
    </row>
    <row r="1476" spans="1:18" s="30" customFormat="1" ht="15" customHeight="1">
      <c r="A1476" s="37" t="s">
        <v>39</v>
      </c>
      <c r="B1476" s="26" t="s">
        <v>1658</v>
      </c>
      <c r="C1476" s="39">
        <v>91</v>
      </c>
      <c r="D1476" s="40" t="s">
        <v>2222</v>
      </c>
      <c r="E1476" s="38" t="s">
        <v>4</v>
      </c>
      <c r="F1476" s="38" t="s">
        <v>11</v>
      </c>
      <c r="G1476" s="32">
        <v>0</v>
      </c>
      <c r="H1476" s="32">
        <v>864779545</v>
      </c>
      <c r="I1476" s="32">
        <v>863900543.54325199</v>
      </c>
      <c r="J1476" s="35">
        <f>+G1476-H1476+I1476</f>
        <v>-879001.45674800873</v>
      </c>
      <c r="K1476" s="28">
        <v>0</v>
      </c>
      <c r="L1476" s="32">
        <v>0</v>
      </c>
      <c r="M1476" s="35">
        <f>+J1476+L1476</f>
        <v>-879001.45674800873</v>
      </c>
      <c r="N1476" s="28" t="s">
        <v>2120</v>
      </c>
      <c r="O1476" s="29" t="s">
        <v>2121</v>
      </c>
      <c r="P1476" s="36">
        <v>43448</v>
      </c>
      <c r="Q1476" s="31">
        <v>27565.79</v>
      </c>
      <c r="R1476" s="33">
        <f>M1476/Q1476</f>
        <v>-31.887403072721977</v>
      </c>
    </row>
    <row r="1477" spans="1:18" s="30" customFormat="1" ht="15" customHeight="1">
      <c r="A1477" s="37" t="s">
        <v>52</v>
      </c>
      <c r="B1477" s="26" t="s">
        <v>555</v>
      </c>
      <c r="C1477" s="39">
        <v>91</v>
      </c>
      <c r="D1477" s="40" t="s">
        <v>2223</v>
      </c>
      <c r="E1477" s="38" t="s">
        <v>3</v>
      </c>
      <c r="F1477" s="38" t="s">
        <v>11</v>
      </c>
      <c r="G1477" s="32">
        <v>0</v>
      </c>
      <c r="H1477" s="32">
        <v>153452</v>
      </c>
      <c r="I1477" s="52">
        <v>0</v>
      </c>
      <c r="J1477" s="35">
        <f>+G1477-H1477+I1477</f>
        <v>-153452</v>
      </c>
      <c r="K1477" s="28">
        <v>0</v>
      </c>
      <c r="L1477" s="32">
        <v>0</v>
      </c>
      <c r="M1477" s="35">
        <f>+J1477+L1477</f>
        <v>-153452</v>
      </c>
      <c r="N1477" s="28" t="s">
        <v>2173</v>
      </c>
      <c r="O1477" s="29" t="s">
        <v>2174</v>
      </c>
      <c r="P1477" s="36">
        <v>43140</v>
      </c>
      <c r="Q1477" s="31">
        <v>26832.73</v>
      </c>
      <c r="R1477" s="33">
        <f>M1477/Q1477</f>
        <v>-5.7188366595571898</v>
      </c>
    </row>
    <row r="1478" spans="1:18" s="30" customFormat="1" ht="15" customHeight="1">
      <c r="A1478" s="37" t="s">
        <v>391</v>
      </c>
      <c r="B1478" s="26" t="s">
        <v>392</v>
      </c>
      <c r="C1478" s="39">
        <v>117</v>
      </c>
      <c r="D1478" s="40" t="s">
        <v>2224</v>
      </c>
      <c r="E1478" s="38" t="s">
        <v>3</v>
      </c>
      <c r="F1478" s="38" t="s">
        <v>11</v>
      </c>
      <c r="G1478" s="32">
        <v>6642178</v>
      </c>
      <c r="H1478" s="32">
        <v>0</v>
      </c>
      <c r="I1478" s="32">
        <v>1319981</v>
      </c>
      <c r="J1478" s="35">
        <f>+G1478-H1478+I1478</f>
        <v>7962159</v>
      </c>
      <c r="K1478" s="27"/>
      <c r="L1478" s="32">
        <v>0</v>
      </c>
      <c r="M1478" s="35">
        <f>+J1478+L1478</f>
        <v>7962159</v>
      </c>
      <c r="N1478" s="28" t="s">
        <v>481</v>
      </c>
      <c r="O1478" s="29" t="s">
        <v>482</v>
      </c>
      <c r="P1478" s="36">
        <v>44130</v>
      </c>
      <c r="Q1478" s="31">
        <v>28810.82</v>
      </c>
      <c r="R1478" s="33">
        <f>M1478/Q1478</f>
        <v>276.36002723976617</v>
      </c>
    </row>
    <row r="1479" spans="1:18" s="30" customFormat="1" ht="15" customHeight="1">
      <c r="A1479" s="37" t="s">
        <v>688</v>
      </c>
      <c r="B1479" s="26" t="s">
        <v>1728</v>
      </c>
      <c r="C1479" s="39">
        <v>91</v>
      </c>
      <c r="D1479" s="40" t="s">
        <v>2225</v>
      </c>
      <c r="E1479" s="38" t="s">
        <v>4</v>
      </c>
      <c r="F1479" s="38" t="s">
        <v>12</v>
      </c>
      <c r="G1479" s="32">
        <v>2402086.4</v>
      </c>
      <c r="H1479" s="32">
        <v>0</v>
      </c>
      <c r="I1479" s="52">
        <v>0</v>
      </c>
      <c r="J1479" s="35">
        <f>+G1479-H1479+I1479</f>
        <v>2402086.4</v>
      </c>
      <c r="K1479" s="28">
        <v>0</v>
      </c>
      <c r="L1479" s="32">
        <v>0</v>
      </c>
      <c r="M1479" s="35">
        <f>+J1479+L1479</f>
        <v>2402086.4</v>
      </c>
      <c r="N1479" s="28" t="s">
        <v>1935</v>
      </c>
      <c r="O1479" s="29" t="s">
        <v>1936</v>
      </c>
      <c r="P1479" s="36">
        <v>42899</v>
      </c>
      <c r="Q1479" s="31">
        <v>26649.99</v>
      </c>
      <c r="R1479" s="33">
        <f>M1479/Q1479</f>
        <v>90.134607930434484</v>
      </c>
    </row>
    <row r="1480" spans="1:18" s="30" customFormat="1" ht="15" customHeight="1">
      <c r="A1480" s="37" t="s">
        <v>391</v>
      </c>
      <c r="B1480" s="26" t="s">
        <v>392</v>
      </c>
      <c r="C1480" s="39">
        <v>90</v>
      </c>
      <c r="D1480" s="40" t="s">
        <v>2226</v>
      </c>
      <c r="E1480" s="38" t="s">
        <v>3</v>
      </c>
      <c r="F1480" s="38" t="s">
        <v>20</v>
      </c>
      <c r="G1480" s="32">
        <v>0</v>
      </c>
      <c r="H1480" s="32">
        <v>0</v>
      </c>
      <c r="I1480" s="32">
        <v>232211</v>
      </c>
      <c r="J1480" s="35">
        <f>+G1480-H1480+I1480</f>
        <v>232211</v>
      </c>
      <c r="K1480" s="28">
        <v>0</v>
      </c>
      <c r="L1480" s="32">
        <v>0</v>
      </c>
      <c r="M1480" s="35">
        <f>+J1480+L1480</f>
        <v>232211</v>
      </c>
      <c r="N1480" s="28" t="s">
        <v>2026</v>
      </c>
      <c r="O1480" s="29" t="s">
        <v>2027</v>
      </c>
      <c r="P1480" s="36">
        <v>43789</v>
      </c>
      <c r="Q1480" s="31">
        <v>28147.47</v>
      </c>
      <c r="R1480" s="33">
        <f>M1480/Q1480</f>
        <v>8.2498000708411805</v>
      </c>
    </row>
    <row r="1481" spans="1:18" s="30" customFormat="1" ht="15" customHeight="1">
      <c r="A1481" s="37" t="s">
        <v>293</v>
      </c>
      <c r="B1481" s="26" t="s">
        <v>294</v>
      </c>
      <c r="C1481" s="39">
        <v>90</v>
      </c>
      <c r="D1481" s="40" t="s">
        <v>2227</v>
      </c>
      <c r="E1481" s="38" t="s">
        <v>3</v>
      </c>
      <c r="F1481" s="38" t="s">
        <v>12</v>
      </c>
      <c r="G1481" s="32">
        <v>98441</v>
      </c>
      <c r="H1481" s="32">
        <v>0</v>
      </c>
      <c r="I1481" s="32">
        <v>7936438</v>
      </c>
      <c r="J1481" s="35">
        <f>+G1481-H1481+I1481</f>
        <v>8034879</v>
      </c>
      <c r="K1481" s="28">
        <v>0</v>
      </c>
      <c r="L1481" s="32">
        <v>0</v>
      </c>
      <c r="M1481" s="35">
        <f>+J1481+L1481</f>
        <v>8034879</v>
      </c>
      <c r="N1481" s="28" t="s">
        <v>1567</v>
      </c>
      <c r="O1481" s="29" t="s">
        <v>1568</v>
      </c>
      <c r="P1481" s="36">
        <v>43886</v>
      </c>
      <c r="Q1481" s="31">
        <v>28440.19</v>
      </c>
      <c r="R1481" s="33">
        <f>M1481/Q1481</f>
        <v>282.51847121977738</v>
      </c>
    </row>
    <row r="1482" spans="1:18" s="30" customFormat="1" ht="15" customHeight="1">
      <c r="A1482" s="37" t="s">
        <v>356</v>
      </c>
      <c r="B1482" s="26" t="s">
        <v>1841</v>
      </c>
      <c r="C1482" s="39">
        <v>90</v>
      </c>
      <c r="D1482" s="40" t="s">
        <v>2228</v>
      </c>
      <c r="E1482" s="38" t="s">
        <v>6</v>
      </c>
      <c r="F1482" s="38" t="s">
        <v>11</v>
      </c>
      <c r="G1482" s="32">
        <v>2164286</v>
      </c>
      <c r="H1482" s="32">
        <v>0</v>
      </c>
      <c r="I1482" s="32">
        <v>506689</v>
      </c>
      <c r="J1482" s="35">
        <f>+G1482-H1482+I1482</f>
        <v>2670975</v>
      </c>
      <c r="K1482" s="28">
        <v>0</v>
      </c>
      <c r="L1482" s="32">
        <v>0</v>
      </c>
      <c r="M1482" s="35">
        <f>+J1482+L1482</f>
        <v>2670975</v>
      </c>
      <c r="N1482" s="28" t="s">
        <v>2155</v>
      </c>
      <c r="O1482" s="29" t="s">
        <v>2156</v>
      </c>
      <c r="P1482" s="36">
        <v>44308</v>
      </c>
      <c r="Q1482" s="31">
        <v>29462.75</v>
      </c>
      <c r="R1482" s="33">
        <f>M1482/Q1482</f>
        <v>90.655997827765574</v>
      </c>
    </row>
    <row r="1483" spans="1:18" s="30" customFormat="1" ht="15" customHeight="1">
      <c r="A1483" s="37" t="s">
        <v>356</v>
      </c>
      <c r="B1483" s="26" t="s">
        <v>1540</v>
      </c>
      <c r="C1483" s="39">
        <v>90</v>
      </c>
      <c r="D1483" s="40" t="s">
        <v>2229</v>
      </c>
      <c r="E1483" s="38" t="s">
        <v>3</v>
      </c>
      <c r="F1483" s="38" t="s">
        <v>10</v>
      </c>
      <c r="G1483" s="32">
        <v>12569927.79934456</v>
      </c>
      <c r="H1483" s="32">
        <v>0</v>
      </c>
      <c r="I1483" s="32">
        <v>102482595</v>
      </c>
      <c r="J1483" s="35">
        <f>+G1483-H1483+I1483</f>
        <v>115052522.79934455</v>
      </c>
      <c r="K1483" s="28">
        <v>0</v>
      </c>
      <c r="L1483" s="32">
        <v>0</v>
      </c>
      <c r="M1483" s="35">
        <f>+J1483+L1483</f>
        <v>115052522.79934455</v>
      </c>
      <c r="N1483" s="28" t="s">
        <v>2203</v>
      </c>
      <c r="O1483" s="29" t="s">
        <v>2204</v>
      </c>
      <c r="P1483" s="36">
        <v>42984</v>
      </c>
      <c r="Q1483" s="31">
        <v>26614.39</v>
      </c>
      <c r="R1483" s="33">
        <f>M1483/Q1483</f>
        <v>4322.9441967050361</v>
      </c>
    </row>
    <row r="1484" spans="1:18" s="30" customFormat="1" ht="15" customHeight="1">
      <c r="A1484" s="37" t="s">
        <v>39</v>
      </c>
      <c r="B1484" s="26" t="s">
        <v>1658</v>
      </c>
      <c r="C1484" s="39">
        <v>90</v>
      </c>
      <c r="D1484" s="40" t="s">
        <v>2230</v>
      </c>
      <c r="E1484" s="38" t="s">
        <v>4</v>
      </c>
      <c r="F1484" s="38" t="s">
        <v>11</v>
      </c>
      <c r="G1484" s="32">
        <v>3685969532.5281</v>
      </c>
      <c r="H1484" s="32">
        <v>3685969532.5281</v>
      </c>
      <c r="I1484" s="52">
        <v>0</v>
      </c>
      <c r="J1484" s="35">
        <f>+G1484-H1484+I1484</f>
        <v>0</v>
      </c>
      <c r="K1484" s="28">
        <v>0</v>
      </c>
      <c r="L1484" s="32">
        <v>0</v>
      </c>
      <c r="M1484" s="35">
        <f>+J1484+L1484</f>
        <v>0</v>
      </c>
      <c r="N1484" s="28" t="s">
        <v>2120</v>
      </c>
      <c r="O1484" s="29" t="s">
        <v>2121</v>
      </c>
      <c r="P1484" s="36">
        <v>43448</v>
      </c>
      <c r="Q1484" s="31">
        <v>27565.79</v>
      </c>
      <c r="R1484" s="33">
        <f>M1484/Q1484</f>
        <v>0</v>
      </c>
    </row>
    <row r="1485" spans="1:18" s="30" customFormat="1" ht="15" customHeight="1">
      <c r="A1485" s="37" t="s">
        <v>52</v>
      </c>
      <c r="B1485" s="26" t="s">
        <v>555</v>
      </c>
      <c r="C1485" s="39">
        <v>90</v>
      </c>
      <c r="D1485" s="40" t="s">
        <v>2231</v>
      </c>
      <c r="E1485" s="38" t="s">
        <v>3</v>
      </c>
      <c r="F1485" s="38" t="s">
        <v>11</v>
      </c>
      <c r="G1485" s="32">
        <v>0</v>
      </c>
      <c r="H1485" s="32">
        <v>6453684</v>
      </c>
      <c r="I1485" s="52">
        <v>0</v>
      </c>
      <c r="J1485" s="35">
        <f>+G1485-H1485+I1485</f>
        <v>-6453684</v>
      </c>
      <c r="K1485" s="28">
        <v>0</v>
      </c>
      <c r="L1485" s="32">
        <v>0</v>
      </c>
      <c r="M1485" s="35">
        <f>+J1485+L1485</f>
        <v>-6453684</v>
      </c>
      <c r="N1485" s="28" t="s">
        <v>2173</v>
      </c>
      <c r="O1485" s="29" t="s">
        <v>2174</v>
      </c>
      <c r="P1485" s="36">
        <v>43140</v>
      </c>
      <c r="Q1485" s="31">
        <v>26832.73</v>
      </c>
      <c r="R1485" s="33">
        <f>M1485/Q1485</f>
        <v>-240.51537059404691</v>
      </c>
    </row>
    <row r="1486" spans="1:18" s="30" customFormat="1" ht="15" customHeight="1">
      <c r="A1486" s="37" t="s">
        <v>293</v>
      </c>
      <c r="B1486" s="26" t="s">
        <v>294</v>
      </c>
      <c r="C1486" s="39">
        <v>89</v>
      </c>
      <c r="D1486" s="40" t="s">
        <v>2232</v>
      </c>
      <c r="E1486" s="38" t="s">
        <v>3</v>
      </c>
      <c r="F1486" s="38" t="s">
        <v>12</v>
      </c>
      <c r="G1486" s="32">
        <v>541423</v>
      </c>
      <c r="H1486" s="32">
        <v>0</v>
      </c>
      <c r="I1486" s="32">
        <v>8179304</v>
      </c>
      <c r="J1486" s="35">
        <f>+G1486-H1486+I1486</f>
        <v>8720727</v>
      </c>
      <c r="K1486" s="28">
        <v>0</v>
      </c>
      <c r="L1486" s="32">
        <v>0</v>
      </c>
      <c r="M1486" s="35">
        <f>+J1486+L1486</f>
        <v>8720727</v>
      </c>
      <c r="N1486" s="28" t="s">
        <v>1567</v>
      </c>
      <c r="O1486" s="29" t="s">
        <v>1568</v>
      </c>
      <c r="P1486" s="36">
        <v>43886</v>
      </c>
      <c r="Q1486" s="31">
        <v>28440.19</v>
      </c>
      <c r="R1486" s="33">
        <f>M1486/Q1486</f>
        <v>306.6339219252755</v>
      </c>
    </row>
    <row r="1487" spans="1:18" s="30" customFormat="1" ht="15" customHeight="1">
      <c r="A1487" s="37" t="s">
        <v>52</v>
      </c>
      <c r="B1487" s="26" t="s">
        <v>53</v>
      </c>
      <c r="C1487" s="39" t="s">
        <v>2233</v>
      </c>
      <c r="D1487" s="40" t="s">
        <v>2234</v>
      </c>
      <c r="E1487" s="38" t="s">
        <v>6</v>
      </c>
      <c r="F1487" s="38" t="s">
        <v>11</v>
      </c>
      <c r="G1487" s="32">
        <v>6795065.4100000001</v>
      </c>
      <c r="H1487" s="32">
        <v>10795878.73</v>
      </c>
      <c r="I1487" s="32">
        <v>5959954.3499999996</v>
      </c>
      <c r="J1487" s="35">
        <f>+G1487-H1487+I1487</f>
        <v>1959141.0299999993</v>
      </c>
      <c r="K1487" s="27">
        <v>63</v>
      </c>
      <c r="L1487" s="32">
        <v>0</v>
      </c>
      <c r="M1487" s="35">
        <f>+J1487+L1487</f>
        <v>1959141.0299999993</v>
      </c>
      <c r="N1487" s="28" t="s">
        <v>56</v>
      </c>
      <c r="O1487" s="29" t="s">
        <v>57</v>
      </c>
      <c r="P1487" s="36">
        <v>42884</v>
      </c>
      <c r="Q1487" s="31">
        <v>26627.55</v>
      </c>
      <c r="R1487" s="33">
        <f>M1487/Q1487</f>
        <v>73.57571500194345</v>
      </c>
    </row>
    <row r="1488" spans="1:18" s="30" customFormat="1" ht="15" customHeight="1">
      <c r="A1488" s="37" t="s">
        <v>874</v>
      </c>
      <c r="B1488" s="26" t="s">
        <v>875</v>
      </c>
      <c r="C1488" s="39">
        <v>89</v>
      </c>
      <c r="D1488" s="40" t="s">
        <v>2235</v>
      </c>
      <c r="E1488" s="38" t="s">
        <v>3</v>
      </c>
      <c r="F1488" s="38" t="s">
        <v>10</v>
      </c>
      <c r="G1488" s="32">
        <v>10370463</v>
      </c>
      <c r="H1488" s="32"/>
      <c r="I1488" s="32"/>
      <c r="J1488" s="35">
        <f>+G1488-H1488+I1488</f>
        <v>10370463</v>
      </c>
      <c r="K1488" s="28">
        <v>0</v>
      </c>
      <c r="L1488" s="32">
        <v>0</v>
      </c>
      <c r="M1488" s="35">
        <f>+J1488+L1488</f>
        <v>10370463</v>
      </c>
      <c r="N1488" s="28" t="s">
        <v>2048</v>
      </c>
      <c r="O1488" s="29" t="s">
        <v>2049</v>
      </c>
      <c r="P1488" s="36">
        <v>44379</v>
      </c>
      <c r="Q1488" s="31">
        <v>29716</v>
      </c>
      <c r="R1488" s="33">
        <v>348.99</v>
      </c>
    </row>
    <row r="1489" spans="1:18" s="30" customFormat="1" ht="15" customHeight="1">
      <c r="A1489" s="37" t="s">
        <v>356</v>
      </c>
      <c r="B1489" s="26" t="s">
        <v>1841</v>
      </c>
      <c r="C1489" s="39">
        <v>89</v>
      </c>
      <c r="D1489" s="40" t="s">
        <v>2236</v>
      </c>
      <c r="E1489" s="38" t="s">
        <v>3</v>
      </c>
      <c r="F1489" s="38" t="s">
        <v>11</v>
      </c>
      <c r="G1489" s="32">
        <v>0</v>
      </c>
      <c r="H1489" s="32">
        <v>0</v>
      </c>
      <c r="I1489" s="32">
        <v>6453638</v>
      </c>
      <c r="J1489" s="35">
        <f>+G1489-H1489+I1489</f>
        <v>6453638</v>
      </c>
      <c r="K1489" s="28">
        <v>0</v>
      </c>
      <c r="L1489" s="32">
        <v>0</v>
      </c>
      <c r="M1489" s="35">
        <f>+J1489+L1489</f>
        <v>6453638</v>
      </c>
      <c r="N1489" s="28" t="s">
        <v>2155</v>
      </c>
      <c r="O1489" s="29" t="s">
        <v>2156</v>
      </c>
      <c r="P1489" s="36">
        <v>44308</v>
      </c>
      <c r="Q1489" s="31">
        <v>29462.75</v>
      </c>
      <c r="R1489" s="33">
        <f>M1489/Q1489</f>
        <v>219.0439792619494</v>
      </c>
    </row>
    <row r="1490" spans="1:18" s="30" customFormat="1" ht="15" customHeight="1">
      <c r="A1490" s="37" t="s">
        <v>356</v>
      </c>
      <c r="B1490" s="26" t="s">
        <v>1540</v>
      </c>
      <c r="C1490" s="39">
        <v>89</v>
      </c>
      <c r="D1490" s="40" t="s">
        <v>2237</v>
      </c>
      <c r="E1490" s="38" t="s">
        <v>3</v>
      </c>
      <c r="F1490" s="38" t="s">
        <v>10</v>
      </c>
      <c r="G1490" s="32">
        <v>0</v>
      </c>
      <c r="H1490" s="32">
        <v>0</v>
      </c>
      <c r="I1490" s="32">
        <v>36125862</v>
      </c>
      <c r="J1490" s="35">
        <f>+G1490-H1490+I1490</f>
        <v>36125862</v>
      </c>
      <c r="K1490" s="28">
        <v>0</v>
      </c>
      <c r="L1490" s="32">
        <v>0</v>
      </c>
      <c r="M1490" s="35">
        <f>+J1490+L1490</f>
        <v>36125862</v>
      </c>
      <c r="N1490" s="28" t="s">
        <v>2203</v>
      </c>
      <c r="O1490" s="29" t="s">
        <v>2204</v>
      </c>
      <c r="P1490" s="36">
        <v>42984</v>
      </c>
      <c r="Q1490" s="31">
        <v>26614.39</v>
      </c>
      <c r="R1490" s="33">
        <f>M1490/Q1490</f>
        <v>1357.3808003865579</v>
      </c>
    </row>
    <row r="1491" spans="1:18" s="30" customFormat="1" ht="15" customHeight="1">
      <c r="A1491" s="37" t="s">
        <v>874</v>
      </c>
      <c r="B1491" s="26" t="s">
        <v>875</v>
      </c>
      <c r="C1491" s="39">
        <v>147</v>
      </c>
      <c r="D1491" s="40" t="s">
        <v>2238</v>
      </c>
      <c r="E1491" s="38" t="s">
        <v>3</v>
      </c>
      <c r="F1491" s="38" t="s">
        <v>20</v>
      </c>
      <c r="G1491" s="32">
        <v>6961062</v>
      </c>
      <c r="H1491" s="32">
        <v>0</v>
      </c>
      <c r="I1491" s="32">
        <v>62885406</v>
      </c>
      <c r="J1491" s="35">
        <f>+G1491-H1491+I1491</f>
        <v>69846468</v>
      </c>
      <c r="K1491" s="27">
        <v>105</v>
      </c>
      <c r="L1491" s="32">
        <v>0</v>
      </c>
      <c r="M1491" s="35">
        <f>+J1491+L1491</f>
        <v>69846468</v>
      </c>
      <c r="N1491" s="28" t="s">
        <v>877</v>
      </c>
      <c r="O1491" s="29" t="s">
        <v>878</v>
      </c>
      <c r="P1491" s="36">
        <v>44902</v>
      </c>
      <c r="Q1491" s="31">
        <v>34852.33</v>
      </c>
      <c r="R1491" s="33">
        <f>M1491/Q1491</f>
        <v>2004.0688240929658</v>
      </c>
    </row>
    <row r="1492" spans="1:18" s="30" customFormat="1" ht="15" customHeight="1">
      <c r="A1492" s="37" t="s">
        <v>39</v>
      </c>
      <c r="B1492" s="26" t="s">
        <v>1658</v>
      </c>
      <c r="C1492" s="39">
        <v>89</v>
      </c>
      <c r="D1492" s="40" t="s">
        <v>2239</v>
      </c>
      <c r="E1492" s="38" t="s">
        <v>4</v>
      </c>
      <c r="F1492" s="38" t="s">
        <v>15</v>
      </c>
      <c r="G1492" s="32">
        <v>5663429</v>
      </c>
      <c r="H1492" s="32">
        <v>0</v>
      </c>
      <c r="I1492" s="32">
        <v>1537256</v>
      </c>
      <c r="J1492" s="35">
        <f>+G1492-H1492+I1492</f>
        <v>7200685</v>
      </c>
      <c r="K1492" s="28">
        <v>0</v>
      </c>
      <c r="L1492" s="32">
        <v>0</v>
      </c>
      <c r="M1492" s="35">
        <f>+J1492+L1492</f>
        <v>7200685</v>
      </c>
      <c r="N1492" s="28" t="s">
        <v>2151</v>
      </c>
      <c r="O1492" s="29" t="s">
        <v>2152</v>
      </c>
      <c r="P1492" s="36">
        <v>43448</v>
      </c>
      <c r="Q1492" s="31">
        <v>27565.79</v>
      </c>
      <c r="R1492" s="33">
        <f>M1492/Q1492</f>
        <v>261.21816207698021</v>
      </c>
    </row>
    <row r="1493" spans="1:18" s="30" customFormat="1" ht="15" customHeight="1">
      <c r="A1493" s="37" t="s">
        <v>52</v>
      </c>
      <c r="B1493" s="26" t="s">
        <v>555</v>
      </c>
      <c r="C1493" s="39">
        <v>89</v>
      </c>
      <c r="D1493" s="40" t="s">
        <v>2240</v>
      </c>
      <c r="E1493" s="38" t="s">
        <v>3</v>
      </c>
      <c r="F1493" s="38" t="s">
        <v>11</v>
      </c>
      <c r="G1493" s="32">
        <v>0</v>
      </c>
      <c r="H1493" s="32">
        <v>17046195</v>
      </c>
      <c r="I1493" s="52">
        <v>0</v>
      </c>
      <c r="J1493" s="35">
        <f>+G1493-H1493+I1493</f>
        <v>-17046195</v>
      </c>
      <c r="K1493" s="28">
        <v>0</v>
      </c>
      <c r="L1493" s="32">
        <v>0</v>
      </c>
      <c r="M1493" s="35">
        <f>+J1493+L1493</f>
        <v>-17046195</v>
      </c>
      <c r="N1493" s="28" t="s">
        <v>2173</v>
      </c>
      <c r="O1493" s="29" t="s">
        <v>2174</v>
      </c>
      <c r="P1493" s="36">
        <v>43140</v>
      </c>
      <c r="Q1493" s="31">
        <v>26832.73</v>
      </c>
      <c r="R1493" s="33">
        <f>M1493/Q1493</f>
        <v>-635.27620931601075</v>
      </c>
    </row>
    <row r="1494" spans="1:18" s="30" customFormat="1" ht="15" customHeight="1">
      <c r="A1494" s="37" t="s">
        <v>688</v>
      </c>
      <c r="B1494" s="26" t="s">
        <v>1728</v>
      </c>
      <c r="C1494" s="39">
        <v>89</v>
      </c>
      <c r="D1494" s="40" t="s">
        <v>2241</v>
      </c>
      <c r="E1494" s="38" t="s">
        <v>4</v>
      </c>
      <c r="F1494" s="38" t="s">
        <v>12</v>
      </c>
      <c r="G1494" s="32">
        <v>0</v>
      </c>
      <c r="H1494" s="32">
        <v>2196454.3999999999</v>
      </c>
      <c r="I1494" s="32">
        <v>11536290.304</v>
      </c>
      <c r="J1494" s="35">
        <f>+G1494-H1494+I1494</f>
        <v>9339835.9039999992</v>
      </c>
      <c r="K1494" s="28">
        <v>0</v>
      </c>
      <c r="L1494" s="32">
        <v>0</v>
      </c>
      <c r="M1494" s="35">
        <f>+J1494+L1494</f>
        <v>9339835.9039999992</v>
      </c>
      <c r="N1494" s="28" t="s">
        <v>1935</v>
      </c>
      <c r="O1494" s="29" t="s">
        <v>1936</v>
      </c>
      <c r="P1494" s="36">
        <v>42899</v>
      </c>
      <c r="Q1494" s="31">
        <v>26649.99</v>
      </c>
      <c r="R1494" s="33">
        <f>M1494/Q1494</f>
        <v>350.46301720938726</v>
      </c>
    </row>
    <row r="1495" spans="1:18" s="30" customFormat="1" ht="15" customHeight="1">
      <c r="A1495" s="37" t="s">
        <v>391</v>
      </c>
      <c r="B1495" s="26" t="s">
        <v>392</v>
      </c>
      <c r="C1495" s="39">
        <v>88</v>
      </c>
      <c r="D1495" s="40" t="s">
        <v>2242</v>
      </c>
      <c r="E1495" s="38" t="s">
        <v>4</v>
      </c>
      <c r="F1495" s="38" t="s">
        <v>10</v>
      </c>
      <c r="G1495" s="32">
        <v>0</v>
      </c>
      <c r="H1495" s="32">
        <v>0</v>
      </c>
      <c r="I1495" s="32">
        <v>3827811</v>
      </c>
      <c r="J1495" s="35">
        <f>+G1495-H1495+I1495</f>
        <v>3827811</v>
      </c>
      <c r="K1495" s="28">
        <v>0</v>
      </c>
      <c r="L1495" s="32">
        <v>0</v>
      </c>
      <c r="M1495" s="35">
        <f>+J1495+L1495</f>
        <v>3827811</v>
      </c>
      <c r="N1495" s="28" t="s">
        <v>2026</v>
      </c>
      <c r="O1495" s="29" t="s">
        <v>2027</v>
      </c>
      <c r="P1495" s="36">
        <v>43789</v>
      </c>
      <c r="Q1495" s="31">
        <v>28147.47</v>
      </c>
      <c r="R1495" s="33">
        <f>M1495/Q1495</f>
        <v>135.99129868510383</v>
      </c>
    </row>
    <row r="1496" spans="1:18" s="30" customFormat="1" ht="15" customHeight="1">
      <c r="A1496" s="37" t="s">
        <v>356</v>
      </c>
      <c r="B1496" s="26" t="s">
        <v>1841</v>
      </c>
      <c r="C1496" s="39">
        <v>88</v>
      </c>
      <c r="D1496" s="40" t="s">
        <v>2243</v>
      </c>
      <c r="E1496" s="38" t="s">
        <v>3</v>
      </c>
      <c r="F1496" s="38" t="s">
        <v>11</v>
      </c>
      <c r="G1496" s="32">
        <v>1331886</v>
      </c>
      <c r="H1496" s="32">
        <v>0</v>
      </c>
      <c r="I1496" s="32">
        <v>396360</v>
      </c>
      <c r="J1496" s="35">
        <f>+G1496-H1496+I1496</f>
        <v>1728246</v>
      </c>
      <c r="K1496" s="28">
        <v>0</v>
      </c>
      <c r="L1496" s="32">
        <v>0</v>
      </c>
      <c r="M1496" s="35">
        <f>+J1496+L1496</f>
        <v>1728246</v>
      </c>
      <c r="N1496" s="28" t="s">
        <v>2155</v>
      </c>
      <c r="O1496" s="29" t="s">
        <v>2156</v>
      </c>
      <c r="P1496" s="36">
        <v>44308</v>
      </c>
      <c r="Q1496" s="31">
        <v>29462.75</v>
      </c>
      <c r="R1496" s="33">
        <f>M1496/Q1496</f>
        <v>58.658679179642093</v>
      </c>
    </row>
    <row r="1497" spans="1:18" s="30" customFormat="1" ht="15" customHeight="1">
      <c r="A1497" s="37" t="s">
        <v>293</v>
      </c>
      <c r="B1497" s="26" t="s">
        <v>294</v>
      </c>
      <c r="C1497" s="39">
        <v>471</v>
      </c>
      <c r="D1497" s="40" t="s">
        <v>2244</v>
      </c>
      <c r="E1497" s="38" t="s">
        <v>3</v>
      </c>
      <c r="F1497" s="38" t="s">
        <v>296</v>
      </c>
      <c r="G1497" s="32">
        <v>7084702</v>
      </c>
      <c r="H1497" s="32">
        <v>0</v>
      </c>
      <c r="I1497" s="52">
        <v>0</v>
      </c>
      <c r="J1497" s="35">
        <f>+G1497-H1497+I1497</f>
        <v>7084702</v>
      </c>
      <c r="K1497" s="27" t="s">
        <v>297</v>
      </c>
      <c r="L1497" s="32">
        <v>0</v>
      </c>
      <c r="M1497" s="35">
        <f>+J1497+L1497</f>
        <v>7084702</v>
      </c>
      <c r="N1497" s="55" t="s">
        <v>298</v>
      </c>
      <c r="O1497" s="56" t="s">
        <v>299</v>
      </c>
      <c r="P1497" s="56">
        <v>44502</v>
      </c>
      <c r="Q1497" s="49">
        <v>30403.919999999998</v>
      </c>
      <c r="R1497" s="57">
        <f>+M1497/Q1497</f>
        <v>233.01936066138842</v>
      </c>
    </row>
    <row r="1498" spans="1:18" s="30" customFormat="1" ht="15" customHeight="1">
      <c r="A1498" s="37" t="s">
        <v>356</v>
      </c>
      <c r="B1498" s="26" t="s">
        <v>1540</v>
      </c>
      <c r="C1498" s="39">
        <v>88</v>
      </c>
      <c r="D1498" s="40" t="s">
        <v>2245</v>
      </c>
      <c r="E1498" s="38" t="s">
        <v>3</v>
      </c>
      <c r="F1498" s="38" t="s">
        <v>11</v>
      </c>
      <c r="G1498" s="32">
        <v>0</v>
      </c>
      <c r="H1498" s="32">
        <v>0</v>
      </c>
      <c r="I1498" s="32">
        <v>40931607</v>
      </c>
      <c r="J1498" s="35">
        <f>+G1498-H1498+I1498</f>
        <v>40931607</v>
      </c>
      <c r="K1498" s="28">
        <v>0</v>
      </c>
      <c r="L1498" s="32">
        <v>0</v>
      </c>
      <c r="M1498" s="35">
        <f>+J1498+L1498</f>
        <v>40931607</v>
      </c>
      <c r="N1498" s="28" t="s">
        <v>2203</v>
      </c>
      <c r="O1498" s="29" t="s">
        <v>2204</v>
      </c>
      <c r="P1498" s="36">
        <v>42984</v>
      </c>
      <c r="Q1498" s="31">
        <v>26614.39</v>
      </c>
      <c r="R1498" s="33">
        <f>M1498/Q1498</f>
        <v>1537.9502216657982</v>
      </c>
    </row>
    <row r="1499" spans="1:18" s="30" customFormat="1" ht="15" customHeight="1">
      <c r="A1499" s="37" t="s">
        <v>39</v>
      </c>
      <c r="B1499" s="26" t="s">
        <v>1658</v>
      </c>
      <c r="C1499" s="39">
        <v>88</v>
      </c>
      <c r="D1499" s="40" t="s">
        <v>2246</v>
      </c>
      <c r="E1499" s="38" t="s">
        <v>3</v>
      </c>
      <c r="F1499" s="38" t="s">
        <v>15</v>
      </c>
      <c r="G1499" s="32">
        <v>19693858.9208703</v>
      </c>
      <c r="H1499" s="32">
        <v>0</v>
      </c>
      <c r="I1499" s="52">
        <v>0</v>
      </c>
      <c r="J1499" s="35">
        <f>+G1499-H1499+I1499</f>
        <v>19693858.9208703</v>
      </c>
      <c r="K1499" s="28">
        <v>0</v>
      </c>
      <c r="L1499" s="32">
        <v>0</v>
      </c>
      <c r="M1499" s="35">
        <f>+J1499+L1499</f>
        <v>19693858.9208703</v>
      </c>
      <c r="N1499" s="28" t="s">
        <v>2120</v>
      </c>
      <c r="O1499" s="29" t="s">
        <v>2121</v>
      </c>
      <c r="P1499" s="36">
        <v>43448</v>
      </c>
      <c r="Q1499" s="31">
        <v>27565.79</v>
      </c>
      <c r="R1499" s="33">
        <f>M1499/Q1499</f>
        <v>714.43114530257617</v>
      </c>
    </row>
    <row r="1500" spans="1:18" s="30" customFormat="1" ht="15" customHeight="1">
      <c r="A1500" s="37" t="s">
        <v>52</v>
      </c>
      <c r="B1500" s="26" t="s">
        <v>555</v>
      </c>
      <c r="C1500" s="39">
        <v>88</v>
      </c>
      <c r="D1500" s="40" t="s">
        <v>2247</v>
      </c>
      <c r="E1500" s="38" t="s">
        <v>3</v>
      </c>
      <c r="F1500" s="38" t="s">
        <v>11</v>
      </c>
      <c r="G1500" s="32">
        <v>19571519</v>
      </c>
      <c r="H1500" s="32">
        <v>0</v>
      </c>
      <c r="I1500" s="32">
        <v>1594220</v>
      </c>
      <c r="J1500" s="35">
        <f>+G1500-H1500+I1500</f>
        <v>21165739</v>
      </c>
      <c r="K1500" s="28">
        <v>0</v>
      </c>
      <c r="L1500" s="32">
        <v>0</v>
      </c>
      <c r="M1500" s="35">
        <f>+J1500+L1500</f>
        <v>21165739</v>
      </c>
      <c r="N1500" s="28" t="s">
        <v>2173</v>
      </c>
      <c r="O1500" s="29" t="s">
        <v>2174</v>
      </c>
      <c r="P1500" s="36">
        <v>43140</v>
      </c>
      <c r="Q1500" s="31">
        <v>26832.73</v>
      </c>
      <c r="R1500" s="33">
        <f>M1500/Q1500</f>
        <v>788.8030401677355</v>
      </c>
    </row>
    <row r="1501" spans="1:18" s="30" customFormat="1" ht="15" customHeight="1">
      <c r="A1501" s="37" t="s">
        <v>688</v>
      </c>
      <c r="B1501" s="26" t="s">
        <v>1728</v>
      </c>
      <c r="C1501" s="39">
        <v>88</v>
      </c>
      <c r="D1501" s="40" t="s">
        <v>2248</v>
      </c>
      <c r="E1501" s="38" t="s">
        <v>4</v>
      </c>
      <c r="F1501" s="38" t="s">
        <v>12</v>
      </c>
      <c r="G1501" s="32">
        <v>0</v>
      </c>
      <c r="H1501" s="32">
        <v>1599360</v>
      </c>
      <c r="I1501" s="32">
        <v>3883140</v>
      </c>
      <c r="J1501" s="35">
        <f>+G1501-H1501+I1501</f>
        <v>2283780</v>
      </c>
      <c r="K1501" s="28">
        <v>0</v>
      </c>
      <c r="L1501" s="32">
        <v>0</v>
      </c>
      <c r="M1501" s="35">
        <f>+J1501+L1501</f>
        <v>2283780</v>
      </c>
      <c r="N1501" s="28" t="s">
        <v>1935</v>
      </c>
      <c r="O1501" s="29" t="s">
        <v>1936</v>
      </c>
      <c r="P1501" s="36">
        <v>42899</v>
      </c>
      <c r="Q1501" s="31">
        <v>26649.99</v>
      </c>
      <c r="R1501" s="33">
        <f>M1501/Q1501</f>
        <v>85.695341724330845</v>
      </c>
    </row>
    <row r="1502" spans="1:18" s="30" customFormat="1" ht="15" customHeight="1">
      <c r="A1502" s="37" t="s">
        <v>391</v>
      </c>
      <c r="B1502" s="26" t="s">
        <v>392</v>
      </c>
      <c r="C1502" s="39">
        <v>87</v>
      </c>
      <c r="D1502" s="40" t="s">
        <v>2249</v>
      </c>
      <c r="E1502" s="38" t="s">
        <v>4</v>
      </c>
      <c r="F1502" s="38" t="s">
        <v>11</v>
      </c>
      <c r="G1502" s="32">
        <v>0</v>
      </c>
      <c r="H1502" s="32">
        <v>66775333</v>
      </c>
      <c r="I1502" s="32">
        <v>61549915</v>
      </c>
      <c r="J1502" s="35">
        <f>+G1502-H1502+I1502</f>
        <v>-5225418</v>
      </c>
      <c r="K1502" s="28">
        <v>0</v>
      </c>
      <c r="L1502" s="32">
        <v>0</v>
      </c>
      <c r="M1502" s="35">
        <f>+J1502+L1502</f>
        <v>-5225418</v>
      </c>
      <c r="N1502" s="28" t="s">
        <v>2026</v>
      </c>
      <c r="O1502" s="29" t="s">
        <v>2027</v>
      </c>
      <c r="P1502" s="36">
        <v>43789</v>
      </c>
      <c r="Q1502" s="31">
        <v>28147.47</v>
      </c>
      <c r="R1502" s="33">
        <f>M1502/Q1502</f>
        <v>-185.64432256256069</v>
      </c>
    </row>
    <row r="1503" spans="1:18" s="30" customFormat="1" ht="15" customHeight="1">
      <c r="A1503" s="37" t="s">
        <v>391</v>
      </c>
      <c r="B1503" s="26" t="s">
        <v>392</v>
      </c>
      <c r="C1503" s="39">
        <v>86</v>
      </c>
      <c r="D1503" s="40" t="s">
        <v>2250</v>
      </c>
      <c r="E1503" s="38" t="s">
        <v>4</v>
      </c>
      <c r="F1503" s="38" t="s">
        <v>11</v>
      </c>
      <c r="G1503" s="32">
        <v>7170857</v>
      </c>
      <c r="H1503" s="32">
        <v>0</v>
      </c>
      <c r="I1503" s="32">
        <v>248158</v>
      </c>
      <c r="J1503" s="35">
        <f>+G1503-H1503+I1503</f>
        <v>7419015</v>
      </c>
      <c r="K1503" s="27"/>
      <c r="L1503" s="32">
        <v>0</v>
      </c>
      <c r="M1503" s="35">
        <f>+J1503+L1503</f>
        <v>7419015</v>
      </c>
      <c r="N1503" s="28" t="s">
        <v>684</v>
      </c>
      <c r="O1503" s="29" t="s">
        <v>395</v>
      </c>
      <c r="P1503" s="36">
        <v>44293</v>
      </c>
      <c r="Q1503" s="31">
        <v>29408.04</v>
      </c>
      <c r="R1503" s="33">
        <f>M1503/Q1503</f>
        <v>252.27845854399001</v>
      </c>
    </row>
    <row r="1504" spans="1:18" s="30" customFormat="1" ht="15" customHeight="1">
      <c r="A1504" s="37" t="s">
        <v>293</v>
      </c>
      <c r="B1504" s="26" t="s">
        <v>294</v>
      </c>
      <c r="C1504" s="39">
        <v>87</v>
      </c>
      <c r="D1504" s="40" t="s">
        <v>2251</v>
      </c>
      <c r="E1504" s="38" t="s">
        <v>3</v>
      </c>
      <c r="F1504" s="38" t="s">
        <v>10</v>
      </c>
      <c r="G1504" s="32">
        <v>10798774</v>
      </c>
      <c r="H1504" s="32">
        <v>0</v>
      </c>
      <c r="I1504" s="32">
        <v>7637864</v>
      </c>
      <c r="J1504" s="35">
        <f>+G1504-H1504+I1504</f>
        <v>18436638</v>
      </c>
      <c r="K1504" s="28">
        <v>0</v>
      </c>
      <c r="L1504" s="32">
        <v>0</v>
      </c>
      <c r="M1504" s="35">
        <f>+J1504+L1504</f>
        <v>18436638</v>
      </c>
      <c r="N1504" s="28" t="s">
        <v>1411</v>
      </c>
      <c r="O1504" s="29" t="s">
        <v>1412</v>
      </c>
      <c r="P1504" s="36" t="s">
        <v>1413</v>
      </c>
      <c r="Q1504" s="31">
        <v>29598.01</v>
      </c>
      <c r="R1504" s="33">
        <f>+M1504/Q1504</f>
        <v>622.90126937588036</v>
      </c>
    </row>
    <row r="1505" spans="1:18" s="30" customFormat="1" ht="15" customHeight="1">
      <c r="A1505" s="37" t="s">
        <v>356</v>
      </c>
      <c r="B1505" s="26" t="s">
        <v>1841</v>
      </c>
      <c r="C1505" s="39">
        <v>87</v>
      </c>
      <c r="D1505" s="40" t="s">
        <v>2252</v>
      </c>
      <c r="E1505" s="38" t="s">
        <v>6</v>
      </c>
      <c r="F1505" s="38" t="s">
        <v>11</v>
      </c>
      <c r="G1505" s="32">
        <v>2489504</v>
      </c>
      <c r="H1505" s="32">
        <v>1014260</v>
      </c>
      <c r="I1505" s="52">
        <v>0</v>
      </c>
      <c r="J1505" s="35">
        <f>+G1505-H1505+I1505</f>
        <v>1475244</v>
      </c>
      <c r="K1505" s="28">
        <v>0</v>
      </c>
      <c r="L1505" s="32">
        <v>0</v>
      </c>
      <c r="M1505" s="35">
        <f>+J1505+L1505</f>
        <v>1475244</v>
      </c>
      <c r="N1505" s="28" t="s">
        <v>2155</v>
      </c>
      <c r="O1505" s="29" t="s">
        <v>2156</v>
      </c>
      <c r="P1505" s="36">
        <v>44308</v>
      </c>
      <c r="Q1505" s="31">
        <v>29462.75</v>
      </c>
      <c r="R1505" s="33">
        <f>M1505/Q1505</f>
        <v>50.071497059846756</v>
      </c>
    </row>
    <row r="1506" spans="1:18" s="30" customFormat="1" ht="15" customHeight="1">
      <c r="A1506" s="37" t="s">
        <v>356</v>
      </c>
      <c r="B1506" s="26" t="s">
        <v>1540</v>
      </c>
      <c r="C1506" s="39">
        <v>87</v>
      </c>
      <c r="D1506" s="40" t="s">
        <v>2253</v>
      </c>
      <c r="E1506" s="38" t="s">
        <v>3</v>
      </c>
      <c r="F1506" s="38" t="s">
        <v>11</v>
      </c>
      <c r="G1506" s="32">
        <v>0</v>
      </c>
      <c r="H1506" s="32">
        <v>23364476.650485277</v>
      </c>
      <c r="I1506" s="32">
        <v>94059029.670287997</v>
      </c>
      <c r="J1506" s="35">
        <f>+G1506-H1506+I1506</f>
        <v>70694553.019802719</v>
      </c>
      <c r="K1506" s="28">
        <v>0</v>
      </c>
      <c r="L1506" s="32">
        <v>0</v>
      </c>
      <c r="M1506" s="35">
        <f>+J1506+L1506</f>
        <v>70694553.019802719</v>
      </c>
      <c r="N1506" s="28" t="s">
        <v>2203</v>
      </c>
      <c r="O1506" s="29" t="s">
        <v>2204</v>
      </c>
      <c r="P1506" s="36">
        <v>42984</v>
      </c>
      <c r="Q1506" s="31">
        <v>26614.39</v>
      </c>
      <c r="R1506" s="33">
        <f>M1506/Q1506</f>
        <v>2656.2529901982621</v>
      </c>
    </row>
    <row r="1507" spans="1:18" s="30" customFormat="1" ht="15" customHeight="1">
      <c r="A1507" s="37" t="s">
        <v>39</v>
      </c>
      <c r="B1507" s="26" t="s">
        <v>1658</v>
      </c>
      <c r="C1507" s="39">
        <v>87</v>
      </c>
      <c r="D1507" s="40" t="s">
        <v>2254</v>
      </c>
      <c r="E1507" s="38" t="s">
        <v>4</v>
      </c>
      <c r="F1507" s="38" t="s">
        <v>15</v>
      </c>
      <c r="G1507" s="32">
        <v>15836576.990037</v>
      </c>
      <c r="H1507" s="32">
        <v>1400316.1603508811</v>
      </c>
      <c r="I1507" s="32">
        <v>8294749.8333333302</v>
      </c>
      <c r="J1507" s="35">
        <f>+G1507-H1507+I1507</f>
        <v>22731010.663019449</v>
      </c>
      <c r="K1507" s="28">
        <v>0</v>
      </c>
      <c r="L1507" s="32">
        <v>0</v>
      </c>
      <c r="M1507" s="35">
        <f>+J1507+L1507</f>
        <v>22731010.663019449</v>
      </c>
      <c r="N1507" s="28" t="s">
        <v>2120</v>
      </c>
      <c r="O1507" s="29" t="s">
        <v>2121</v>
      </c>
      <c r="P1507" s="36">
        <v>43448</v>
      </c>
      <c r="Q1507" s="31">
        <v>27565.79</v>
      </c>
      <c r="R1507" s="33">
        <f>M1507/Q1507</f>
        <v>824.6094402888308</v>
      </c>
    </row>
    <row r="1508" spans="1:18" s="30" customFormat="1" ht="15" customHeight="1">
      <c r="A1508" s="46" t="s">
        <v>189</v>
      </c>
      <c r="B1508" s="26" t="s">
        <v>225</v>
      </c>
      <c r="C1508" s="65">
        <v>87</v>
      </c>
      <c r="D1508" s="51" t="s">
        <v>2255</v>
      </c>
      <c r="E1508" s="38" t="s">
        <v>4</v>
      </c>
      <c r="F1508" s="38" t="s">
        <v>12</v>
      </c>
      <c r="G1508" s="52">
        <v>5313811</v>
      </c>
      <c r="H1508" s="52">
        <v>2918951</v>
      </c>
      <c r="I1508" s="52">
        <v>927847</v>
      </c>
      <c r="J1508" s="53">
        <f>+G1508-H1508+I1508</f>
        <v>3322707</v>
      </c>
      <c r="K1508" s="70">
        <v>0</v>
      </c>
      <c r="L1508" s="52">
        <v>0</v>
      </c>
      <c r="M1508" s="53">
        <f>+J1508+L1508</f>
        <v>3322707</v>
      </c>
      <c r="N1508" s="55" t="s">
        <v>2182</v>
      </c>
      <c r="O1508" s="56" t="s">
        <v>2190</v>
      </c>
      <c r="P1508" s="56">
        <v>44420</v>
      </c>
      <c r="Q1508" s="49">
        <v>29789.24</v>
      </c>
      <c r="R1508" s="57">
        <f>M1508/Q1508</f>
        <v>111.54050925770512</v>
      </c>
    </row>
    <row r="1509" spans="1:18" s="30" customFormat="1" ht="15" customHeight="1">
      <c r="A1509" s="37" t="s">
        <v>356</v>
      </c>
      <c r="B1509" s="26" t="s">
        <v>1841</v>
      </c>
      <c r="C1509" s="39">
        <v>86</v>
      </c>
      <c r="D1509" s="40" t="s">
        <v>2256</v>
      </c>
      <c r="E1509" s="38" t="s">
        <v>3</v>
      </c>
      <c r="F1509" s="38" t="s">
        <v>11</v>
      </c>
      <c r="G1509" s="32">
        <v>0</v>
      </c>
      <c r="H1509" s="32">
        <v>0</v>
      </c>
      <c r="I1509" s="32">
        <v>3246659</v>
      </c>
      <c r="J1509" s="35">
        <f>+G1509-H1509+I1509</f>
        <v>3246659</v>
      </c>
      <c r="K1509" s="28">
        <v>0</v>
      </c>
      <c r="L1509" s="32">
        <v>0</v>
      </c>
      <c r="M1509" s="35">
        <f>+J1509+L1509</f>
        <v>3246659</v>
      </c>
      <c r="N1509" s="28" t="s">
        <v>2155</v>
      </c>
      <c r="O1509" s="29" t="s">
        <v>2156</v>
      </c>
      <c r="P1509" s="36">
        <v>44308</v>
      </c>
      <c r="Q1509" s="31">
        <v>29462.75</v>
      </c>
      <c r="R1509" s="33">
        <f>M1509/Q1509</f>
        <v>110.19538230477467</v>
      </c>
    </row>
    <row r="1510" spans="1:18" s="30" customFormat="1" ht="15" customHeight="1">
      <c r="A1510" s="37" t="s">
        <v>39</v>
      </c>
      <c r="B1510" s="26" t="s">
        <v>1658</v>
      </c>
      <c r="C1510" s="39">
        <v>86</v>
      </c>
      <c r="D1510" s="40" t="s">
        <v>2257</v>
      </c>
      <c r="E1510" s="38" t="s">
        <v>4</v>
      </c>
      <c r="F1510" s="38" t="s">
        <v>11</v>
      </c>
      <c r="G1510" s="32">
        <v>39075179</v>
      </c>
      <c r="H1510" s="32">
        <v>31080835</v>
      </c>
      <c r="I1510" s="52">
        <v>0</v>
      </c>
      <c r="J1510" s="35">
        <f>+G1510-H1510+I1510</f>
        <v>7994344</v>
      </c>
      <c r="K1510" s="28">
        <v>0</v>
      </c>
      <c r="L1510" s="32">
        <v>0</v>
      </c>
      <c r="M1510" s="35">
        <f>+J1510+L1510</f>
        <v>7994344</v>
      </c>
      <c r="N1510" s="28" t="s">
        <v>2120</v>
      </c>
      <c r="O1510" s="29" t="s">
        <v>2121</v>
      </c>
      <c r="P1510" s="36">
        <v>43448</v>
      </c>
      <c r="Q1510" s="31">
        <v>27565.79</v>
      </c>
      <c r="R1510" s="33">
        <f>M1510/Q1510</f>
        <v>290.00960973728667</v>
      </c>
    </row>
    <row r="1511" spans="1:18" s="30" customFormat="1" ht="15" customHeight="1">
      <c r="A1511" s="37" t="s">
        <v>52</v>
      </c>
      <c r="B1511" s="26" t="s">
        <v>555</v>
      </c>
      <c r="C1511" s="39">
        <v>86</v>
      </c>
      <c r="D1511" s="40" t="s">
        <v>2258</v>
      </c>
      <c r="E1511" s="38" t="s">
        <v>3</v>
      </c>
      <c r="F1511" s="38" t="s">
        <v>11</v>
      </c>
      <c r="G1511" s="32">
        <v>0</v>
      </c>
      <c r="H1511" s="32">
        <v>0</v>
      </c>
      <c r="I1511" s="32">
        <v>7491214</v>
      </c>
      <c r="J1511" s="35">
        <f>+G1511-H1511+I1511</f>
        <v>7491214</v>
      </c>
      <c r="K1511" s="28">
        <v>0</v>
      </c>
      <c r="L1511" s="32">
        <v>0</v>
      </c>
      <c r="M1511" s="35">
        <f>+J1511+L1511</f>
        <v>7491214</v>
      </c>
      <c r="N1511" s="28" t="s">
        <v>2173</v>
      </c>
      <c r="O1511" s="29" t="s">
        <v>2174</v>
      </c>
      <c r="P1511" s="36">
        <v>43140</v>
      </c>
      <c r="Q1511" s="31">
        <v>26832.73</v>
      </c>
      <c r="R1511" s="33">
        <f>M1511/Q1511</f>
        <v>279.18195427748128</v>
      </c>
    </row>
    <row r="1512" spans="1:18" s="30" customFormat="1" ht="15" customHeight="1">
      <c r="A1512" s="46" t="s">
        <v>189</v>
      </c>
      <c r="B1512" s="26" t="s">
        <v>225</v>
      </c>
      <c r="C1512" s="65">
        <v>86</v>
      </c>
      <c r="D1512" s="51" t="s">
        <v>2259</v>
      </c>
      <c r="E1512" s="38" t="s">
        <v>3</v>
      </c>
      <c r="F1512" s="38" t="s">
        <v>13</v>
      </c>
      <c r="G1512" s="52">
        <v>803023</v>
      </c>
      <c r="H1512" s="52">
        <v>147798</v>
      </c>
      <c r="I1512" s="52">
        <v>208724</v>
      </c>
      <c r="J1512" s="53">
        <f>+G1512-H1512+I1512</f>
        <v>863949</v>
      </c>
      <c r="K1512" s="70">
        <v>0</v>
      </c>
      <c r="L1512" s="52">
        <v>0</v>
      </c>
      <c r="M1512" s="53">
        <f>+J1512+L1512</f>
        <v>863949</v>
      </c>
      <c r="N1512" s="55" t="s">
        <v>1168</v>
      </c>
      <c r="O1512" s="56" t="s">
        <v>1169</v>
      </c>
      <c r="P1512" s="56">
        <v>44725</v>
      </c>
      <c r="Q1512" s="49">
        <v>33243.86</v>
      </c>
      <c r="R1512" s="57">
        <f>M1512/Q1512</f>
        <v>25.988227600525331</v>
      </c>
    </row>
    <row r="1513" spans="1:18" s="30" customFormat="1" ht="15" customHeight="1">
      <c r="A1513" s="37" t="s">
        <v>391</v>
      </c>
      <c r="B1513" s="26" t="s">
        <v>392</v>
      </c>
      <c r="C1513" s="39">
        <v>67</v>
      </c>
      <c r="D1513" s="40" t="s">
        <v>2260</v>
      </c>
      <c r="E1513" s="38" t="s">
        <v>3</v>
      </c>
      <c r="F1513" s="38" t="s">
        <v>10</v>
      </c>
      <c r="G1513" s="32">
        <v>7389900</v>
      </c>
      <c r="H1513" s="32">
        <v>0</v>
      </c>
      <c r="I1513" s="32">
        <v>4428631</v>
      </c>
      <c r="J1513" s="35">
        <f>+G1513-H1513+I1513</f>
        <v>11818531</v>
      </c>
      <c r="K1513" s="27"/>
      <c r="L1513" s="32">
        <v>0</v>
      </c>
      <c r="M1513" s="35">
        <f>+J1513+L1513</f>
        <v>11818531</v>
      </c>
      <c r="N1513" s="28" t="s">
        <v>765</v>
      </c>
      <c r="O1513" s="29" t="s">
        <v>766</v>
      </c>
      <c r="P1513" s="36">
        <v>44140</v>
      </c>
      <c r="Q1513" s="31">
        <v>28866.47</v>
      </c>
      <c r="R1513" s="33">
        <f>M1513/Q1513</f>
        <v>409.42072238136495</v>
      </c>
    </row>
    <row r="1514" spans="1:18" s="30" customFormat="1" ht="15" customHeight="1">
      <c r="A1514" s="37" t="s">
        <v>688</v>
      </c>
      <c r="B1514" s="26" t="s">
        <v>1728</v>
      </c>
      <c r="C1514" s="39">
        <v>86</v>
      </c>
      <c r="D1514" s="40" t="s">
        <v>2261</v>
      </c>
      <c r="E1514" s="38" t="s">
        <v>4</v>
      </c>
      <c r="F1514" s="38" t="s">
        <v>15</v>
      </c>
      <c r="G1514" s="32">
        <v>121065.4592</v>
      </c>
      <c r="H1514" s="32">
        <v>0</v>
      </c>
      <c r="I1514" s="32">
        <v>1531467.9295999999</v>
      </c>
      <c r="J1514" s="35">
        <f>+G1514-H1514+I1514</f>
        <v>1652533.3887999998</v>
      </c>
      <c r="K1514" s="28">
        <v>0</v>
      </c>
      <c r="L1514" s="32">
        <v>0</v>
      </c>
      <c r="M1514" s="35">
        <f>+J1514+L1514</f>
        <v>1652533.3887999998</v>
      </c>
      <c r="N1514" s="28" t="s">
        <v>1935</v>
      </c>
      <c r="O1514" s="29" t="s">
        <v>1936</v>
      </c>
      <c r="P1514" s="36">
        <v>42899</v>
      </c>
      <c r="Q1514" s="31">
        <v>26649.99</v>
      </c>
      <c r="R1514" s="33">
        <f>M1514/Q1514</f>
        <v>62.008780821306118</v>
      </c>
    </row>
    <row r="1515" spans="1:18" s="30" customFormat="1" ht="15" customHeight="1">
      <c r="A1515" s="37" t="s">
        <v>39</v>
      </c>
      <c r="B1515" s="26" t="s">
        <v>1658</v>
      </c>
      <c r="C1515" s="39">
        <v>85</v>
      </c>
      <c r="D1515" s="40" t="s">
        <v>2262</v>
      </c>
      <c r="E1515" s="38" t="s">
        <v>4</v>
      </c>
      <c r="F1515" s="38" t="s">
        <v>11</v>
      </c>
      <c r="G1515" s="32">
        <v>36254713.932999998</v>
      </c>
      <c r="H1515" s="32">
        <v>8550179.2731599994</v>
      </c>
      <c r="I1515" s="52">
        <v>0</v>
      </c>
      <c r="J1515" s="35">
        <f>+G1515-H1515+I1515</f>
        <v>27704534.659839999</v>
      </c>
      <c r="K1515" s="28">
        <v>0</v>
      </c>
      <c r="L1515" s="32">
        <v>0</v>
      </c>
      <c r="M1515" s="35">
        <f>+J1515+L1515</f>
        <v>27704534.659839999</v>
      </c>
      <c r="N1515" s="28" t="s">
        <v>2120</v>
      </c>
      <c r="O1515" s="29" t="s">
        <v>2121</v>
      </c>
      <c r="P1515" s="36">
        <v>43448</v>
      </c>
      <c r="Q1515" s="31">
        <v>27565.79</v>
      </c>
      <c r="R1515" s="33">
        <f>M1515/Q1515</f>
        <v>1005.0332190675471</v>
      </c>
    </row>
    <row r="1516" spans="1:18" s="30" customFormat="1" ht="15" customHeight="1">
      <c r="A1516" s="37" t="s">
        <v>52</v>
      </c>
      <c r="B1516" s="26" t="s">
        <v>555</v>
      </c>
      <c r="C1516" s="39">
        <v>85</v>
      </c>
      <c r="D1516" s="40" t="s">
        <v>2263</v>
      </c>
      <c r="E1516" s="38" t="s">
        <v>3</v>
      </c>
      <c r="F1516" s="38" t="s">
        <v>11</v>
      </c>
      <c r="G1516" s="32">
        <v>0</v>
      </c>
      <c r="H1516" s="32">
        <v>18960704</v>
      </c>
      <c r="I1516" s="32">
        <v>2430401</v>
      </c>
      <c r="J1516" s="35">
        <f>+G1516-H1516+I1516</f>
        <v>-16530303</v>
      </c>
      <c r="K1516" s="28">
        <v>0</v>
      </c>
      <c r="L1516" s="32">
        <v>0</v>
      </c>
      <c r="M1516" s="35">
        <f>+J1516+L1516</f>
        <v>-16530303</v>
      </c>
      <c r="N1516" s="28" t="s">
        <v>2114</v>
      </c>
      <c r="O1516" s="29" t="s">
        <v>2115</v>
      </c>
      <c r="P1516" s="36">
        <v>43074</v>
      </c>
      <c r="Q1516" s="31">
        <v>26757.79</v>
      </c>
      <c r="R1516" s="33">
        <f>M1516/Q1516</f>
        <v>-617.77534691766391</v>
      </c>
    </row>
    <row r="1517" spans="1:18" s="30" customFormat="1" ht="15" customHeight="1">
      <c r="A1517" s="37" t="s">
        <v>688</v>
      </c>
      <c r="B1517" s="26" t="s">
        <v>1728</v>
      </c>
      <c r="C1517" s="39">
        <v>85</v>
      </c>
      <c r="D1517" s="40" t="s">
        <v>2264</v>
      </c>
      <c r="E1517" s="38" t="s">
        <v>4</v>
      </c>
      <c r="F1517" s="38" t="s">
        <v>13</v>
      </c>
      <c r="G1517" s="32">
        <v>3251928.4223999996</v>
      </c>
      <c r="H1517" s="32">
        <v>0</v>
      </c>
      <c r="I1517" s="32">
        <v>68544</v>
      </c>
      <c r="J1517" s="35">
        <f>+G1517-H1517+I1517</f>
        <v>3320472.4223999996</v>
      </c>
      <c r="K1517" s="28">
        <v>0</v>
      </c>
      <c r="L1517" s="32">
        <v>0</v>
      </c>
      <c r="M1517" s="35">
        <f>+J1517+L1517</f>
        <v>3320472.4223999996</v>
      </c>
      <c r="N1517" s="28" t="s">
        <v>1935</v>
      </c>
      <c r="O1517" s="29" t="s">
        <v>1936</v>
      </c>
      <c r="P1517" s="36">
        <v>42899</v>
      </c>
      <c r="Q1517" s="31">
        <v>26649.99</v>
      </c>
      <c r="R1517" s="33">
        <f>M1517/Q1517</f>
        <v>124.595634835135</v>
      </c>
    </row>
    <row r="1518" spans="1:18" s="30" customFormat="1" ht="15" customHeight="1">
      <c r="A1518" s="37" t="s">
        <v>391</v>
      </c>
      <c r="B1518" s="26" t="s">
        <v>392</v>
      </c>
      <c r="C1518" s="39">
        <v>84</v>
      </c>
      <c r="D1518" s="40" t="s">
        <v>2265</v>
      </c>
      <c r="E1518" s="38" t="s">
        <v>3</v>
      </c>
      <c r="F1518" s="38" t="s">
        <v>12</v>
      </c>
      <c r="G1518" s="32">
        <v>27476</v>
      </c>
      <c r="H1518" s="32">
        <v>0</v>
      </c>
      <c r="I1518" s="32">
        <v>918742</v>
      </c>
      <c r="J1518" s="35">
        <f>+G1518-H1518+I1518</f>
        <v>946218</v>
      </c>
      <c r="K1518" s="28">
        <v>0</v>
      </c>
      <c r="L1518" s="32">
        <v>0</v>
      </c>
      <c r="M1518" s="35">
        <f>+J1518+L1518</f>
        <v>946218</v>
      </c>
      <c r="N1518" s="28" t="s">
        <v>2026</v>
      </c>
      <c r="O1518" s="29" t="s">
        <v>2027</v>
      </c>
      <c r="P1518" s="36">
        <v>43789</v>
      </c>
      <c r="Q1518" s="31">
        <v>28147.47</v>
      </c>
      <c r="R1518" s="33">
        <f>M1518/Q1518</f>
        <v>33.616449364720879</v>
      </c>
    </row>
    <row r="1519" spans="1:18" s="30" customFormat="1" ht="15" customHeight="1">
      <c r="A1519" s="37" t="s">
        <v>293</v>
      </c>
      <c r="B1519" s="26" t="s">
        <v>294</v>
      </c>
      <c r="C1519" s="39">
        <v>84</v>
      </c>
      <c r="D1519" s="40" t="s">
        <v>2266</v>
      </c>
      <c r="E1519" s="38" t="s">
        <v>3</v>
      </c>
      <c r="F1519" s="38" t="s">
        <v>10</v>
      </c>
      <c r="G1519" s="32">
        <v>4775</v>
      </c>
      <c r="H1519" s="32">
        <v>0</v>
      </c>
      <c r="I1519" s="32">
        <v>6974029</v>
      </c>
      <c r="J1519" s="35">
        <f>+G1519-H1519+I1519</f>
        <v>6978804</v>
      </c>
      <c r="K1519" s="28">
        <v>0</v>
      </c>
      <c r="L1519" s="32">
        <v>0</v>
      </c>
      <c r="M1519" s="35">
        <f>+J1519+L1519</f>
        <v>6978804</v>
      </c>
      <c r="N1519" s="28" t="s">
        <v>1537</v>
      </c>
      <c r="O1519" s="29" t="s">
        <v>1538</v>
      </c>
      <c r="P1519" s="36">
        <v>43914</v>
      </c>
      <c r="Q1519" s="31">
        <v>28331.86</v>
      </c>
      <c r="R1519" s="33">
        <f>M1519/Q1519</f>
        <v>246.32353823575295</v>
      </c>
    </row>
    <row r="1520" spans="1:18" s="30" customFormat="1" ht="15" customHeight="1">
      <c r="A1520" s="37" t="s">
        <v>321</v>
      </c>
      <c r="B1520" s="26" t="s">
        <v>322</v>
      </c>
      <c r="C1520" s="39">
        <v>8</v>
      </c>
      <c r="D1520" s="40" t="s">
        <v>2267</v>
      </c>
      <c r="E1520" s="38" t="s">
        <v>4</v>
      </c>
      <c r="F1520" s="38" t="s">
        <v>11</v>
      </c>
      <c r="G1520" s="32">
        <v>7561509</v>
      </c>
      <c r="H1520" s="32">
        <v>545982</v>
      </c>
      <c r="I1520" s="52">
        <v>0</v>
      </c>
      <c r="J1520" s="35">
        <f>+G1520-H1520+I1520</f>
        <v>7015527</v>
      </c>
      <c r="K1520" s="27" t="s">
        <v>170</v>
      </c>
      <c r="L1520" s="32">
        <v>0</v>
      </c>
      <c r="M1520" s="35">
        <f>+J1520+L1520</f>
        <v>7015527</v>
      </c>
      <c r="N1520" s="28" t="s">
        <v>324</v>
      </c>
      <c r="O1520" s="29" t="s">
        <v>325</v>
      </c>
      <c r="P1520" s="36">
        <v>44508</v>
      </c>
      <c r="Q1520" s="31">
        <v>30474.19</v>
      </c>
      <c r="R1520" s="33">
        <v>230</v>
      </c>
    </row>
    <row r="1521" spans="1:18" s="30" customFormat="1" ht="15" customHeight="1">
      <c r="A1521" s="37" t="s">
        <v>356</v>
      </c>
      <c r="B1521" s="26" t="s">
        <v>1841</v>
      </c>
      <c r="C1521" s="39">
        <v>84</v>
      </c>
      <c r="D1521" s="40" t="s">
        <v>2268</v>
      </c>
      <c r="E1521" s="38" t="s">
        <v>3</v>
      </c>
      <c r="F1521" s="38" t="s">
        <v>15</v>
      </c>
      <c r="G1521" s="32">
        <v>4076277</v>
      </c>
      <c r="H1521" s="32">
        <v>314932</v>
      </c>
      <c r="I1521" s="32">
        <v>249134</v>
      </c>
      <c r="J1521" s="35">
        <f>+G1521-H1521+I1521</f>
        <v>4010479</v>
      </c>
      <c r="K1521" s="28">
        <v>0</v>
      </c>
      <c r="L1521" s="32">
        <v>0</v>
      </c>
      <c r="M1521" s="35">
        <f>+J1521+L1521</f>
        <v>4010479</v>
      </c>
      <c r="N1521" s="28" t="s">
        <v>2155</v>
      </c>
      <c r="O1521" s="29" t="s">
        <v>2156</v>
      </c>
      <c r="P1521" s="36">
        <v>44308</v>
      </c>
      <c r="Q1521" s="31">
        <v>29462.75</v>
      </c>
      <c r="R1521" s="33">
        <f>M1521/Q1521</f>
        <v>136.12032142281356</v>
      </c>
    </row>
    <row r="1522" spans="1:18" s="30" customFormat="1" ht="15" customHeight="1">
      <c r="A1522" s="37" t="s">
        <v>356</v>
      </c>
      <c r="B1522" s="26" t="s">
        <v>1540</v>
      </c>
      <c r="C1522" s="39">
        <v>84</v>
      </c>
      <c r="D1522" s="40" t="s">
        <v>2269</v>
      </c>
      <c r="E1522" s="38" t="s">
        <v>3</v>
      </c>
      <c r="F1522" s="38" t="s">
        <v>15</v>
      </c>
      <c r="G1522" s="32">
        <v>0</v>
      </c>
      <c r="H1522" s="32">
        <v>0</v>
      </c>
      <c r="I1522" s="32">
        <v>13352436.834862161</v>
      </c>
      <c r="J1522" s="35">
        <f>+G1522-H1522+I1522</f>
        <v>13352436.834862161</v>
      </c>
      <c r="K1522" s="28">
        <v>0</v>
      </c>
      <c r="L1522" s="32">
        <v>0</v>
      </c>
      <c r="M1522" s="35">
        <f>+J1522+L1522</f>
        <v>13352436.834862161</v>
      </c>
      <c r="N1522" s="28" t="s">
        <v>2203</v>
      </c>
      <c r="O1522" s="29" t="s">
        <v>2204</v>
      </c>
      <c r="P1522" s="36">
        <v>42984</v>
      </c>
      <c r="Q1522" s="31">
        <v>26614.39</v>
      </c>
      <c r="R1522" s="33">
        <f>M1522/Q1522</f>
        <v>501.6999012512465</v>
      </c>
    </row>
    <row r="1523" spans="1:18" s="30" customFormat="1" ht="15" customHeight="1">
      <c r="A1523" s="37" t="s">
        <v>39</v>
      </c>
      <c r="B1523" s="26" t="s">
        <v>1658</v>
      </c>
      <c r="C1523" s="39">
        <v>84</v>
      </c>
      <c r="D1523" s="40" t="s">
        <v>2270</v>
      </c>
      <c r="E1523" s="38" t="s">
        <v>4</v>
      </c>
      <c r="F1523" s="38" t="s">
        <v>11</v>
      </c>
      <c r="G1523" s="32">
        <v>0</v>
      </c>
      <c r="H1523" s="32">
        <v>0</v>
      </c>
      <c r="I1523" s="32">
        <v>40633697.6589581</v>
      </c>
      <c r="J1523" s="35">
        <f>+G1523-H1523+I1523</f>
        <v>40633697.6589581</v>
      </c>
      <c r="K1523" s="28">
        <v>0</v>
      </c>
      <c r="L1523" s="32">
        <v>0</v>
      </c>
      <c r="M1523" s="35">
        <f>+J1523+L1523</f>
        <v>40633697.6589581</v>
      </c>
      <c r="N1523" s="28" t="s">
        <v>2120</v>
      </c>
      <c r="O1523" s="29" t="s">
        <v>2121</v>
      </c>
      <c r="P1523" s="36">
        <v>43448</v>
      </c>
      <c r="Q1523" s="31">
        <v>27565.79</v>
      </c>
      <c r="R1523" s="33">
        <f>M1523/Q1523</f>
        <v>1474.0625122283127</v>
      </c>
    </row>
    <row r="1524" spans="1:18" s="30" customFormat="1" ht="15" customHeight="1">
      <c r="A1524" s="46" t="s">
        <v>189</v>
      </c>
      <c r="B1524" s="26" t="s">
        <v>225</v>
      </c>
      <c r="C1524" s="65">
        <v>84</v>
      </c>
      <c r="D1524" s="51" t="s">
        <v>2271</v>
      </c>
      <c r="E1524" s="38" t="s">
        <v>4</v>
      </c>
      <c r="F1524" s="48" t="s">
        <v>11</v>
      </c>
      <c r="G1524" s="52">
        <v>443996</v>
      </c>
      <c r="H1524" s="52">
        <v>0</v>
      </c>
      <c r="I1524" s="52">
        <v>2230600</v>
      </c>
      <c r="J1524" s="53">
        <f>+G1524-H1524+I1524</f>
        <v>2674596</v>
      </c>
      <c r="K1524" s="70">
        <v>0</v>
      </c>
      <c r="L1524" s="52">
        <v>0</v>
      </c>
      <c r="M1524" s="53">
        <f>+J1524+L1524</f>
        <v>2674596</v>
      </c>
      <c r="N1524" s="55" t="s">
        <v>2182</v>
      </c>
      <c r="O1524" s="56" t="s">
        <v>2190</v>
      </c>
      <c r="P1524" s="56">
        <v>44420</v>
      </c>
      <c r="Q1524" s="49">
        <v>29789.24</v>
      </c>
      <c r="R1524" s="57">
        <f>M1524/Q1524</f>
        <v>89.783962262884174</v>
      </c>
    </row>
    <row r="1525" spans="1:18" s="30" customFormat="1" ht="15" customHeight="1">
      <c r="A1525" s="37" t="s">
        <v>688</v>
      </c>
      <c r="B1525" s="26" t="s">
        <v>1728</v>
      </c>
      <c r="C1525" s="39">
        <v>84</v>
      </c>
      <c r="D1525" s="40" t="s">
        <v>2272</v>
      </c>
      <c r="E1525" s="38" t="s">
        <v>4</v>
      </c>
      <c r="F1525" s="38" t="s">
        <v>11</v>
      </c>
      <c r="G1525" s="32">
        <v>0</v>
      </c>
      <c r="H1525" s="32">
        <v>40497842.380800001</v>
      </c>
      <c r="I1525" s="32">
        <v>55120562.380799994</v>
      </c>
      <c r="J1525" s="35">
        <f>+G1525-H1525+I1525</f>
        <v>14622719.999999993</v>
      </c>
      <c r="K1525" s="28">
        <v>0</v>
      </c>
      <c r="L1525" s="32">
        <v>0</v>
      </c>
      <c r="M1525" s="35">
        <f>+J1525+L1525</f>
        <v>14622719.999999993</v>
      </c>
      <c r="N1525" s="28" t="s">
        <v>1935</v>
      </c>
      <c r="O1525" s="29" t="s">
        <v>1936</v>
      </c>
      <c r="P1525" s="36">
        <v>42899</v>
      </c>
      <c r="Q1525" s="31">
        <v>26649.99</v>
      </c>
      <c r="R1525" s="33">
        <f>M1525/Q1525</f>
        <v>548.6951402233168</v>
      </c>
    </row>
    <row r="1526" spans="1:18" s="30" customFormat="1" ht="15" customHeight="1">
      <c r="A1526" s="37" t="s">
        <v>391</v>
      </c>
      <c r="B1526" s="26" t="s">
        <v>392</v>
      </c>
      <c r="C1526" s="39">
        <v>83</v>
      </c>
      <c r="D1526" s="40" t="s">
        <v>2273</v>
      </c>
      <c r="E1526" s="38" t="s">
        <v>3</v>
      </c>
      <c r="F1526" s="38" t="s">
        <v>13</v>
      </c>
      <c r="G1526" s="32">
        <v>668170</v>
      </c>
      <c r="H1526" s="32">
        <v>0</v>
      </c>
      <c r="I1526" s="32">
        <v>150312</v>
      </c>
      <c r="J1526" s="35">
        <f>+G1526-H1526+I1526</f>
        <v>818482</v>
      </c>
      <c r="K1526" s="28">
        <v>0</v>
      </c>
      <c r="L1526" s="32">
        <v>0</v>
      </c>
      <c r="M1526" s="35">
        <f>+J1526+L1526</f>
        <v>818482</v>
      </c>
      <c r="N1526" s="28" t="s">
        <v>2026</v>
      </c>
      <c r="O1526" s="29" t="s">
        <v>2027</v>
      </c>
      <c r="P1526" s="36">
        <v>43789</v>
      </c>
      <c r="Q1526" s="31">
        <v>28147.47</v>
      </c>
      <c r="R1526" s="33">
        <f>M1526/Q1526</f>
        <v>29.078350558682537</v>
      </c>
    </row>
    <row r="1527" spans="1:18" s="30" customFormat="1" ht="15" customHeight="1">
      <c r="A1527" s="37" t="s">
        <v>356</v>
      </c>
      <c r="B1527" s="26" t="s">
        <v>1841</v>
      </c>
      <c r="C1527" s="39">
        <v>83</v>
      </c>
      <c r="D1527" s="40" t="s">
        <v>2274</v>
      </c>
      <c r="E1527" s="38" t="s">
        <v>6</v>
      </c>
      <c r="F1527" s="38" t="s">
        <v>11</v>
      </c>
      <c r="G1527" s="32">
        <v>324650</v>
      </c>
      <c r="H1527" s="32">
        <v>0</v>
      </c>
      <c r="I1527" s="32">
        <v>34819</v>
      </c>
      <c r="J1527" s="35">
        <f>+G1527-H1527+I1527</f>
        <v>359469</v>
      </c>
      <c r="K1527" s="28">
        <v>0</v>
      </c>
      <c r="L1527" s="32">
        <v>0</v>
      </c>
      <c r="M1527" s="35">
        <f>+J1527+L1527</f>
        <v>359469</v>
      </c>
      <c r="N1527" s="28" t="s">
        <v>2155</v>
      </c>
      <c r="O1527" s="29" t="s">
        <v>2156</v>
      </c>
      <c r="P1527" s="36">
        <v>44308</v>
      </c>
      <c r="Q1527" s="31">
        <v>29462.75</v>
      </c>
      <c r="R1527" s="33">
        <f>M1527/Q1527</f>
        <v>12.200795920272208</v>
      </c>
    </row>
    <row r="1528" spans="1:18" s="30" customFormat="1" ht="15" customHeight="1">
      <c r="A1528" s="37" t="s">
        <v>356</v>
      </c>
      <c r="B1528" s="26" t="s">
        <v>1540</v>
      </c>
      <c r="C1528" s="39">
        <v>83</v>
      </c>
      <c r="D1528" s="40" t="s">
        <v>2275</v>
      </c>
      <c r="E1528" s="38" t="s">
        <v>3</v>
      </c>
      <c r="F1528" s="38" t="s">
        <v>11</v>
      </c>
      <c r="G1528" s="32">
        <v>214538858.22427252</v>
      </c>
      <c r="H1528" s="32">
        <v>69604877.316988736</v>
      </c>
      <c r="I1528" s="32">
        <v>9894592.6888449714</v>
      </c>
      <c r="J1528" s="35">
        <f>+G1528-H1528+I1528</f>
        <v>154828573.59612876</v>
      </c>
      <c r="K1528" s="28">
        <v>0</v>
      </c>
      <c r="L1528" s="32">
        <v>0</v>
      </c>
      <c r="M1528" s="35">
        <f>+J1528+L1528</f>
        <v>154828573.59612876</v>
      </c>
      <c r="N1528" s="28" t="s">
        <v>2203</v>
      </c>
      <c r="O1528" s="29" t="s">
        <v>2204</v>
      </c>
      <c r="P1528" s="36">
        <v>42984</v>
      </c>
      <c r="Q1528" s="31">
        <v>26614.39</v>
      </c>
      <c r="R1528" s="33">
        <f>M1528/Q1528</f>
        <v>5817.4759442590557</v>
      </c>
    </row>
    <row r="1529" spans="1:18" s="30" customFormat="1" ht="15" customHeight="1">
      <c r="A1529" s="37" t="s">
        <v>39</v>
      </c>
      <c r="B1529" s="26" t="s">
        <v>1658</v>
      </c>
      <c r="C1529" s="39">
        <v>83</v>
      </c>
      <c r="D1529" s="40" t="s">
        <v>2276</v>
      </c>
      <c r="E1529" s="38" t="s">
        <v>4</v>
      </c>
      <c r="F1529" s="38" t="s">
        <v>18</v>
      </c>
      <c r="G1529" s="32">
        <v>41511371.035156101</v>
      </c>
      <c r="H1529" s="32">
        <v>11522714</v>
      </c>
      <c r="I1529" s="52">
        <v>0</v>
      </c>
      <c r="J1529" s="35">
        <f>+G1529-H1529+I1529</f>
        <v>29988657.035156101</v>
      </c>
      <c r="K1529" s="28">
        <v>0</v>
      </c>
      <c r="L1529" s="32">
        <v>0</v>
      </c>
      <c r="M1529" s="35">
        <f>+J1529+L1529</f>
        <v>29988657.035156101</v>
      </c>
      <c r="N1529" s="28" t="s">
        <v>2120</v>
      </c>
      <c r="O1529" s="29" t="s">
        <v>2121</v>
      </c>
      <c r="P1529" s="36">
        <v>43448</v>
      </c>
      <c r="Q1529" s="31">
        <v>27565.79</v>
      </c>
      <c r="R1529" s="33">
        <f>M1529/Q1529</f>
        <v>1087.8939814587611</v>
      </c>
    </row>
    <row r="1530" spans="1:18" s="30" customFormat="1" ht="15" customHeight="1">
      <c r="A1530" s="37" t="s">
        <v>52</v>
      </c>
      <c r="B1530" s="26" t="s">
        <v>555</v>
      </c>
      <c r="C1530" s="39">
        <v>83</v>
      </c>
      <c r="D1530" s="40" t="s">
        <v>2277</v>
      </c>
      <c r="E1530" s="38" t="s">
        <v>3</v>
      </c>
      <c r="F1530" s="38" t="s">
        <v>11</v>
      </c>
      <c r="G1530" s="32">
        <v>2462855</v>
      </c>
      <c r="H1530" s="32">
        <v>7150090</v>
      </c>
      <c r="I1530" s="32">
        <v>7230743</v>
      </c>
      <c r="J1530" s="35">
        <f>+G1530-H1530+I1530</f>
        <v>2543508</v>
      </c>
      <c r="K1530" s="28">
        <v>0</v>
      </c>
      <c r="L1530" s="32">
        <v>0</v>
      </c>
      <c r="M1530" s="35">
        <f>+J1530+L1530</f>
        <v>2543508</v>
      </c>
      <c r="N1530" s="28" t="s">
        <v>2173</v>
      </c>
      <c r="O1530" s="29" t="s">
        <v>2174</v>
      </c>
      <c r="P1530" s="36">
        <v>43140</v>
      </c>
      <c r="Q1530" s="31">
        <v>26832.73</v>
      </c>
      <c r="R1530" s="33">
        <f>M1530/Q1530</f>
        <v>94.791249343618787</v>
      </c>
    </row>
    <row r="1531" spans="1:18" s="30" customFormat="1" ht="15" customHeight="1">
      <c r="A1531" s="37" t="s">
        <v>52</v>
      </c>
      <c r="B1531" s="26" t="s">
        <v>555</v>
      </c>
      <c r="C1531" s="39">
        <v>105</v>
      </c>
      <c r="D1531" s="40" t="s">
        <v>2278</v>
      </c>
      <c r="E1531" s="38" t="s">
        <v>3</v>
      </c>
      <c r="F1531" s="38" t="s">
        <v>13</v>
      </c>
      <c r="G1531" s="32">
        <v>7776376</v>
      </c>
      <c r="H1531" s="32">
        <v>209029</v>
      </c>
      <c r="I1531" s="32">
        <v>1105712</v>
      </c>
      <c r="J1531" s="35">
        <f>+G1531-H1531+I1531</f>
        <v>8673059</v>
      </c>
      <c r="K1531" s="27">
        <v>60</v>
      </c>
      <c r="L1531" s="32">
        <v>0</v>
      </c>
      <c r="M1531" s="35">
        <f>+J1531+L1531</f>
        <v>8673059</v>
      </c>
      <c r="N1531" s="28" t="s">
        <v>2114</v>
      </c>
      <c r="O1531" s="29" t="s">
        <v>2115</v>
      </c>
      <c r="P1531" s="36">
        <v>43074</v>
      </c>
      <c r="Q1531" s="31">
        <v>26757.79</v>
      </c>
      <c r="R1531" s="33">
        <f>M1531/Q1531</f>
        <v>324.13211255488585</v>
      </c>
    </row>
    <row r="1532" spans="1:18" s="30" customFormat="1" ht="15" customHeight="1">
      <c r="A1532" s="37" t="s">
        <v>688</v>
      </c>
      <c r="B1532" s="26" t="s">
        <v>1728</v>
      </c>
      <c r="C1532" s="39">
        <v>83</v>
      </c>
      <c r="D1532" s="40" t="s">
        <v>2279</v>
      </c>
      <c r="E1532" s="38" t="s">
        <v>4</v>
      </c>
      <c r="F1532" s="38" t="s">
        <v>21</v>
      </c>
      <c r="G1532" s="32">
        <v>0</v>
      </c>
      <c r="H1532" s="32">
        <v>20800819.199999999</v>
      </c>
      <c r="I1532" s="52">
        <v>0</v>
      </c>
      <c r="J1532" s="35">
        <f>+G1532-H1532+I1532</f>
        <v>-20800819.199999999</v>
      </c>
      <c r="K1532" s="28">
        <v>0</v>
      </c>
      <c r="L1532" s="32">
        <v>0</v>
      </c>
      <c r="M1532" s="35">
        <f>+J1532+L1532</f>
        <v>-20800819.199999999</v>
      </c>
      <c r="N1532" s="28" t="s">
        <v>1935</v>
      </c>
      <c r="O1532" s="29" t="s">
        <v>1936</v>
      </c>
      <c r="P1532" s="36">
        <v>42899</v>
      </c>
      <c r="Q1532" s="31">
        <v>26649.99</v>
      </c>
      <c r="R1532" s="33">
        <f>M1532/Q1532</f>
        <v>-780.51883696766856</v>
      </c>
    </row>
    <row r="1533" spans="1:18" s="30" customFormat="1" ht="15" customHeight="1">
      <c r="A1533" s="37" t="s">
        <v>293</v>
      </c>
      <c r="B1533" s="26" t="s">
        <v>294</v>
      </c>
      <c r="C1533" s="39">
        <v>82</v>
      </c>
      <c r="D1533" s="40" t="s">
        <v>2280</v>
      </c>
      <c r="E1533" s="38" t="s">
        <v>3</v>
      </c>
      <c r="F1533" s="38" t="s">
        <v>10</v>
      </c>
      <c r="G1533" s="32">
        <v>44802347</v>
      </c>
      <c r="H1533" s="32">
        <v>34975132</v>
      </c>
      <c r="I1533" s="32">
        <v>543818</v>
      </c>
      <c r="J1533" s="35">
        <f>+G1533-H1533+I1533</f>
        <v>10371033</v>
      </c>
      <c r="K1533" s="28">
        <v>0</v>
      </c>
      <c r="L1533" s="32">
        <v>0</v>
      </c>
      <c r="M1533" s="35">
        <f>+J1533+L1533</f>
        <v>10371033</v>
      </c>
      <c r="N1533" s="28" t="s">
        <v>1830</v>
      </c>
      <c r="O1533" s="29" t="s">
        <v>1831</v>
      </c>
      <c r="P1533" s="36">
        <v>43878</v>
      </c>
      <c r="Q1533" s="31">
        <v>28393.3</v>
      </c>
      <c r="R1533" s="33">
        <f>M1533/Q1533</f>
        <v>365.26338960247665</v>
      </c>
    </row>
    <row r="1534" spans="1:18" s="30" customFormat="1" ht="15" customHeight="1">
      <c r="A1534" s="37" t="s">
        <v>356</v>
      </c>
      <c r="B1534" s="26" t="s">
        <v>1841</v>
      </c>
      <c r="C1534" s="39">
        <v>82</v>
      </c>
      <c r="D1534" s="40" t="s">
        <v>2281</v>
      </c>
      <c r="E1534" s="38" t="s">
        <v>6</v>
      </c>
      <c r="F1534" s="38" t="s">
        <v>13</v>
      </c>
      <c r="G1534" s="32">
        <v>0</v>
      </c>
      <c r="H1534" s="32">
        <v>0</v>
      </c>
      <c r="I1534" s="32">
        <v>1588328</v>
      </c>
      <c r="J1534" s="35">
        <f>+G1534-H1534+I1534</f>
        <v>1588328</v>
      </c>
      <c r="K1534" s="28">
        <v>0</v>
      </c>
      <c r="L1534" s="32">
        <v>0</v>
      </c>
      <c r="M1534" s="35">
        <f>+J1534+L1534</f>
        <v>1588328</v>
      </c>
      <c r="N1534" s="28" t="s">
        <v>2155</v>
      </c>
      <c r="O1534" s="29" t="s">
        <v>2156</v>
      </c>
      <c r="P1534" s="36">
        <v>44308</v>
      </c>
      <c r="Q1534" s="31">
        <v>29462.75</v>
      </c>
      <c r="R1534" s="33">
        <f>M1534/Q1534</f>
        <v>53.909699535854593</v>
      </c>
    </row>
    <row r="1535" spans="1:18" s="30" customFormat="1" ht="15" customHeight="1">
      <c r="A1535" s="37" t="s">
        <v>356</v>
      </c>
      <c r="B1535" s="26" t="s">
        <v>1540</v>
      </c>
      <c r="C1535" s="39">
        <v>82</v>
      </c>
      <c r="D1535" s="40" t="s">
        <v>2282</v>
      </c>
      <c r="E1535" s="38" t="s">
        <v>3</v>
      </c>
      <c r="F1535" s="38" t="s">
        <v>10</v>
      </c>
      <c r="G1535" s="32">
        <v>9531314.9853470735</v>
      </c>
      <c r="H1535" s="32">
        <v>0</v>
      </c>
      <c r="I1535" s="52">
        <v>0</v>
      </c>
      <c r="J1535" s="35">
        <f>+G1535-H1535+I1535</f>
        <v>9531314.9853470735</v>
      </c>
      <c r="K1535" s="28">
        <v>0</v>
      </c>
      <c r="L1535" s="32">
        <v>0</v>
      </c>
      <c r="M1535" s="35">
        <f>+J1535+L1535</f>
        <v>9531314.9853470735</v>
      </c>
      <c r="N1535" s="28" t="s">
        <v>2203</v>
      </c>
      <c r="O1535" s="29" t="s">
        <v>2204</v>
      </c>
      <c r="P1535" s="36">
        <v>42984</v>
      </c>
      <c r="Q1535" s="31">
        <v>26614.39</v>
      </c>
      <c r="R1535" s="33">
        <f>M1535/Q1535</f>
        <v>358.12637394082952</v>
      </c>
    </row>
    <row r="1536" spans="1:18" s="30" customFormat="1" ht="15" customHeight="1">
      <c r="A1536" s="37" t="s">
        <v>39</v>
      </c>
      <c r="B1536" s="26" t="s">
        <v>1658</v>
      </c>
      <c r="C1536" s="39">
        <v>82</v>
      </c>
      <c r="D1536" s="40" t="s">
        <v>2283</v>
      </c>
      <c r="E1536" s="38" t="s">
        <v>3</v>
      </c>
      <c r="F1536" s="38" t="s">
        <v>11</v>
      </c>
      <c r="G1536" s="32">
        <v>9519009.1363813002</v>
      </c>
      <c r="H1536" s="32">
        <v>0</v>
      </c>
      <c r="I1536" s="32">
        <v>753407.44799999997</v>
      </c>
      <c r="J1536" s="35">
        <f>+G1536-H1536+I1536</f>
        <v>10272416.584381301</v>
      </c>
      <c r="K1536" s="28">
        <v>0</v>
      </c>
      <c r="L1536" s="32">
        <v>0</v>
      </c>
      <c r="M1536" s="35">
        <f>+J1536+L1536</f>
        <v>10272416.584381301</v>
      </c>
      <c r="N1536" s="28" t="s">
        <v>2120</v>
      </c>
      <c r="O1536" s="29" t="s">
        <v>2121</v>
      </c>
      <c r="P1536" s="36">
        <v>43448</v>
      </c>
      <c r="Q1536" s="31">
        <v>27565.79</v>
      </c>
      <c r="R1536" s="33">
        <f>M1536/Q1536</f>
        <v>372.65090477658362</v>
      </c>
    </row>
    <row r="1537" spans="1:18" s="30" customFormat="1" ht="15" customHeight="1">
      <c r="A1537" s="37" t="s">
        <v>391</v>
      </c>
      <c r="B1537" s="26" t="s">
        <v>392</v>
      </c>
      <c r="C1537" s="39">
        <v>133</v>
      </c>
      <c r="D1537" s="40" t="s">
        <v>2284</v>
      </c>
      <c r="E1537" s="38" t="s">
        <v>3</v>
      </c>
      <c r="F1537" s="38" t="s">
        <v>15</v>
      </c>
      <c r="G1537" s="32">
        <v>7919244</v>
      </c>
      <c r="H1537" s="32">
        <v>0</v>
      </c>
      <c r="I1537" s="32">
        <v>6717064</v>
      </c>
      <c r="J1537" s="35">
        <f>+G1537-H1537+I1537</f>
        <v>14636308</v>
      </c>
      <c r="K1537" s="27"/>
      <c r="L1537" s="32">
        <v>0</v>
      </c>
      <c r="M1537" s="35">
        <f>+J1537+L1537</f>
        <v>14636308</v>
      </c>
      <c r="N1537" s="28" t="s">
        <v>684</v>
      </c>
      <c r="O1537" s="29" t="s">
        <v>395</v>
      </c>
      <c r="P1537" s="36">
        <v>44293</v>
      </c>
      <c r="Q1537" s="31">
        <v>29408.04</v>
      </c>
      <c r="R1537" s="33">
        <f>M1537/Q1537</f>
        <v>497.6975004114521</v>
      </c>
    </row>
    <row r="1538" spans="1:18" s="30" customFormat="1" ht="15" customHeight="1">
      <c r="A1538" s="37" t="s">
        <v>52</v>
      </c>
      <c r="B1538" s="26" t="s">
        <v>555</v>
      </c>
      <c r="C1538" s="39">
        <v>82</v>
      </c>
      <c r="D1538" s="40" t="s">
        <v>2285</v>
      </c>
      <c r="E1538" s="38" t="s">
        <v>3</v>
      </c>
      <c r="F1538" s="38" t="s">
        <v>11</v>
      </c>
      <c r="G1538" s="32">
        <v>0</v>
      </c>
      <c r="H1538" s="32">
        <v>0</v>
      </c>
      <c r="I1538" s="32">
        <v>4466542</v>
      </c>
      <c r="J1538" s="35">
        <f>+G1538-H1538+I1538</f>
        <v>4466542</v>
      </c>
      <c r="K1538" s="28">
        <v>0</v>
      </c>
      <c r="L1538" s="32">
        <v>0</v>
      </c>
      <c r="M1538" s="35">
        <f>+J1538+L1538</f>
        <v>4466542</v>
      </c>
      <c r="N1538" s="28" t="s">
        <v>2173</v>
      </c>
      <c r="O1538" s="29" t="s">
        <v>2174</v>
      </c>
      <c r="P1538" s="36">
        <v>43140</v>
      </c>
      <c r="Q1538" s="31">
        <v>26832.73</v>
      </c>
      <c r="R1538" s="33">
        <f>M1538/Q1538</f>
        <v>166.45872410298915</v>
      </c>
    </row>
    <row r="1539" spans="1:18" s="30" customFormat="1" ht="15" customHeight="1">
      <c r="A1539" s="37" t="s">
        <v>688</v>
      </c>
      <c r="B1539" s="26" t="s">
        <v>1728</v>
      </c>
      <c r="C1539" s="39">
        <v>82</v>
      </c>
      <c r="D1539" s="40" t="s">
        <v>2286</v>
      </c>
      <c r="E1539" s="38" t="s">
        <v>4</v>
      </c>
      <c r="F1539" s="38" t="s">
        <v>21</v>
      </c>
      <c r="G1539" s="32">
        <v>5857826</v>
      </c>
      <c r="H1539" s="32">
        <v>0</v>
      </c>
      <c r="I1539" s="52">
        <v>0</v>
      </c>
      <c r="J1539" s="35">
        <f>+G1539-H1539+I1539</f>
        <v>5857826</v>
      </c>
      <c r="K1539" s="28">
        <v>0</v>
      </c>
      <c r="L1539" s="32">
        <v>0</v>
      </c>
      <c r="M1539" s="35">
        <f>+J1539+L1539</f>
        <v>5857826</v>
      </c>
      <c r="N1539" s="28" t="s">
        <v>1935</v>
      </c>
      <c r="O1539" s="29" t="s">
        <v>1936</v>
      </c>
      <c r="P1539" s="36">
        <v>42899</v>
      </c>
      <c r="Q1539" s="31">
        <v>26649.99</v>
      </c>
      <c r="R1539" s="33">
        <f>M1539/Q1539</f>
        <v>219.80593613731185</v>
      </c>
    </row>
    <row r="1540" spans="1:18" s="30" customFormat="1" ht="15" customHeight="1">
      <c r="A1540" s="37" t="s">
        <v>293</v>
      </c>
      <c r="B1540" s="26" t="s">
        <v>294</v>
      </c>
      <c r="C1540" s="39">
        <v>81</v>
      </c>
      <c r="D1540" s="40" t="s">
        <v>2287</v>
      </c>
      <c r="E1540" s="38" t="s">
        <v>3</v>
      </c>
      <c r="F1540" s="38" t="s">
        <v>10</v>
      </c>
      <c r="G1540" s="32">
        <v>3350205</v>
      </c>
      <c r="H1540" s="32">
        <v>1553879</v>
      </c>
      <c r="I1540" s="32">
        <v>1279002</v>
      </c>
      <c r="J1540" s="35">
        <f>+G1540-H1540+I1540</f>
        <v>3075328</v>
      </c>
      <c r="K1540" s="28">
        <v>0</v>
      </c>
      <c r="L1540" s="32">
        <v>0</v>
      </c>
      <c r="M1540" s="35">
        <f>+J1540+L1540</f>
        <v>3075328</v>
      </c>
      <c r="N1540" s="28" t="s">
        <v>1537</v>
      </c>
      <c r="O1540" s="29" t="s">
        <v>1538</v>
      </c>
      <c r="P1540" s="36">
        <v>43914</v>
      </c>
      <c r="Q1540" s="31">
        <v>28331.86</v>
      </c>
      <c r="R1540" s="33">
        <f>M1540/Q1540</f>
        <v>108.54663266019244</v>
      </c>
    </row>
    <row r="1541" spans="1:18" s="30" customFormat="1" ht="15" customHeight="1">
      <c r="A1541" s="37" t="s">
        <v>356</v>
      </c>
      <c r="B1541" s="26" t="s">
        <v>1841</v>
      </c>
      <c r="C1541" s="39">
        <v>81</v>
      </c>
      <c r="D1541" s="40" t="s">
        <v>2288</v>
      </c>
      <c r="E1541" s="38" t="s">
        <v>6</v>
      </c>
      <c r="F1541" s="38" t="s">
        <v>13</v>
      </c>
      <c r="G1541" s="32">
        <v>521935</v>
      </c>
      <c r="H1541" s="32">
        <v>0</v>
      </c>
      <c r="I1541" s="32">
        <v>708417</v>
      </c>
      <c r="J1541" s="35">
        <f>+G1541-H1541+I1541</f>
        <v>1230352</v>
      </c>
      <c r="K1541" s="28">
        <v>0</v>
      </c>
      <c r="L1541" s="32">
        <v>0</v>
      </c>
      <c r="M1541" s="35">
        <f>+J1541+L1541</f>
        <v>1230352</v>
      </c>
      <c r="N1541" s="28" t="s">
        <v>2155</v>
      </c>
      <c r="O1541" s="29" t="s">
        <v>2156</v>
      </c>
      <c r="P1541" s="36">
        <v>44308</v>
      </c>
      <c r="Q1541" s="31">
        <v>29462.75</v>
      </c>
      <c r="R1541" s="33">
        <f>M1541/Q1541</f>
        <v>41.759577771932356</v>
      </c>
    </row>
    <row r="1542" spans="1:18" s="30" customFormat="1" ht="15" customHeight="1">
      <c r="A1542" s="37" t="s">
        <v>39</v>
      </c>
      <c r="B1542" s="26" t="s">
        <v>1658</v>
      </c>
      <c r="C1542" s="39">
        <v>81</v>
      </c>
      <c r="D1542" s="40" t="s">
        <v>2289</v>
      </c>
      <c r="E1542" s="38" t="s">
        <v>4</v>
      </c>
      <c r="F1542" s="38" t="s">
        <v>11</v>
      </c>
      <c r="G1542" s="32">
        <v>7295295.4867179496</v>
      </c>
      <c r="H1542" s="32">
        <v>0</v>
      </c>
      <c r="I1542" s="52">
        <v>0</v>
      </c>
      <c r="J1542" s="35">
        <f>+G1542-H1542+I1542</f>
        <v>7295295.4867179496</v>
      </c>
      <c r="K1542" s="28">
        <v>0</v>
      </c>
      <c r="L1542" s="32">
        <v>0</v>
      </c>
      <c r="M1542" s="35">
        <f>+J1542+L1542</f>
        <v>7295295.4867179496</v>
      </c>
      <c r="N1542" s="28" t="s">
        <v>2120</v>
      </c>
      <c r="O1542" s="29" t="s">
        <v>2121</v>
      </c>
      <c r="P1542" s="36">
        <v>43448</v>
      </c>
      <c r="Q1542" s="31">
        <v>27565.79</v>
      </c>
      <c r="R1542" s="33">
        <f>M1542/Q1542</f>
        <v>264.65033241267344</v>
      </c>
    </row>
    <row r="1543" spans="1:18" s="30" customFormat="1" ht="15" customHeight="1">
      <c r="A1543" s="37" t="s">
        <v>52</v>
      </c>
      <c r="B1543" s="26" t="s">
        <v>555</v>
      </c>
      <c r="C1543" s="39">
        <v>81</v>
      </c>
      <c r="D1543" s="40" t="s">
        <v>2290</v>
      </c>
      <c r="E1543" s="38" t="s">
        <v>3</v>
      </c>
      <c r="F1543" s="38" t="s">
        <v>11</v>
      </c>
      <c r="G1543" s="32">
        <v>314806</v>
      </c>
      <c r="H1543" s="32">
        <v>0</v>
      </c>
      <c r="I1543" s="32">
        <v>12427723</v>
      </c>
      <c r="J1543" s="35">
        <f>+G1543-H1543+I1543</f>
        <v>12742529</v>
      </c>
      <c r="K1543" s="28">
        <v>0</v>
      </c>
      <c r="L1543" s="32">
        <v>0</v>
      </c>
      <c r="M1543" s="35">
        <f>+J1543+L1543</f>
        <v>12742529</v>
      </c>
      <c r="N1543" s="28" t="s">
        <v>2173</v>
      </c>
      <c r="O1543" s="29" t="s">
        <v>2174</v>
      </c>
      <c r="P1543" s="36">
        <v>43140</v>
      </c>
      <c r="Q1543" s="31">
        <v>26832.73</v>
      </c>
      <c r="R1543" s="33">
        <f>M1543/Q1543</f>
        <v>474.88753473835874</v>
      </c>
    </row>
    <row r="1544" spans="1:18" s="30" customFormat="1" ht="15" customHeight="1">
      <c r="A1544" s="46" t="s">
        <v>189</v>
      </c>
      <c r="B1544" s="26" t="s">
        <v>225</v>
      </c>
      <c r="C1544" s="65">
        <v>81</v>
      </c>
      <c r="D1544" s="51" t="s">
        <v>2291</v>
      </c>
      <c r="E1544" s="38" t="s">
        <v>3</v>
      </c>
      <c r="F1544" s="38" t="s">
        <v>13</v>
      </c>
      <c r="G1544" s="52">
        <v>3061530</v>
      </c>
      <c r="H1544" s="52">
        <v>2503448</v>
      </c>
      <c r="I1544" s="52">
        <v>312974</v>
      </c>
      <c r="J1544" s="53">
        <f>+G1544-H1544+I1544</f>
        <v>871056</v>
      </c>
      <c r="K1544" s="70">
        <v>0</v>
      </c>
      <c r="L1544" s="52">
        <v>0</v>
      </c>
      <c r="M1544" s="53">
        <f>+J1544+L1544</f>
        <v>871056</v>
      </c>
      <c r="N1544" s="55" t="s">
        <v>1168</v>
      </c>
      <c r="O1544" s="56" t="s">
        <v>1169</v>
      </c>
      <c r="P1544" s="56">
        <v>44725</v>
      </c>
      <c r="Q1544" s="49">
        <v>33243.86</v>
      </c>
      <c r="R1544" s="57">
        <f>M1544/Q1544</f>
        <v>26.202011439104844</v>
      </c>
    </row>
    <row r="1545" spans="1:18" s="30" customFormat="1" ht="15" customHeight="1">
      <c r="A1545" s="37" t="s">
        <v>688</v>
      </c>
      <c r="B1545" s="26" t="s">
        <v>1728</v>
      </c>
      <c r="C1545" s="39">
        <v>81</v>
      </c>
      <c r="D1545" s="40" t="s">
        <v>2292</v>
      </c>
      <c r="E1545" s="38" t="s">
        <v>4</v>
      </c>
      <c r="F1545" s="38" t="s">
        <v>21</v>
      </c>
      <c r="G1545" s="32">
        <v>9882789.6831999999</v>
      </c>
      <c r="H1545" s="32">
        <v>0</v>
      </c>
      <c r="I1545" s="32">
        <v>14313668.812799999</v>
      </c>
      <c r="J1545" s="35">
        <f>+G1545-H1545+I1545</f>
        <v>24196458.495999999</v>
      </c>
      <c r="K1545" s="28">
        <v>0</v>
      </c>
      <c r="L1545" s="32">
        <v>0</v>
      </c>
      <c r="M1545" s="35">
        <f>+J1545+L1545</f>
        <v>24196458.495999999</v>
      </c>
      <c r="N1545" s="28" t="s">
        <v>1935</v>
      </c>
      <c r="O1545" s="29" t="s">
        <v>1936</v>
      </c>
      <c r="P1545" s="36">
        <v>42899</v>
      </c>
      <c r="Q1545" s="31">
        <v>26649.99</v>
      </c>
      <c r="R1545" s="33">
        <f>M1545/Q1545</f>
        <v>907.93499344652651</v>
      </c>
    </row>
    <row r="1546" spans="1:18" s="30" customFormat="1" ht="15" customHeight="1">
      <c r="A1546" s="37" t="s">
        <v>293</v>
      </c>
      <c r="B1546" s="26" t="s">
        <v>294</v>
      </c>
      <c r="C1546" s="39">
        <v>80</v>
      </c>
      <c r="D1546" s="40" t="s">
        <v>2293</v>
      </c>
      <c r="E1546" s="38" t="s">
        <v>3</v>
      </c>
      <c r="F1546" s="38" t="s">
        <v>10</v>
      </c>
      <c r="G1546" s="32">
        <v>4597520</v>
      </c>
      <c r="H1546" s="32">
        <v>1073420</v>
      </c>
      <c r="I1546" s="52">
        <v>0</v>
      </c>
      <c r="J1546" s="35">
        <f>+G1546-H1546+I1546</f>
        <v>3524100</v>
      </c>
      <c r="K1546" s="28">
        <v>0</v>
      </c>
      <c r="L1546" s="32">
        <v>0</v>
      </c>
      <c r="M1546" s="35">
        <f>+J1546+L1546</f>
        <v>3524100</v>
      </c>
      <c r="N1546" s="28" t="s">
        <v>1626</v>
      </c>
      <c r="O1546" s="29" t="s">
        <v>1627</v>
      </c>
      <c r="P1546" s="36">
        <v>43886</v>
      </c>
      <c r="Q1546" s="31">
        <v>28440.19</v>
      </c>
      <c r="R1546" s="33">
        <f>M1546/Q1546</f>
        <v>123.91267428241514</v>
      </c>
    </row>
    <row r="1547" spans="1:18" s="30" customFormat="1" ht="15" customHeight="1">
      <c r="A1547" s="37" t="s">
        <v>356</v>
      </c>
      <c r="B1547" s="26" t="s">
        <v>1841</v>
      </c>
      <c r="C1547" s="39">
        <v>80</v>
      </c>
      <c r="D1547" s="40" t="s">
        <v>2294</v>
      </c>
      <c r="E1547" s="38" t="s">
        <v>4</v>
      </c>
      <c r="F1547" s="38" t="s">
        <v>11</v>
      </c>
      <c r="G1547" s="32">
        <v>2962675</v>
      </c>
      <c r="H1547" s="32">
        <v>1275352</v>
      </c>
      <c r="I1547" s="52">
        <v>0</v>
      </c>
      <c r="J1547" s="35">
        <f>+G1547-H1547+I1547</f>
        <v>1687323</v>
      </c>
      <c r="K1547" s="28">
        <v>0</v>
      </c>
      <c r="L1547" s="32">
        <v>0</v>
      </c>
      <c r="M1547" s="35">
        <f>+J1547+L1547</f>
        <v>1687323</v>
      </c>
      <c r="N1547" s="28" t="s">
        <v>2295</v>
      </c>
      <c r="O1547" s="29" t="s">
        <v>2296</v>
      </c>
      <c r="P1547" s="36">
        <v>44169</v>
      </c>
      <c r="Q1547" s="31">
        <v>29057.18</v>
      </c>
      <c r="R1547" s="33">
        <f>M1547/Q1547</f>
        <v>58.069055565612352</v>
      </c>
    </row>
    <row r="1548" spans="1:18" s="30" customFormat="1" ht="15" customHeight="1">
      <c r="A1548" s="37" t="s">
        <v>356</v>
      </c>
      <c r="B1548" s="26" t="s">
        <v>1540</v>
      </c>
      <c r="C1548" s="39">
        <v>80</v>
      </c>
      <c r="D1548" s="40" t="s">
        <v>2297</v>
      </c>
      <c r="E1548" s="38" t="s">
        <v>3</v>
      </c>
      <c r="F1548" s="38" t="s">
        <v>11</v>
      </c>
      <c r="G1548" s="32">
        <v>2024439</v>
      </c>
      <c r="H1548" s="32">
        <v>0</v>
      </c>
      <c r="I1548" s="52">
        <v>0</v>
      </c>
      <c r="J1548" s="35">
        <f>+G1548-H1548+I1548</f>
        <v>2024439</v>
      </c>
      <c r="K1548" s="28">
        <v>0</v>
      </c>
      <c r="L1548" s="32">
        <v>0</v>
      </c>
      <c r="M1548" s="35">
        <f>+J1548+L1548</f>
        <v>2024439</v>
      </c>
      <c r="N1548" s="28" t="s">
        <v>2035</v>
      </c>
      <c r="O1548" s="29" t="s">
        <v>2036</v>
      </c>
      <c r="P1548" s="36">
        <v>43081</v>
      </c>
      <c r="Q1548" s="31">
        <v>26781.73</v>
      </c>
      <c r="R1548" s="33">
        <f>M1548/Q1548</f>
        <v>75.590299805128353</v>
      </c>
    </row>
    <row r="1549" spans="1:18" s="30" customFormat="1" ht="15" customHeight="1">
      <c r="A1549" s="37" t="s">
        <v>166</v>
      </c>
      <c r="B1549" s="26" t="s">
        <v>167</v>
      </c>
      <c r="C1549" s="39" t="s">
        <v>2298</v>
      </c>
      <c r="D1549" s="40" t="s">
        <v>2299</v>
      </c>
      <c r="E1549" s="38" t="s">
        <v>4</v>
      </c>
      <c r="F1549" s="38" t="s">
        <v>12</v>
      </c>
      <c r="G1549" s="32">
        <v>8254686</v>
      </c>
      <c r="H1549" s="32">
        <v>4404310</v>
      </c>
      <c r="I1549" s="52">
        <v>0</v>
      </c>
      <c r="J1549" s="35">
        <f>+G1549-H1549+I1549</f>
        <v>3850376</v>
      </c>
      <c r="K1549" s="27" t="s">
        <v>170</v>
      </c>
      <c r="L1549" s="32">
        <v>0</v>
      </c>
      <c r="M1549" s="35">
        <f>+J1549+L1549</f>
        <v>3850376</v>
      </c>
      <c r="N1549" s="28" t="s">
        <v>171</v>
      </c>
      <c r="O1549" s="29" t="s">
        <v>1531</v>
      </c>
      <c r="P1549" s="36">
        <v>44341</v>
      </c>
      <c r="Q1549" s="31">
        <v>29513.759999999998</v>
      </c>
      <c r="R1549" s="33">
        <f>+M1549/Q1549</f>
        <v>130.46036831633788</v>
      </c>
    </row>
    <row r="1550" spans="1:18" s="30" customFormat="1" ht="15" customHeight="1">
      <c r="A1550" s="37" t="s">
        <v>39</v>
      </c>
      <c r="B1550" s="26" t="s">
        <v>1658</v>
      </c>
      <c r="C1550" s="39">
        <v>80</v>
      </c>
      <c r="D1550" s="40" t="s">
        <v>2300</v>
      </c>
      <c r="E1550" s="38" t="s">
        <v>4</v>
      </c>
      <c r="F1550" s="38" t="s">
        <v>12</v>
      </c>
      <c r="G1550" s="32">
        <v>50087830.402240604</v>
      </c>
      <c r="H1550" s="32">
        <v>839033435.56062508</v>
      </c>
      <c r="I1550" s="32">
        <v>714339573.39600003</v>
      </c>
      <c r="J1550" s="35">
        <f>+G1550-H1550+I1550</f>
        <v>-74606031.762384415</v>
      </c>
      <c r="K1550" s="28">
        <v>0</v>
      </c>
      <c r="L1550" s="32">
        <v>0</v>
      </c>
      <c r="M1550" s="35">
        <f>+J1550+L1550</f>
        <v>-74606031.762384415</v>
      </c>
      <c r="N1550" s="28" t="s">
        <v>2120</v>
      </c>
      <c r="O1550" s="29" t="s">
        <v>2121</v>
      </c>
      <c r="P1550" s="36">
        <v>43448</v>
      </c>
      <c r="Q1550" s="31">
        <v>27565.79</v>
      </c>
      <c r="R1550" s="33">
        <f>M1550/Q1550</f>
        <v>-2706.4717449557734</v>
      </c>
    </row>
    <row r="1551" spans="1:18" s="30" customFormat="1" ht="15" customHeight="1">
      <c r="A1551" s="37" t="s">
        <v>166</v>
      </c>
      <c r="B1551" s="26" t="s">
        <v>167</v>
      </c>
      <c r="C1551" s="39" t="s">
        <v>2301</v>
      </c>
      <c r="D1551" s="40" t="s">
        <v>2302</v>
      </c>
      <c r="E1551" s="38" t="s">
        <v>3</v>
      </c>
      <c r="F1551" s="38" t="s">
        <v>10</v>
      </c>
      <c r="G1551" s="32">
        <v>8346163</v>
      </c>
      <c r="H1551" s="32">
        <v>0</v>
      </c>
      <c r="I1551" s="52">
        <v>0</v>
      </c>
      <c r="J1551" s="35">
        <f>+G1551-H1551+I1551</f>
        <v>8346163</v>
      </c>
      <c r="K1551" s="27" t="s">
        <v>170</v>
      </c>
      <c r="L1551" s="32">
        <v>0</v>
      </c>
      <c r="M1551" s="35">
        <f>+J1551+L1551</f>
        <v>8346163</v>
      </c>
      <c r="N1551" s="28" t="s">
        <v>171</v>
      </c>
      <c r="O1551" s="29" t="s">
        <v>172</v>
      </c>
      <c r="P1551" s="36">
        <v>44341</v>
      </c>
      <c r="Q1551" s="31">
        <v>29513.759999999998</v>
      </c>
      <c r="R1551" s="33">
        <v>283</v>
      </c>
    </row>
    <row r="1552" spans="1:18" s="30" customFormat="1" ht="15" customHeight="1">
      <c r="A1552" s="37" t="s">
        <v>688</v>
      </c>
      <c r="B1552" s="26" t="s">
        <v>1728</v>
      </c>
      <c r="C1552" s="39">
        <v>80</v>
      </c>
      <c r="D1552" s="40" t="s">
        <v>2303</v>
      </c>
      <c r="E1552" s="38" t="s">
        <v>4</v>
      </c>
      <c r="F1552" s="38" t="s">
        <v>20</v>
      </c>
      <c r="G1552" s="32">
        <v>0</v>
      </c>
      <c r="H1552" s="32">
        <v>21510098</v>
      </c>
      <c r="I1552" s="52">
        <v>0</v>
      </c>
      <c r="J1552" s="35">
        <f>+G1552-H1552+I1552</f>
        <v>-21510098</v>
      </c>
      <c r="K1552" s="28">
        <v>0</v>
      </c>
      <c r="L1552" s="32">
        <v>0</v>
      </c>
      <c r="M1552" s="35">
        <f>+J1552+L1552</f>
        <v>-21510098</v>
      </c>
      <c r="N1552" s="28" t="s">
        <v>1935</v>
      </c>
      <c r="O1552" s="29" t="s">
        <v>1936</v>
      </c>
      <c r="P1552" s="36">
        <v>42899</v>
      </c>
      <c r="Q1552" s="31">
        <v>26649.99</v>
      </c>
      <c r="R1552" s="33">
        <f>M1552/Q1552</f>
        <v>-807.13343607258389</v>
      </c>
    </row>
    <row r="1553" spans="1:18" s="30" customFormat="1" ht="15" customHeight="1">
      <c r="A1553" s="37" t="s">
        <v>391</v>
      </c>
      <c r="B1553" s="26" t="s">
        <v>392</v>
      </c>
      <c r="C1553" s="39">
        <v>79</v>
      </c>
      <c r="D1553" s="40" t="s">
        <v>2304</v>
      </c>
      <c r="E1553" s="38" t="s">
        <v>3</v>
      </c>
      <c r="F1553" s="38" t="s">
        <v>10</v>
      </c>
      <c r="G1553" s="32">
        <v>109876319</v>
      </c>
      <c r="H1553" s="32">
        <v>48579551</v>
      </c>
      <c r="I1553" s="32">
        <v>16998936</v>
      </c>
      <c r="J1553" s="35">
        <f>+G1553-H1553+I1553</f>
        <v>78295704</v>
      </c>
      <c r="K1553" s="28">
        <v>0</v>
      </c>
      <c r="L1553" s="32">
        <v>0</v>
      </c>
      <c r="M1553" s="35">
        <f>+J1553+L1553</f>
        <v>78295704</v>
      </c>
      <c r="N1553" s="28" t="s">
        <v>2026</v>
      </c>
      <c r="O1553" s="29" t="s">
        <v>2027</v>
      </c>
      <c r="P1553" s="36">
        <v>43789</v>
      </c>
      <c r="Q1553" s="31">
        <v>28147.47</v>
      </c>
      <c r="R1553" s="33">
        <f>M1553/Q1553</f>
        <v>2781.6249204635442</v>
      </c>
    </row>
    <row r="1554" spans="1:18" s="30" customFormat="1" ht="15" customHeight="1">
      <c r="A1554" s="37" t="s">
        <v>236</v>
      </c>
      <c r="B1554" s="26" t="s">
        <v>237</v>
      </c>
      <c r="C1554" s="39" t="s">
        <v>1070</v>
      </c>
      <c r="D1554" s="40" t="s">
        <v>2305</v>
      </c>
      <c r="E1554" s="38" t="s">
        <v>3</v>
      </c>
      <c r="F1554" s="38" t="s">
        <v>9</v>
      </c>
      <c r="G1554" s="32">
        <v>8407753.4999998994</v>
      </c>
      <c r="H1554" s="32">
        <v>0</v>
      </c>
      <c r="I1554" s="32">
        <v>21738145.499990001</v>
      </c>
      <c r="J1554" s="35">
        <f>+G1554-H1554+I1554</f>
        <v>30145898.999989901</v>
      </c>
      <c r="K1554" s="27">
        <v>120</v>
      </c>
      <c r="L1554" s="32">
        <v>0</v>
      </c>
      <c r="M1554" s="35">
        <f>+J1554+L1554</f>
        <v>30145898.999989901</v>
      </c>
      <c r="N1554" s="28" t="s">
        <v>240</v>
      </c>
      <c r="O1554" s="29" t="s">
        <v>241</v>
      </c>
      <c r="P1554" s="36">
        <v>44294</v>
      </c>
      <c r="Q1554" s="31">
        <v>29409.93</v>
      </c>
      <c r="R1554" s="33">
        <f>M1554/Q1554</f>
        <v>1025.024507028405</v>
      </c>
    </row>
    <row r="1555" spans="1:18" s="30" customFormat="1" ht="15" customHeight="1">
      <c r="A1555" s="37" t="s">
        <v>293</v>
      </c>
      <c r="B1555" s="26" t="s">
        <v>294</v>
      </c>
      <c r="C1555" s="39">
        <v>79</v>
      </c>
      <c r="D1555" s="40" t="s">
        <v>2306</v>
      </c>
      <c r="E1555" s="38" t="s">
        <v>3</v>
      </c>
      <c r="F1555" s="38" t="s">
        <v>10</v>
      </c>
      <c r="G1555" s="32">
        <v>136627</v>
      </c>
      <c r="H1555" s="32">
        <v>0</v>
      </c>
      <c r="I1555" s="32">
        <v>2646384</v>
      </c>
      <c r="J1555" s="35">
        <f>+G1555-H1555+I1555</f>
        <v>2783011</v>
      </c>
      <c r="K1555" s="28">
        <v>0</v>
      </c>
      <c r="L1555" s="32">
        <v>0</v>
      </c>
      <c r="M1555" s="35">
        <f>+J1555+L1555</f>
        <v>2783011</v>
      </c>
      <c r="N1555" s="28" t="s">
        <v>1411</v>
      </c>
      <c r="O1555" s="29" t="s">
        <v>1412</v>
      </c>
      <c r="P1555" s="36" t="s">
        <v>1413</v>
      </c>
      <c r="Q1555" s="31">
        <v>29598.01</v>
      </c>
      <c r="R1555" s="33">
        <f>+M1555/Q1555</f>
        <v>94.026963299221805</v>
      </c>
    </row>
    <row r="1556" spans="1:18" s="30" customFormat="1" ht="15" customHeight="1">
      <c r="A1556" s="37" t="s">
        <v>356</v>
      </c>
      <c r="B1556" s="26" t="s">
        <v>1841</v>
      </c>
      <c r="C1556" s="39">
        <v>79</v>
      </c>
      <c r="D1556" s="40" t="s">
        <v>2307</v>
      </c>
      <c r="E1556" s="38" t="s">
        <v>3</v>
      </c>
      <c r="F1556" s="38" t="s">
        <v>11</v>
      </c>
      <c r="G1556" s="32">
        <v>0</v>
      </c>
      <c r="H1556" s="32">
        <v>0</v>
      </c>
      <c r="I1556" s="32">
        <v>13639745</v>
      </c>
      <c r="J1556" s="35">
        <f>+G1556-H1556+I1556</f>
        <v>13639745</v>
      </c>
      <c r="K1556" s="28">
        <v>0</v>
      </c>
      <c r="L1556" s="32">
        <v>0</v>
      </c>
      <c r="M1556" s="35">
        <f>+J1556+L1556</f>
        <v>13639745</v>
      </c>
      <c r="N1556" s="28" t="s">
        <v>2295</v>
      </c>
      <c r="O1556" s="29" t="s">
        <v>2296</v>
      </c>
      <c r="P1556" s="36">
        <v>44169</v>
      </c>
      <c r="Q1556" s="31">
        <v>29057.18</v>
      </c>
      <c r="R1556" s="33">
        <f>M1556/Q1556</f>
        <v>469.41048649593665</v>
      </c>
    </row>
    <row r="1557" spans="1:18" s="30" customFormat="1" ht="15" customHeight="1">
      <c r="A1557" s="37" t="s">
        <v>184</v>
      </c>
      <c r="B1557" s="26" t="s">
        <v>185</v>
      </c>
      <c r="C1557" s="39">
        <v>2</v>
      </c>
      <c r="D1557" s="40" t="s">
        <v>2308</v>
      </c>
      <c r="E1557" s="38" t="s">
        <v>4</v>
      </c>
      <c r="F1557" s="38" t="s">
        <v>9</v>
      </c>
      <c r="G1557" s="32">
        <v>8502922</v>
      </c>
      <c r="H1557" s="32">
        <v>42076503</v>
      </c>
      <c r="I1557" s="32">
        <v>10739231</v>
      </c>
      <c r="J1557" s="35">
        <f>+G1557-H1557+I1557</f>
        <v>-22834350</v>
      </c>
      <c r="K1557" s="27"/>
      <c r="L1557" s="32">
        <v>0</v>
      </c>
      <c r="M1557" s="35">
        <f>+J1557+L1557</f>
        <v>-22834350</v>
      </c>
      <c r="N1557" s="28" t="s">
        <v>187</v>
      </c>
      <c r="O1557" s="29" t="s">
        <v>188</v>
      </c>
      <c r="P1557" s="36">
        <v>44166</v>
      </c>
      <c r="Q1557" s="31">
        <v>29036.92</v>
      </c>
      <c r="R1557" s="33">
        <f>M1557/Q1557</f>
        <v>-786.39022320549157</v>
      </c>
    </row>
    <row r="1558" spans="1:18" s="30" customFormat="1" ht="15" customHeight="1">
      <c r="A1558" s="37" t="s">
        <v>356</v>
      </c>
      <c r="B1558" s="26" t="s">
        <v>1540</v>
      </c>
      <c r="C1558" s="39">
        <v>79</v>
      </c>
      <c r="D1558" s="40" t="s">
        <v>2309</v>
      </c>
      <c r="E1558" s="38" t="s">
        <v>3</v>
      </c>
      <c r="F1558" s="38" t="s">
        <v>11</v>
      </c>
      <c r="G1558" s="32">
        <v>34345922.598681696</v>
      </c>
      <c r="H1558" s="32">
        <v>9663124.6035920959</v>
      </c>
      <c r="I1558" s="32">
        <v>9422010.3124000002</v>
      </c>
      <c r="J1558" s="35">
        <f>+G1558-H1558+I1558</f>
        <v>34104808.307489596</v>
      </c>
      <c r="K1558" s="28">
        <v>0</v>
      </c>
      <c r="L1558" s="32">
        <v>0</v>
      </c>
      <c r="M1558" s="35">
        <f>+J1558+L1558</f>
        <v>34104808.307489596</v>
      </c>
      <c r="N1558" s="28" t="s">
        <v>2203</v>
      </c>
      <c r="O1558" s="29" t="s">
        <v>2204</v>
      </c>
      <c r="P1558" s="36">
        <v>42984</v>
      </c>
      <c r="Q1558" s="31">
        <v>26614.39</v>
      </c>
      <c r="R1558" s="33">
        <f>M1558/Q1558</f>
        <v>1281.4424192134254</v>
      </c>
    </row>
    <row r="1559" spans="1:18" s="30" customFormat="1" ht="15" customHeight="1">
      <c r="A1559" s="37" t="s">
        <v>39</v>
      </c>
      <c r="B1559" s="26" t="s">
        <v>1658</v>
      </c>
      <c r="C1559" s="39">
        <v>79</v>
      </c>
      <c r="D1559" s="40" t="s">
        <v>2310</v>
      </c>
      <c r="E1559" s="38" t="s">
        <v>3</v>
      </c>
      <c r="F1559" s="38" t="s">
        <v>10</v>
      </c>
      <c r="G1559" s="32">
        <v>94877242.261506408</v>
      </c>
      <c r="H1559" s="32">
        <v>14472264</v>
      </c>
      <c r="I1559" s="32">
        <v>11376363.440000001</v>
      </c>
      <c r="J1559" s="35">
        <f>+G1559-H1559+I1559</f>
        <v>91781341.701506406</v>
      </c>
      <c r="K1559" s="28">
        <v>0</v>
      </c>
      <c r="L1559" s="32">
        <v>0</v>
      </c>
      <c r="M1559" s="35">
        <f>+J1559+L1559</f>
        <v>91781341.701506406</v>
      </c>
      <c r="N1559" s="28" t="s">
        <v>2120</v>
      </c>
      <c r="O1559" s="29" t="s">
        <v>2121</v>
      </c>
      <c r="P1559" s="36">
        <v>43448</v>
      </c>
      <c r="Q1559" s="31">
        <v>27565.79</v>
      </c>
      <c r="R1559" s="33">
        <f>M1559/Q1559</f>
        <v>3329.5378692758813</v>
      </c>
    </row>
    <row r="1560" spans="1:18" s="30" customFormat="1" ht="15" customHeight="1">
      <c r="A1560" s="37" t="s">
        <v>52</v>
      </c>
      <c r="B1560" s="26" t="s">
        <v>555</v>
      </c>
      <c r="C1560" s="39">
        <v>79</v>
      </c>
      <c r="D1560" s="40" t="s">
        <v>2311</v>
      </c>
      <c r="E1560" s="38" t="s">
        <v>3</v>
      </c>
      <c r="F1560" s="38" t="s">
        <v>11</v>
      </c>
      <c r="G1560" s="32">
        <v>2106946</v>
      </c>
      <c r="H1560" s="32">
        <v>0</v>
      </c>
      <c r="I1560" s="52">
        <v>0</v>
      </c>
      <c r="J1560" s="35">
        <f>+G1560-H1560+I1560</f>
        <v>2106946</v>
      </c>
      <c r="K1560" s="28">
        <v>0</v>
      </c>
      <c r="L1560" s="32">
        <v>0</v>
      </c>
      <c r="M1560" s="35">
        <f>+J1560+L1560</f>
        <v>2106946</v>
      </c>
      <c r="N1560" s="28" t="s">
        <v>2173</v>
      </c>
      <c r="O1560" s="29" t="s">
        <v>2174</v>
      </c>
      <c r="P1560" s="36">
        <v>43140</v>
      </c>
      <c r="Q1560" s="31">
        <v>26832.73</v>
      </c>
      <c r="R1560" s="33">
        <f>M1560/Q1560</f>
        <v>78.521492222371705</v>
      </c>
    </row>
    <row r="1561" spans="1:18" s="30" customFormat="1" ht="15" customHeight="1">
      <c r="A1561" s="37" t="s">
        <v>688</v>
      </c>
      <c r="B1561" s="26" t="s">
        <v>1728</v>
      </c>
      <c r="C1561" s="39">
        <v>79</v>
      </c>
      <c r="D1561" s="40" t="s">
        <v>2312</v>
      </c>
      <c r="E1561" s="38" t="s">
        <v>4</v>
      </c>
      <c r="F1561" s="38" t="s">
        <v>20</v>
      </c>
      <c r="G1561" s="32">
        <v>0</v>
      </c>
      <c r="H1561" s="32">
        <v>40817495.039999999</v>
      </c>
      <c r="I1561" s="32">
        <v>29055873.190399997</v>
      </c>
      <c r="J1561" s="35">
        <f>+G1561-H1561+I1561</f>
        <v>-11761621.849600002</v>
      </c>
      <c r="K1561" s="28">
        <v>0</v>
      </c>
      <c r="L1561" s="32">
        <v>0</v>
      </c>
      <c r="M1561" s="35">
        <f>+J1561+L1561</f>
        <v>-11761621.849600002</v>
      </c>
      <c r="N1561" s="28" t="s">
        <v>1935</v>
      </c>
      <c r="O1561" s="29" t="s">
        <v>1936</v>
      </c>
      <c r="P1561" s="36">
        <v>42899</v>
      </c>
      <c r="Q1561" s="31">
        <v>26649.99</v>
      </c>
      <c r="R1561" s="33">
        <f>M1561/Q1561</f>
        <v>-441.33682037404145</v>
      </c>
    </row>
    <row r="1562" spans="1:18" s="30" customFormat="1" ht="15" customHeight="1">
      <c r="A1562" s="37" t="s">
        <v>391</v>
      </c>
      <c r="B1562" s="26" t="s">
        <v>392</v>
      </c>
      <c r="C1562" s="39">
        <v>78</v>
      </c>
      <c r="D1562" s="40" t="s">
        <v>2313</v>
      </c>
      <c r="E1562" s="38" t="s">
        <v>4</v>
      </c>
      <c r="F1562" s="38" t="s">
        <v>13</v>
      </c>
      <c r="G1562" s="32">
        <v>5747253</v>
      </c>
      <c r="H1562" s="32">
        <v>375768</v>
      </c>
      <c r="I1562" s="32">
        <v>1957417</v>
      </c>
      <c r="J1562" s="35">
        <f>+G1562-H1562+I1562</f>
        <v>7328902</v>
      </c>
      <c r="K1562" s="28">
        <v>0</v>
      </c>
      <c r="L1562" s="32">
        <v>0</v>
      </c>
      <c r="M1562" s="35">
        <f>+J1562+L1562</f>
        <v>7328902</v>
      </c>
      <c r="N1562" s="28" t="s">
        <v>481</v>
      </c>
      <c r="O1562" s="29" t="s">
        <v>482</v>
      </c>
      <c r="P1562" s="36">
        <v>44130</v>
      </c>
      <c r="Q1562" s="31">
        <v>28810.82</v>
      </c>
      <c r="R1562" s="33">
        <f>M1562/Q1562</f>
        <v>254.38019466297732</v>
      </c>
    </row>
    <row r="1563" spans="1:18" s="30" customFormat="1" ht="15" customHeight="1">
      <c r="A1563" s="37" t="s">
        <v>293</v>
      </c>
      <c r="B1563" s="26" t="s">
        <v>294</v>
      </c>
      <c r="C1563" s="39">
        <v>78</v>
      </c>
      <c r="D1563" s="40" t="s">
        <v>2314</v>
      </c>
      <c r="E1563" s="38" t="s">
        <v>3</v>
      </c>
      <c r="F1563" s="38" t="s">
        <v>10</v>
      </c>
      <c r="G1563" s="32">
        <v>25150624</v>
      </c>
      <c r="H1563" s="32">
        <v>24158110</v>
      </c>
      <c r="I1563" s="52">
        <v>0</v>
      </c>
      <c r="J1563" s="35">
        <f>+G1563-H1563+I1563</f>
        <v>992514</v>
      </c>
      <c r="K1563" s="28">
        <v>0</v>
      </c>
      <c r="L1563" s="32">
        <v>0</v>
      </c>
      <c r="M1563" s="35">
        <f>+J1563+L1563</f>
        <v>992514</v>
      </c>
      <c r="N1563" s="28" t="s">
        <v>1626</v>
      </c>
      <c r="O1563" s="29" t="s">
        <v>1627</v>
      </c>
      <c r="P1563" s="36">
        <v>43886</v>
      </c>
      <c r="Q1563" s="31">
        <v>28440.19</v>
      </c>
      <c r="R1563" s="33">
        <f>M1563/Q1563</f>
        <v>34.898290060650091</v>
      </c>
    </row>
    <row r="1564" spans="1:18" s="30" customFormat="1" ht="15" customHeight="1">
      <c r="A1564" s="37" t="s">
        <v>874</v>
      </c>
      <c r="B1564" s="26" t="s">
        <v>875</v>
      </c>
      <c r="C1564" s="39">
        <v>78</v>
      </c>
      <c r="D1564" s="40" t="s">
        <v>2315</v>
      </c>
      <c r="E1564" s="38" t="s">
        <v>3</v>
      </c>
      <c r="F1564" s="38" t="s">
        <v>10</v>
      </c>
      <c r="G1564" s="32">
        <v>19268812</v>
      </c>
      <c r="H1564" s="32"/>
      <c r="I1564" s="32">
        <v>2042659</v>
      </c>
      <c r="J1564" s="35">
        <f>+G1564-H1564+I1564</f>
        <v>21311471</v>
      </c>
      <c r="K1564" s="28">
        <v>0</v>
      </c>
      <c r="L1564" s="32">
        <v>0</v>
      </c>
      <c r="M1564" s="35">
        <f>+J1564+L1564</f>
        <v>21311471</v>
      </c>
      <c r="N1564" s="28" t="s">
        <v>1179</v>
      </c>
      <c r="O1564" s="29" t="s">
        <v>1180</v>
      </c>
      <c r="P1564" s="36">
        <v>44454</v>
      </c>
      <c r="Q1564" s="31">
        <v>30028</v>
      </c>
      <c r="R1564" s="33">
        <v>709.71</v>
      </c>
    </row>
    <row r="1565" spans="1:18" s="30" customFormat="1" ht="15" customHeight="1">
      <c r="A1565" s="37" t="s">
        <v>356</v>
      </c>
      <c r="B1565" s="26" t="s">
        <v>1841</v>
      </c>
      <c r="C1565" s="39">
        <v>78</v>
      </c>
      <c r="D1565" s="40" t="s">
        <v>2316</v>
      </c>
      <c r="E1565" s="38" t="s">
        <v>3</v>
      </c>
      <c r="F1565" s="38" t="s">
        <v>12</v>
      </c>
      <c r="G1565" s="32">
        <v>0</v>
      </c>
      <c r="H1565" s="32">
        <v>8575255</v>
      </c>
      <c r="I1565" s="32">
        <v>15346159</v>
      </c>
      <c r="J1565" s="35">
        <f>+G1565-H1565+I1565</f>
        <v>6770904</v>
      </c>
      <c r="K1565" s="28">
        <v>0</v>
      </c>
      <c r="L1565" s="32">
        <v>0</v>
      </c>
      <c r="M1565" s="35">
        <f>+J1565+L1565</f>
        <v>6770904</v>
      </c>
      <c r="N1565" s="28" t="s">
        <v>2295</v>
      </c>
      <c r="O1565" s="29" t="s">
        <v>2296</v>
      </c>
      <c r="P1565" s="36">
        <v>44169</v>
      </c>
      <c r="Q1565" s="31">
        <v>29057.18</v>
      </c>
      <c r="R1565" s="33">
        <f>M1565/Q1565</f>
        <v>233.01999712291419</v>
      </c>
    </row>
    <row r="1566" spans="1:18" s="30" customFormat="1" ht="15" customHeight="1">
      <c r="A1566" s="37" t="s">
        <v>356</v>
      </c>
      <c r="B1566" s="26" t="s">
        <v>1540</v>
      </c>
      <c r="C1566" s="39">
        <v>78</v>
      </c>
      <c r="D1566" s="40" t="s">
        <v>2317</v>
      </c>
      <c r="E1566" s="38" t="s">
        <v>3</v>
      </c>
      <c r="F1566" s="38" t="s">
        <v>10</v>
      </c>
      <c r="G1566" s="32">
        <v>2951569</v>
      </c>
      <c r="H1566" s="32">
        <v>0</v>
      </c>
      <c r="I1566" s="32">
        <v>2701170.2006862834</v>
      </c>
      <c r="J1566" s="35">
        <f>+G1566-H1566+I1566</f>
        <v>5652739.2006862834</v>
      </c>
      <c r="K1566" s="28">
        <v>0</v>
      </c>
      <c r="L1566" s="32">
        <v>0</v>
      </c>
      <c r="M1566" s="35">
        <f>+J1566+L1566</f>
        <v>5652739.2006862834</v>
      </c>
      <c r="N1566" s="28" t="s">
        <v>2203</v>
      </c>
      <c r="O1566" s="29" t="s">
        <v>2204</v>
      </c>
      <c r="P1566" s="36">
        <v>42984</v>
      </c>
      <c r="Q1566" s="31">
        <v>26614.39</v>
      </c>
      <c r="R1566" s="33">
        <f>M1566/Q1566</f>
        <v>212.39409209402444</v>
      </c>
    </row>
    <row r="1567" spans="1:18" s="30" customFormat="1" ht="15" customHeight="1">
      <c r="A1567" s="37" t="s">
        <v>39</v>
      </c>
      <c r="B1567" s="26" t="s">
        <v>1658</v>
      </c>
      <c r="C1567" s="39">
        <v>78</v>
      </c>
      <c r="D1567" s="40" t="s">
        <v>2318</v>
      </c>
      <c r="E1567" s="38" t="s">
        <v>4</v>
      </c>
      <c r="F1567" s="38" t="s">
        <v>20</v>
      </c>
      <c r="G1567" s="32">
        <v>21695348</v>
      </c>
      <c r="H1567" s="32">
        <v>1392592.3178931191</v>
      </c>
      <c r="I1567" s="32">
        <v>6009655</v>
      </c>
      <c r="J1567" s="35">
        <f>+G1567-H1567+I1567</f>
        <v>26312410.682106882</v>
      </c>
      <c r="K1567" s="28">
        <v>0</v>
      </c>
      <c r="L1567" s="32">
        <v>0</v>
      </c>
      <c r="M1567" s="35">
        <f>+J1567+L1567</f>
        <v>26312410.682106882</v>
      </c>
      <c r="N1567" s="28" t="s">
        <v>2120</v>
      </c>
      <c r="O1567" s="29" t="s">
        <v>2121</v>
      </c>
      <c r="P1567" s="36">
        <v>43448</v>
      </c>
      <c r="Q1567" s="31">
        <v>27565.79</v>
      </c>
      <c r="R1567" s="33">
        <f>M1567/Q1567</f>
        <v>954.5313478085294</v>
      </c>
    </row>
    <row r="1568" spans="1:18" s="30" customFormat="1" ht="15" customHeight="1">
      <c r="A1568" s="37" t="s">
        <v>356</v>
      </c>
      <c r="B1568" s="26" t="s">
        <v>1540</v>
      </c>
      <c r="C1568" s="39">
        <v>81</v>
      </c>
      <c r="D1568" s="40" t="s">
        <v>2319</v>
      </c>
      <c r="E1568" s="38" t="s">
        <v>198</v>
      </c>
      <c r="F1568" s="38" t="s">
        <v>13</v>
      </c>
      <c r="G1568" s="32">
        <v>8672761</v>
      </c>
      <c r="H1568" s="32">
        <v>10229139</v>
      </c>
      <c r="I1568" s="32">
        <v>203663264</v>
      </c>
      <c r="J1568" s="35">
        <f>+G1568-H1568+I1568</f>
        <v>202106886</v>
      </c>
      <c r="K1568" s="27">
        <v>70</v>
      </c>
      <c r="L1568" s="32">
        <v>0</v>
      </c>
      <c r="M1568" s="35">
        <f>+J1568+L1568</f>
        <v>202106886</v>
      </c>
      <c r="N1568" s="28" t="s">
        <v>1939</v>
      </c>
      <c r="O1568" s="29" t="s">
        <v>1543</v>
      </c>
      <c r="P1568" s="36">
        <v>43263</v>
      </c>
      <c r="Q1568" s="31">
        <v>27110</v>
      </c>
      <c r="R1568" s="33">
        <f>M1568/Q1568</f>
        <v>7455.0677240870527</v>
      </c>
    </row>
    <row r="1569" spans="1:18" s="30" customFormat="1" ht="15" customHeight="1">
      <c r="A1569" s="37" t="s">
        <v>52</v>
      </c>
      <c r="B1569" s="26" t="s">
        <v>555</v>
      </c>
      <c r="C1569" s="39">
        <v>78</v>
      </c>
      <c r="D1569" s="40" t="s">
        <v>2320</v>
      </c>
      <c r="E1569" s="38" t="s">
        <v>3</v>
      </c>
      <c r="F1569" s="38" t="s">
        <v>11</v>
      </c>
      <c r="G1569" s="32">
        <v>3311998</v>
      </c>
      <c r="H1569" s="32">
        <v>0</v>
      </c>
      <c r="I1569" s="52">
        <v>0</v>
      </c>
      <c r="J1569" s="35">
        <f>+G1569-H1569+I1569</f>
        <v>3311998</v>
      </c>
      <c r="K1569" s="28">
        <v>0</v>
      </c>
      <c r="L1569" s="32">
        <v>0</v>
      </c>
      <c r="M1569" s="35">
        <f>+J1569+L1569</f>
        <v>3311998</v>
      </c>
      <c r="N1569" s="28" t="s">
        <v>2173</v>
      </c>
      <c r="O1569" s="29" t="s">
        <v>2174</v>
      </c>
      <c r="P1569" s="36">
        <v>43140</v>
      </c>
      <c r="Q1569" s="31">
        <v>26832.73</v>
      </c>
      <c r="R1569" s="33">
        <f>M1569/Q1569</f>
        <v>123.43127218139936</v>
      </c>
    </row>
    <row r="1570" spans="1:18" s="30" customFormat="1" ht="15" customHeight="1">
      <c r="A1570" s="37" t="s">
        <v>391</v>
      </c>
      <c r="B1570" s="26" t="s">
        <v>392</v>
      </c>
      <c r="C1570" s="39">
        <v>100</v>
      </c>
      <c r="D1570" s="40" t="s">
        <v>2321</v>
      </c>
      <c r="E1570" s="38" t="s">
        <v>3</v>
      </c>
      <c r="F1570" s="38" t="s">
        <v>10</v>
      </c>
      <c r="G1570" s="32">
        <v>8909905</v>
      </c>
      <c r="H1570" s="32">
        <v>0</v>
      </c>
      <c r="I1570" s="32">
        <v>23446474</v>
      </c>
      <c r="J1570" s="35">
        <f>+G1570-H1570+I1570</f>
        <v>32356379</v>
      </c>
      <c r="K1570" s="27"/>
      <c r="L1570" s="32">
        <v>0</v>
      </c>
      <c r="M1570" s="35">
        <f>+J1570+L1570</f>
        <v>32356379</v>
      </c>
      <c r="N1570" s="28" t="s">
        <v>684</v>
      </c>
      <c r="O1570" s="29" t="s">
        <v>395</v>
      </c>
      <c r="P1570" s="36">
        <v>44293</v>
      </c>
      <c r="Q1570" s="31">
        <v>29408.04</v>
      </c>
      <c r="R1570" s="33">
        <f>M1570/Q1570</f>
        <v>1100.2562224480107</v>
      </c>
    </row>
    <row r="1571" spans="1:18" s="30" customFormat="1" ht="15" customHeight="1">
      <c r="A1571" s="37" t="s">
        <v>688</v>
      </c>
      <c r="B1571" s="26" t="s">
        <v>1728</v>
      </c>
      <c r="C1571" s="39">
        <v>78</v>
      </c>
      <c r="D1571" s="40" t="s">
        <v>2322</v>
      </c>
      <c r="E1571" s="38" t="s">
        <v>4</v>
      </c>
      <c r="F1571" s="38" t="s">
        <v>12</v>
      </c>
      <c r="G1571" s="32">
        <v>42894</v>
      </c>
      <c r="H1571" s="32">
        <v>0</v>
      </c>
      <c r="I1571" s="52">
        <v>0</v>
      </c>
      <c r="J1571" s="35">
        <f>+G1571-H1571+I1571</f>
        <v>42894</v>
      </c>
      <c r="K1571" s="28">
        <v>0</v>
      </c>
      <c r="L1571" s="32">
        <v>0</v>
      </c>
      <c r="M1571" s="35">
        <f>+J1571+L1571</f>
        <v>42894</v>
      </c>
      <c r="N1571" s="28" t="s">
        <v>1935</v>
      </c>
      <c r="O1571" s="29" t="s">
        <v>1936</v>
      </c>
      <c r="P1571" s="36">
        <v>42899</v>
      </c>
      <c r="Q1571" s="31">
        <v>26649.99</v>
      </c>
      <c r="R1571" s="33">
        <f>M1571/Q1571</f>
        <v>1.6095315607998351</v>
      </c>
    </row>
    <row r="1572" spans="1:18" s="30" customFormat="1" ht="15" customHeight="1">
      <c r="A1572" s="37" t="s">
        <v>293</v>
      </c>
      <c r="B1572" s="26" t="s">
        <v>294</v>
      </c>
      <c r="C1572" s="39">
        <v>77</v>
      </c>
      <c r="D1572" s="40" t="s">
        <v>2323</v>
      </c>
      <c r="E1572" s="38" t="s">
        <v>3</v>
      </c>
      <c r="F1572" s="38" t="s">
        <v>10</v>
      </c>
      <c r="G1572" s="32">
        <v>37352711</v>
      </c>
      <c r="H1572" s="32">
        <v>14305130</v>
      </c>
      <c r="I1572" s="52">
        <v>0</v>
      </c>
      <c r="J1572" s="35">
        <f>+G1572-H1572+I1572</f>
        <v>23047581</v>
      </c>
      <c r="K1572" s="28">
        <v>0</v>
      </c>
      <c r="L1572" s="32">
        <v>0</v>
      </c>
      <c r="M1572" s="35">
        <f>+J1572+L1572</f>
        <v>23047581</v>
      </c>
      <c r="N1572" s="28" t="s">
        <v>1537</v>
      </c>
      <c r="O1572" s="29" t="s">
        <v>1538</v>
      </c>
      <c r="P1572" s="36">
        <v>43914</v>
      </c>
      <c r="Q1572" s="31">
        <v>28331.86</v>
      </c>
      <c r="R1572" s="33">
        <f>M1572/Q1572</f>
        <v>813.48633658361996</v>
      </c>
    </row>
    <row r="1573" spans="1:18" s="30" customFormat="1" ht="15" customHeight="1">
      <c r="A1573" s="37" t="s">
        <v>293</v>
      </c>
      <c r="B1573" s="26" t="s">
        <v>294</v>
      </c>
      <c r="C1573" s="39">
        <v>530</v>
      </c>
      <c r="D1573" s="40" t="s">
        <v>2324</v>
      </c>
      <c r="E1573" s="38" t="s">
        <v>3</v>
      </c>
      <c r="F1573" s="38" t="s">
        <v>296</v>
      </c>
      <c r="G1573" s="32">
        <v>8932189</v>
      </c>
      <c r="H1573" s="32">
        <v>5939065</v>
      </c>
      <c r="I1573" s="52">
        <v>0</v>
      </c>
      <c r="J1573" s="35">
        <f>+G1573-H1573+I1573</f>
        <v>2993124</v>
      </c>
      <c r="K1573" s="27" t="s">
        <v>297</v>
      </c>
      <c r="L1573" s="32">
        <v>0</v>
      </c>
      <c r="M1573" s="35">
        <f>+J1573+L1573</f>
        <v>2993124</v>
      </c>
      <c r="N1573" s="55" t="s">
        <v>298</v>
      </c>
      <c r="O1573" s="56" t="s">
        <v>299</v>
      </c>
      <c r="P1573" s="56">
        <v>44502</v>
      </c>
      <c r="Q1573" s="49">
        <v>30403.919999999998</v>
      </c>
      <c r="R1573" s="57">
        <f>+M1573/Q1573</f>
        <v>98.445332049288382</v>
      </c>
    </row>
    <row r="1574" spans="1:18" s="30" customFormat="1" ht="15" customHeight="1">
      <c r="A1574" s="37" t="s">
        <v>356</v>
      </c>
      <c r="B1574" s="26" t="s">
        <v>1841</v>
      </c>
      <c r="C1574" s="39">
        <v>77</v>
      </c>
      <c r="D1574" s="40" t="s">
        <v>2325</v>
      </c>
      <c r="E1574" s="38" t="s">
        <v>4</v>
      </c>
      <c r="F1574" s="38" t="s">
        <v>11</v>
      </c>
      <c r="G1574" s="32">
        <v>4423010</v>
      </c>
      <c r="H1574" s="32">
        <v>0</v>
      </c>
      <c r="I1574" s="52">
        <v>0</v>
      </c>
      <c r="J1574" s="35">
        <f>+G1574-H1574+I1574</f>
        <v>4423010</v>
      </c>
      <c r="K1574" s="28">
        <v>0</v>
      </c>
      <c r="L1574" s="32">
        <v>0</v>
      </c>
      <c r="M1574" s="35">
        <f>+J1574+L1574</f>
        <v>4423010</v>
      </c>
      <c r="N1574" s="28" t="s">
        <v>2295</v>
      </c>
      <c r="O1574" s="29" t="s">
        <v>2296</v>
      </c>
      <c r="P1574" s="36">
        <v>44169</v>
      </c>
      <c r="Q1574" s="31">
        <v>29057.18</v>
      </c>
      <c r="R1574" s="33">
        <f>M1574/Q1574</f>
        <v>152.21745537591741</v>
      </c>
    </row>
    <row r="1575" spans="1:18" s="30" customFormat="1" ht="15" customHeight="1">
      <c r="A1575" s="37" t="s">
        <v>356</v>
      </c>
      <c r="B1575" s="26" t="s">
        <v>1540</v>
      </c>
      <c r="C1575" s="39">
        <v>77</v>
      </c>
      <c r="D1575" s="40" t="s">
        <v>2326</v>
      </c>
      <c r="E1575" s="38" t="s">
        <v>3</v>
      </c>
      <c r="F1575" s="38" t="s">
        <v>11</v>
      </c>
      <c r="G1575" s="32">
        <v>10255779.044630587</v>
      </c>
      <c r="H1575" s="32">
        <v>0</v>
      </c>
      <c r="I1575" s="32">
        <v>25481604</v>
      </c>
      <c r="J1575" s="35">
        <f>+G1575-H1575+I1575</f>
        <v>35737383.044630587</v>
      </c>
      <c r="K1575" s="28">
        <v>0</v>
      </c>
      <c r="L1575" s="32">
        <v>0</v>
      </c>
      <c r="M1575" s="35">
        <f>+J1575+L1575</f>
        <v>35737383.044630587</v>
      </c>
      <c r="N1575" s="28" t="s">
        <v>2203</v>
      </c>
      <c r="O1575" s="29" t="s">
        <v>2204</v>
      </c>
      <c r="P1575" s="36">
        <v>42984</v>
      </c>
      <c r="Q1575" s="31">
        <v>26614.39</v>
      </c>
      <c r="R1575" s="33">
        <f>M1575/Q1575</f>
        <v>1342.784224798336</v>
      </c>
    </row>
    <row r="1576" spans="1:18" s="30" customFormat="1" ht="15" customHeight="1">
      <c r="A1576" s="37" t="s">
        <v>52</v>
      </c>
      <c r="B1576" s="26" t="s">
        <v>53</v>
      </c>
      <c r="C1576" s="39" t="s">
        <v>2327</v>
      </c>
      <c r="D1576" s="40" t="s">
        <v>2328</v>
      </c>
      <c r="E1576" s="38" t="s">
        <v>6</v>
      </c>
      <c r="F1576" s="38" t="s">
        <v>12</v>
      </c>
      <c r="G1576" s="32">
        <v>9083371.1500000004</v>
      </c>
      <c r="H1576" s="32">
        <v>7458996.1600000001</v>
      </c>
      <c r="I1576" s="32">
        <v>5989508</v>
      </c>
      <c r="J1576" s="35">
        <f>+G1576-H1576+I1576</f>
        <v>7613882.9900000002</v>
      </c>
      <c r="K1576" s="27">
        <v>63</v>
      </c>
      <c r="L1576" s="32">
        <v>0</v>
      </c>
      <c r="M1576" s="35">
        <f>+J1576+L1576</f>
        <v>7613882.9900000002</v>
      </c>
      <c r="N1576" s="28" t="s">
        <v>56</v>
      </c>
      <c r="O1576" s="29" t="s">
        <v>57</v>
      </c>
      <c r="P1576" s="36">
        <v>42884</v>
      </c>
      <c r="Q1576" s="31">
        <v>26627.55</v>
      </c>
      <c r="R1576" s="33">
        <f>M1576/Q1576</f>
        <v>285.94005043648406</v>
      </c>
    </row>
    <row r="1577" spans="1:18" s="30" customFormat="1" ht="15" customHeight="1">
      <c r="A1577" s="37" t="s">
        <v>391</v>
      </c>
      <c r="B1577" s="26" t="s">
        <v>392</v>
      </c>
      <c r="C1577" s="39">
        <v>128</v>
      </c>
      <c r="D1577" s="40" t="s">
        <v>2329</v>
      </c>
      <c r="E1577" s="38" t="s">
        <v>4</v>
      </c>
      <c r="F1577" s="38" t="s">
        <v>11</v>
      </c>
      <c r="G1577" s="32">
        <v>9087763</v>
      </c>
      <c r="H1577" s="32">
        <v>16307071</v>
      </c>
      <c r="I1577" s="32">
        <v>6043892</v>
      </c>
      <c r="J1577" s="35">
        <f>+G1577-H1577+I1577</f>
        <v>-1175416</v>
      </c>
      <c r="K1577" s="27">
        <v>23</v>
      </c>
      <c r="L1577" s="32">
        <v>0</v>
      </c>
      <c r="M1577" s="35">
        <f>+J1577+L1577</f>
        <v>-1175416</v>
      </c>
      <c r="N1577" s="28" t="s">
        <v>481</v>
      </c>
      <c r="O1577" s="29" t="s">
        <v>482</v>
      </c>
      <c r="P1577" s="36">
        <v>44130</v>
      </c>
      <c r="Q1577" s="31">
        <v>28810.82</v>
      </c>
      <c r="R1577" s="33">
        <f>M1577/Q1577</f>
        <v>-40.797728075771531</v>
      </c>
    </row>
    <row r="1578" spans="1:18" s="30" customFormat="1" ht="15" customHeight="1">
      <c r="A1578" s="37" t="s">
        <v>39</v>
      </c>
      <c r="B1578" s="26" t="s">
        <v>1658</v>
      </c>
      <c r="C1578" s="39">
        <v>77</v>
      </c>
      <c r="D1578" s="40" t="s">
        <v>2330</v>
      </c>
      <c r="E1578" s="38" t="s">
        <v>3</v>
      </c>
      <c r="F1578" s="38" t="s">
        <v>11</v>
      </c>
      <c r="G1578" s="32">
        <v>11176165.563080501</v>
      </c>
      <c r="H1578" s="32">
        <v>0</v>
      </c>
      <c r="I1578" s="32">
        <v>25447541.8541</v>
      </c>
      <c r="J1578" s="35">
        <f>+G1578-H1578+I1578</f>
        <v>36623707.417180501</v>
      </c>
      <c r="K1578" s="28">
        <v>0</v>
      </c>
      <c r="L1578" s="32">
        <v>0</v>
      </c>
      <c r="M1578" s="35">
        <f>+J1578+L1578</f>
        <v>36623707.417180501</v>
      </c>
      <c r="N1578" s="28" t="s">
        <v>2120</v>
      </c>
      <c r="O1578" s="29" t="s">
        <v>2121</v>
      </c>
      <c r="P1578" s="36">
        <v>43448</v>
      </c>
      <c r="Q1578" s="31">
        <v>27565.79</v>
      </c>
      <c r="R1578" s="33">
        <f>M1578/Q1578</f>
        <v>1328.5927019389069</v>
      </c>
    </row>
    <row r="1579" spans="1:18" s="30" customFormat="1" ht="15" customHeight="1">
      <c r="A1579" s="37" t="s">
        <v>52</v>
      </c>
      <c r="B1579" s="26" t="s">
        <v>555</v>
      </c>
      <c r="C1579" s="39">
        <v>77</v>
      </c>
      <c r="D1579" s="40" t="s">
        <v>2331</v>
      </c>
      <c r="E1579" s="38" t="s">
        <v>3</v>
      </c>
      <c r="F1579" s="38" t="s">
        <v>11</v>
      </c>
      <c r="G1579" s="32">
        <v>24802499</v>
      </c>
      <c r="H1579" s="32">
        <v>66389758</v>
      </c>
      <c r="I1579" s="32">
        <v>12530510</v>
      </c>
      <c r="J1579" s="35">
        <f>+G1579-H1579+I1579</f>
        <v>-29056749</v>
      </c>
      <c r="K1579" s="28">
        <v>0</v>
      </c>
      <c r="L1579" s="32">
        <v>0</v>
      </c>
      <c r="M1579" s="35">
        <f>+J1579+L1579</f>
        <v>-29056749</v>
      </c>
      <c r="N1579" s="28" t="s">
        <v>2173</v>
      </c>
      <c r="O1579" s="29" t="s">
        <v>2174</v>
      </c>
      <c r="P1579" s="36">
        <v>43140</v>
      </c>
      <c r="Q1579" s="31">
        <v>26832.73</v>
      </c>
      <c r="R1579" s="33">
        <f>M1579/Q1579</f>
        <v>-1082.8845592677301</v>
      </c>
    </row>
    <row r="1580" spans="1:18" s="30" customFormat="1" ht="15" customHeight="1">
      <c r="A1580" s="37" t="s">
        <v>391</v>
      </c>
      <c r="B1580" s="26" t="s">
        <v>392</v>
      </c>
      <c r="C1580" s="39">
        <v>76</v>
      </c>
      <c r="D1580" s="40" t="s">
        <v>2332</v>
      </c>
      <c r="E1580" s="38" t="s">
        <v>3</v>
      </c>
      <c r="F1580" s="38" t="s">
        <v>11</v>
      </c>
      <c r="G1580" s="32">
        <v>55608267</v>
      </c>
      <c r="H1580" s="32">
        <v>0</v>
      </c>
      <c r="I1580" s="32">
        <v>2566377</v>
      </c>
      <c r="J1580" s="35">
        <f>+G1580-H1580+I1580</f>
        <v>58174644</v>
      </c>
      <c r="K1580" s="28">
        <v>0</v>
      </c>
      <c r="L1580" s="32">
        <v>0</v>
      </c>
      <c r="M1580" s="35">
        <f>+J1580+L1580</f>
        <v>58174644</v>
      </c>
      <c r="N1580" s="28" t="s">
        <v>481</v>
      </c>
      <c r="O1580" s="29" t="s">
        <v>482</v>
      </c>
      <c r="P1580" s="36">
        <v>44130</v>
      </c>
      <c r="Q1580" s="31">
        <v>28810.82</v>
      </c>
      <c r="R1580" s="33">
        <f>M1580/Q1580</f>
        <v>2019.1943165796738</v>
      </c>
    </row>
    <row r="1581" spans="1:18" s="30" customFormat="1" ht="15" customHeight="1">
      <c r="A1581" s="37" t="s">
        <v>293</v>
      </c>
      <c r="B1581" s="26" t="s">
        <v>294</v>
      </c>
      <c r="C1581" s="39">
        <v>76</v>
      </c>
      <c r="D1581" s="40" t="s">
        <v>2333</v>
      </c>
      <c r="E1581" s="38" t="s">
        <v>3</v>
      </c>
      <c r="F1581" s="38" t="s">
        <v>13</v>
      </c>
      <c r="G1581" s="32">
        <v>12803603</v>
      </c>
      <c r="H1581" s="32">
        <v>9150392</v>
      </c>
      <c r="I1581" s="52">
        <v>0</v>
      </c>
      <c r="J1581" s="35">
        <f>+G1581-H1581+I1581</f>
        <v>3653211</v>
      </c>
      <c r="K1581" s="28">
        <v>0</v>
      </c>
      <c r="L1581" s="32">
        <v>0</v>
      </c>
      <c r="M1581" s="35">
        <f>+J1581+L1581</f>
        <v>3653211</v>
      </c>
      <c r="N1581" s="28" t="s">
        <v>1830</v>
      </c>
      <c r="O1581" s="29" t="s">
        <v>1831</v>
      </c>
      <c r="P1581" s="36">
        <v>43878</v>
      </c>
      <c r="Q1581" s="31">
        <v>28393.3</v>
      </c>
      <c r="R1581" s="33">
        <f>M1581/Q1581</f>
        <v>128.66454410019264</v>
      </c>
    </row>
    <row r="1582" spans="1:18" s="30" customFormat="1" ht="15" customHeight="1">
      <c r="A1582" s="37" t="s">
        <v>356</v>
      </c>
      <c r="B1582" s="26" t="s">
        <v>1841</v>
      </c>
      <c r="C1582" s="39">
        <v>76</v>
      </c>
      <c r="D1582" s="40" t="s">
        <v>2334</v>
      </c>
      <c r="E1582" s="38" t="s">
        <v>6</v>
      </c>
      <c r="F1582" s="38" t="s">
        <v>14</v>
      </c>
      <c r="G1582" s="32">
        <v>2412928</v>
      </c>
      <c r="H1582" s="32">
        <v>0</v>
      </c>
      <c r="I1582" s="32">
        <v>292383</v>
      </c>
      <c r="J1582" s="35">
        <f>+G1582-H1582+I1582</f>
        <v>2705311</v>
      </c>
      <c r="K1582" s="28">
        <v>0</v>
      </c>
      <c r="L1582" s="32">
        <v>0</v>
      </c>
      <c r="M1582" s="35">
        <f>+J1582+L1582</f>
        <v>2705311</v>
      </c>
      <c r="N1582" s="28" t="s">
        <v>2295</v>
      </c>
      <c r="O1582" s="29" t="s">
        <v>2296</v>
      </c>
      <c r="P1582" s="36">
        <v>44169</v>
      </c>
      <c r="Q1582" s="31">
        <v>29057.18</v>
      </c>
      <c r="R1582" s="33">
        <f>M1582/Q1582</f>
        <v>93.103012749344572</v>
      </c>
    </row>
    <row r="1583" spans="1:18" s="30" customFormat="1" ht="15" customHeight="1">
      <c r="A1583" s="37" t="s">
        <v>293</v>
      </c>
      <c r="B1583" s="26" t="s">
        <v>294</v>
      </c>
      <c r="C1583" s="39">
        <v>574</v>
      </c>
      <c r="D1583" s="40" t="s">
        <v>2335</v>
      </c>
      <c r="E1583" s="38" t="s">
        <v>3</v>
      </c>
      <c r="F1583" s="38" t="s">
        <v>296</v>
      </c>
      <c r="G1583" s="32">
        <v>9292608</v>
      </c>
      <c r="H1583" s="32">
        <v>0</v>
      </c>
      <c r="I1583" s="52">
        <v>0</v>
      </c>
      <c r="J1583" s="35">
        <f>+G1583-H1583+I1583</f>
        <v>9292608</v>
      </c>
      <c r="K1583" s="27" t="s">
        <v>297</v>
      </c>
      <c r="L1583" s="32">
        <v>0</v>
      </c>
      <c r="M1583" s="35">
        <f>+J1583+L1583</f>
        <v>9292608</v>
      </c>
      <c r="N1583" s="55" t="s">
        <v>298</v>
      </c>
      <c r="O1583" s="56" t="s">
        <v>299</v>
      </c>
      <c r="P1583" s="56">
        <v>44502</v>
      </c>
      <c r="Q1583" s="49">
        <v>30403.919999999998</v>
      </c>
      <c r="R1583" s="57">
        <f>+M1583/Q1583</f>
        <v>305.6384834587119</v>
      </c>
    </row>
    <row r="1584" spans="1:18" s="30" customFormat="1" ht="15" customHeight="1">
      <c r="A1584" s="37" t="s">
        <v>356</v>
      </c>
      <c r="B1584" s="26" t="s">
        <v>1540</v>
      </c>
      <c r="C1584" s="39">
        <v>76</v>
      </c>
      <c r="D1584" s="40" t="s">
        <v>2336</v>
      </c>
      <c r="E1584" s="38" t="s">
        <v>3</v>
      </c>
      <c r="F1584" s="38" t="s">
        <v>13</v>
      </c>
      <c r="G1584" s="32">
        <v>13659864.051472219</v>
      </c>
      <c r="H1584" s="32">
        <v>0</v>
      </c>
      <c r="I1584" s="52">
        <v>0</v>
      </c>
      <c r="J1584" s="35">
        <f>+G1584-H1584+I1584</f>
        <v>13659864.051472219</v>
      </c>
      <c r="K1584" s="28">
        <v>0</v>
      </c>
      <c r="L1584" s="32">
        <v>0</v>
      </c>
      <c r="M1584" s="35">
        <f>+J1584+L1584</f>
        <v>13659864.051472219</v>
      </c>
      <c r="N1584" s="28" t="s">
        <v>2203</v>
      </c>
      <c r="O1584" s="29" t="s">
        <v>2204</v>
      </c>
      <c r="P1584" s="36">
        <v>42984</v>
      </c>
      <c r="Q1584" s="31">
        <v>26614.39</v>
      </c>
      <c r="R1584" s="33">
        <f>M1584/Q1584</f>
        <v>513.2510664896779</v>
      </c>
    </row>
    <row r="1585" spans="1:18" s="30" customFormat="1" ht="15" customHeight="1">
      <c r="A1585" s="37" t="s">
        <v>39</v>
      </c>
      <c r="B1585" s="26" t="s">
        <v>1658</v>
      </c>
      <c r="C1585" s="39">
        <v>76</v>
      </c>
      <c r="D1585" s="40" t="s">
        <v>2337</v>
      </c>
      <c r="E1585" s="38" t="s">
        <v>3</v>
      </c>
      <c r="F1585" s="38" t="s">
        <v>10</v>
      </c>
      <c r="G1585" s="32">
        <v>0</v>
      </c>
      <c r="H1585" s="32">
        <v>15406220.708831999</v>
      </c>
      <c r="I1585" s="32">
        <v>39581892.641400903</v>
      </c>
      <c r="J1585" s="35">
        <f>+G1585-H1585+I1585</f>
        <v>24175671.932568904</v>
      </c>
      <c r="K1585" s="28">
        <v>0</v>
      </c>
      <c r="L1585" s="32">
        <v>0</v>
      </c>
      <c r="M1585" s="35">
        <f>+J1585+L1585</f>
        <v>24175671.932568904</v>
      </c>
      <c r="N1585" s="28" t="s">
        <v>2120</v>
      </c>
      <c r="O1585" s="29" t="s">
        <v>2121</v>
      </c>
      <c r="P1585" s="36">
        <v>43448</v>
      </c>
      <c r="Q1585" s="31">
        <v>27565.79</v>
      </c>
      <c r="R1585" s="33">
        <f>M1585/Q1585</f>
        <v>877.01719894727864</v>
      </c>
    </row>
    <row r="1586" spans="1:18" s="30" customFormat="1" ht="15" customHeight="1">
      <c r="A1586" s="37" t="s">
        <v>52</v>
      </c>
      <c r="B1586" s="26" t="s">
        <v>555</v>
      </c>
      <c r="C1586" s="39">
        <v>76</v>
      </c>
      <c r="D1586" s="40" t="s">
        <v>2338</v>
      </c>
      <c r="E1586" s="38" t="s">
        <v>3</v>
      </c>
      <c r="F1586" s="38" t="s">
        <v>11</v>
      </c>
      <c r="G1586" s="32">
        <v>0</v>
      </c>
      <c r="H1586" s="32">
        <v>15111152</v>
      </c>
      <c r="I1586" s="32">
        <v>6090766</v>
      </c>
      <c r="J1586" s="35">
        <f>+G1586-H1586+I1586</f>
        <v>-9020386</v>
      </c>
      <c r="K1586" s="28">
        <v>0</v>
      </c>
      <c r="L1586" s="32">
        <v>0</v>
      </c>
      <c r="M1586" s="35">
        <f>+J1586+L1586</f>
        <v>-9020386</v>
      </c>
      <c r="N1586" s="28" t="s">
        <v>2173</v>
      </c>
      <c r="O1586" s="29" t="s">
        <v>2174</v>
      </c>
      <c r="P1586" s="36">
        <v>43140</v>
      </c>
      <c r="Q1586" s="31">
        <v>26832.73</v>
      </c>
      <c r="R1586" s="33">
        <f>M1586/Q1586</f>
        <v>-336.1710120438733</v>
      </c>
    </row>
    <row r="1587" spans="1:18" s="30" customFormat="1" ht="15" customHeight="1">
      <c r="A1587" s="37" t="s">
        <v>293</v>
      </c>
      <c r="B1587" s="26" t="s">
        <v>294</v>
      </c>
      <c r="C1587" s="39">
        <v>75</v>
      </c>
      <c r="D1587" s="40" t="s">
        <v>2339</v>
      </c>
      <c r="E1587" s="38" t="s">
        <v>3</v>
      </c>
      <c r="F1587" s="38" t="s">
        <v>10</v>
      </c>
      <c r="G1587" s="32">
        <v>6555053</v>
      </c>
      <c r="H1587" s="32">
        <v>3494263</v>
      </c>
      <c r="I1587" s="52">
        <v>0</v>
      </c>
      <c r="J1587" s="35">
        <f>+G1587-H1587+I1587</f>
        <v>3060790</v>
      </c>
      <c r="K1587" s="28">
        <v>0</v>
      </c>
      <c r="L1587" s="32">
        <v>0</v>
      </c>
      <c r="M1587" s="35">
        <f>+J1587+L1587</f>
        <v>3060790</v>
      </c>
      <c r="N1587" s="28" t="s">
        <v>1830</v>
      </c>
      <c r="O1587" s="29" t="s">
        <v>1831</v>
      </c>
      <c r="P1587" s="36">
        <v>43878</v>
      </c>
      <c r="Q1587" s="31">
        <v>28393.3</v>
      </c>
      <c r="R1587" s="33">
        <f>M1587/Q1587</f>
        <v>107.79972740047829</v>
      </c>
    </row>
    <row r="1588" spans="1:18" s="30" customFormat="1" ht="15" customHeight="1">
      <c r="A1588" s="37" t="s">
        <v>356</v>
      </c>
      <c r="B1588" s="26" t="s">
        <v>1841</v>
      </c>
      <c r="C1588" s="39">
        <v>75</v>
      </c>
      <c r="D1588" s="40" t="s">
        <v>2340</v>
      </c>
      <c r="E1588" s="38" t="s">
        <v>6</v>
      </c>
      <c r="F1588" s="38" t="s">
        <v>14</v>
      </c>
      <c r="G1588" s="32">
        <v>1777292</v>
      </c>
      <c r="H1588" s="32">
        <v>0</v>
      </c>
      <c r="I1588" s="52">
        <v>0</v>
      </c>
      <c r="J1588" s="35">
        <f>+G1588-H1588+I1588</f>
        <v>1777292</v>
      </c>
      <c r="K1588" s="28">
        <v>0</v>
      </c>
      <c r="L1588" s="32">
        <v>0</v>
      </c>
      <c r="M1588" s="35">
        <f>+J1588+L1588</f>
        <v>1777292</v>
      </c>
      <c r="N1588" s="28" t="s">
        <v>2295</v>
      </c>
      <c r="O1588" s="29" t="s">
        <v>2296</v>
      </c>
      <c r="P1588" s="36">
        <v>44169</v>
      </c>
      <c r="Q1588" s="31">
        <v>29057.18</v>
      </c>
      <c r="R1588" s="33">
        <f>M1588/Q1588</f>
        <v>61.165329877159451</v>
      </c>
    </row>
    <row r="1589" spans="1:18" s="30" customFormat="1" ht="15" customHeight="1">
      <c r="A1589" s="37" t="s">
        <v>39</v>
      </c>
      <c r="B1589" s="26" t="s">
        <v>1658</v>
      </c>
      <c r="C1589" s="39">
        <v>75</v>
      </c>
      <c r="D1589" s="40" t="s">
        <v>2341</v>
      </c>
      <c r="E1589" s="38" t="s">
        <v>4</v>
      </c>
      <c r="F1589" s="38" t="s">
        <v>11</v>
      </c>
      <c r="G1589" s="32">
        <v>24980889.135448001</v>
      </c>
      <c r="H1589" s="32">
        <v>16063604.032</v>
      </c>
      <c r="I1589" s="52">
        <v>0</v>
      </c>
      <c r="J1589" s="35">
        <f>+G1589-H1589+I1589</f>
        <v>8917285.1034480017</v>
      </c>
      <c r="K1589" s="28">
        <v>0</v>
      </c>
      <c r="L1589" s="32">
        <v>0</v>
      </c>
      <c r="M1589" s="35">
        <f>+J1589+L1589</f>
        <v>8917285.1034480017</v>
      </c>
      <c r="N1589" s="28" t="s">
        <v>2120</v>
      </c>
      <c r="O1589" s="29" t="s">
        <v>2121</v>
      </c>
      <c r="P1589" s="36">
        <v>43448</v>
      </c>
      <c r="Q1589" s="31">
        <v>27565.79</v>
      </c>
      <c r="R1589" s="33">
        <f>M1589/Q1589</f>
        <v>323.49100473623292</v>
      </c>
    </row>
    <row r="1590" spans="1:18" s="30" customFormat="1" ht="15" customHeight="1">
      <c r="A1590" s="37" t="s">
        <v>688</v>
      </c>
      <c r="B1590" s="26" t="s">
        <v>1728</v>
      </c>
      <c r="C1590" s="39">
        <v>75</v>
      </c>
      <c r="D1590" s="40" t="s">
        <v>2342</v>
      </c>
      <c r="E1590" s="38" t="s">
        <v>4</v>
      </c>
      <c r="F1590" s="38" t="s">
        <v>12</v>
      </c>
      <c r="G1590" s="32">
        <v>204856</v>
      </c>
      <c r="H1590" s="32">
        <v>0</v>
      </c>
      <c r="I1590" s="52">
        <v>0</v>
      </c>
      <c r="J1590" s="35">
        <f>+G1590-H1590+I1590</f>
        <v>204856</v>
      </c>
      <c r="K1590" s="28">
        <v>0</v>
      </c>
      <c r="L1590" s="32">
        <v>0</v>
      </c>
      <c r="M1590" s="35">
        <f>+J1590+L1590</f>
        <v>204856</v>
      </c>
      <c r="N1590" s="28" t="s">
        <v>2343</v>
      </c>
      <c r="O1590" s="29" t="s">
        <v>2344</v>
      </c>
      <c r="P1590" s="36">
        <v>42810</v>
      </c>
      <c r="Q1590" s="31">
        <v>26446.36</v>
      </c>
      <c r="R1590" s="33">
        <f>M1590/Q1590</f>
        <v>7.7460943585431039</v>
      </c>
    </row>
    <row r="1591" spans="1:18" s="30" customFormat="1" ht="15" customHeight="1">
      <c r="A1591" s="37" t="s">
        <v>293</v>
      </c>
      <c r="B1591" s="26" t="s">
        <v>294</v>
      </c>
      <c r="C1591" s="39">
        <v>74</v>
      </c>
      <c r="D1591" s="40" t="s">
        <v>2345</v>
      </c>
      <c r="E1591" s="38" t="s">
        <v>3</v>
      </c>
      <c r="F1591" s="38" t="s">
        <v>10</v>
      </c>
      <c r="G1591" s="32">
        <v>64789</v>
      </c>
      <c r="H1591" s="32">
        <v>0</v>
      </c>
      <c r="I1591" s="52">
        <v>0</v>
      </c>
      <c r="J1591" s="35">
        <f>+G1591-H1591+I1591</f>
        <v>64789</v>
      </c>
      <c r="K1591" s="28">
        <v>0</v>
      </c>
      <c r="L1591" s="32">
        <v>0</v>
      </c>
      <c r="M1591" s="35">
        <f>+J1591+L1591</f>
        <v>64789</v>
      </c>
      <c r="N1591" s="28" t="s">
        <v>1830</v>
      </c>
      <c r="O1591" s="29" t="s">
        <v>1831</v>
      </c>
      <c r="P1591" s="36">
        <v>43878</v>
      </c>
      <c r="Q1591" s="31">
        <v>28393.3</v>
      </c>
      <c r="R1591" s="33">
        <f>M1591/Q1591</f>
        <v>2.2818411385784674</v>
      </c>
    </row>
    <row r="1592" spans="1:18" s="30" customFormat="1" ht="15" customHeight="1">
      <c r="A1592" s="37" t="s">
        <v>874</v>
      </c>
      <c r="B1592" s="26" t="s">
        <v>875</v>
      </c>
      <c r="C1592" s="39">
        <v>74</v>
      </c>
      <c r="D1592" s="40" t="s">
        <v>2346</v>
      </c>
      <c r="E1592" s="38" t="s">
        <v>3</v>
      </c>
      <c r="F1592" s="38" t="s">
        <v>11</v>
      </c>
      <c r="G1592" s="32">
        <v>2246920</v>
      </c>
      <c r="H1592" s="32">
        <v>262043</v>
      </c>
      <c r="I1592" s="52">
        <v>0</v>
      </c>
      <c r="J1592" s="35">
        <f>+G1592-H1592+I1592</f>
        <v>1984877</v>
      </c>
      <c r="K1592" s="28">
        <v>0</v>
      </c>
      <c r="L1592" s="32">
        <v>0</v>
      </c>
      <c r="M1592" s="35">
        <f>+J1592+L1592</f>
        <v>1984877</v>
      </c>
      <c r="N1592" s="28" t="s">
        <v>2094</v>
      </c>
      <c r="O1592" s="29" t="s">
        <v>2095</v>
      </c>
      <c r="P1592" s="36">
        <v>44742</v>
      </c>
      <c r="Q1592" s="31">
        <v>33086.83</v>
      </c>
      <c r="R1592" s="33">
        <f>M1592/Q1592</f>
        <v>59.989941617253749</v>
      </c>
    </row>
    <row r="1593" spans="1:18" s="30" customFormat="1" ht="15" customHeight="1">
      <c r="A1593" s="37" t="s">
        <v>356</v>
      </c>
      <c r="B1593" s="26" t="s">
        <v>1841</v>
      </c>
      <c r="C1593" s="39">
        <v>74</v>
      </c>
      <c r="D1593" s="40" t="s">
        <v>2347</v>
      </c>
      <c r="E1593" s="38" t="s">
        <v>6</v>
      </c>
      <c r="F1593" s="38" t="s">
        <v>13</v>
      </c>
      <c r="G1593" s="32">
        <v>1449463</v>
      </c>
      <c r="H1593" s="32">
        <v>0</v>
      </c>
      <c r="I1593" s="32">
        <v>48444</v>
      </c>
      <c r="J1593" s="35">
        <f>+G1593-H1593+I1593</f>
        <v>1497907</v>
      </c>
      <c r="K1593" s="28">
        <v>0</v>
      </c>
      <c r="L1593" s="32">
        <v>0</v>
      </c>
      <c r="M1593" s="35">
        <f>+J1593+L1593</f>
        <v>1497907</v>
      </c>
      <c r="N1593" s="28" t="s">
        <v>2295</v>
      </c>
      <c r="O1593" s="29" t="s">
        <v>2296</v>
      </c>
      <c r="P1593" s="36">
        <v>44169</v>
      </c>
      <c r="Q1593" s="31">
        <v>29057.18</v>
      </c>
      <c r="R1593" s="33">
        <f>M1593/Q1593</f>
        <v>51.550322502045965</v>
      </c>
    </row>
    <row r="1594" spans="1:18" s="30" customFormat="1" ht="15" customHeight="1">
      <c r="A1594" s="37" t="s">
        <v>52</v>
      </c>
      <c r="B1594" s="26" t="s">
        <v>555</v>
      </c>
      <c r="C1594" s="39">
        <v>74</v>
      </c>
      <c r="D1594" s="40" t="s">
        <v>2348</v>
      </c>
      <c r="E1594" s="38" t="s">
        <v>3</v>
      </c>
      <c r="F1594" s="38" t="s">
        <v>11</v>
      </c>
      <c r="G1594" s="32">
        <v>0</v>
      </c>
      <c r="H1594" s="32">
        <v>66495610</v>
      </c>
      <c r="I1594" s="52">
        <v>0</v>
      </c>
      <c r="J1594" s="35">
        <f>+G1594-H1594+I1594</f>
        <v>-66495610</v>
      </c>
      <c r="K1594" s="28">
        <v>0</v>
      </c>
      <c r="L1594" s="32">
        <v>0</v>
      </c>
      <c r="M1594" s="35">
        <f>+J1594+L1594</f>
        <v>-66495610</v>
      </c>
      <c r="N1594" s="28" t="s">
        <v>2173</v>
      </c>
      <c r="O1594" s="29" t="s">
        <v>2174</v>
      </c>
      <c r="P1594" s="36">
        <v>43140</v>
      </c>
      <c r="Q1594" s="31">
        <v>26832.73</v>
      </c>
      <c r="R1594" s="33">
        <f>M1594/Q1594</f>
        <v>-2478.1529870423174</v>
      </c>
    </row>
    <row r="1595" spans="1:18" s="30" customFormat="1" ht="15" customHeight="1">
      <c r="A1595" s="37" t="s">
        <v>688</v>
      </c>
      <c r="B1595" s="26" t="s">
        <v>1728</v>
      </c>
      <c r="C1595" s="39">
        <v>74</v>
      </c>
      <c r="D1595" s="40" t="s">
        <v>2349</v>
      </c>
      <c r="E1595" s="38" t="s">
        <v>4</v>
      </c>
      <c r="F1595" s="38" t="s">
        <v>12</v>
      </c>
      <c r="G1595" s="32">
        <v>55231</v>
      </c>
      <c r="H1595" s="32">
        <v>0</v>
      </c>
      <c r="I1595" s="52">
        <v>0</v>
      </c>
      <c r="J1595" s="35">
        <f>+G1595-H1595+I1595</f>
        <v>55231</v>
      </c>
      <c r="K1595" s="28">
        <v>0</v>
      </c>
      <c r="L1595" s="32">
        <v>0</v>
      </c>
      <c r="M1595" s="35">
        <f>+J1595+L1595</f>
        <v>55231</v>
      </c>
      <c r="N1595" s="28" t="s">
        <v>2343</v>
      </c>
      <c r="O1595" s="29" t="s">
        <v>2344</v>
      </c>
      <c r="P1595" s="36">
        <v>42810</v>
      </c>
      <c r="Q1595" s="31">
        <v>26446.36</v>
      </c>
      <c r="R1595" s="33">
        <f>M1595/Q1595</f>
        <v>2.0884159483573543</v>
      </c>
    </row>
    <row r="1596" spans="1:18" s="30" customFormat="1" ht="15" customHeight="1">
      <c r="A1596" s="37" t="s">
        <v>391</v>
      </c>
      <c r="B1596" s="26" t="s">
        <v>392</v>
      </c>
      <c r="C1596" s="39">
        <v>73</v>
      </c>
      <c r="D1596" s="40" t="s">
        <v>2350</v>
      </c>
      <c r="E1596" s="38" t="s">
        <v>3</v>
      </c>
      <c r="F1596" s="38" t="s">
        <v>13</v>
      </c>
      <c r="G1596" s="32">
        <v>20004353</v>
      </c>
      <c r="H1596" s="32">
        <v>3523403</v>
      </c>
      <c r="I1596" s="32">
        <v>5009685</v>
      </c>
      <c r="J1596" s="35">
        <f>+G1596-H1596+I1596</f>
        <v>21490635</v>
      </c>
      <c r="K1596" s="28">
        <v>0</v>
      </c>
      <c r="L1596" s="32">
        <v>0</v>
      </c>
      <c r="M1596" s="35">
        <f>+J1596+L1596</f>
        <v>21490635</v>
      </c>
      <c r="N1596" s="28" t="s">
        <v>2026</v>
      </c>
      <c r="O1596" s="29" t="s">
        <v>2027</v>
      </c>
      <c r="P1596" s="36">
        <v>43789</v>
      </c>
      <c r="Q1596" s="31">
        <v>28147.47</v>
      </c>
      <c r="R1596" s="33">
        <f>M1596/Q1596</f>
        <v>763.50147988433775</v>
      </c>
    </row>
    <row r="1597" spans="1:18" s="30" customFormat="1" ht="15" customHeight="1">
      <c r="A1597" s="37" t="s">
        <v>874</v>
      </c>
      <c r="B1597" s="26" t="s">
        <v>875</v>
      </c>
      <c r="C1597" s="39">
        <v>162</v>
      </c>
      <c r="D1597" s="40" t="s">
        <v>2351</v>
      </c>
      <c r="E1597" s="38" t="s">
        <v>3</v>
      </c>
      <c r="F1597" s="38" t="s">
        <v>13</v>
      </c>
      <c r="G1597" s="32">
        <v>9814925</v>
      </c>
      <c r="H1597" s="32">
        <v>0</v>
      </c>
      <c r="I1597" s="32">
        <v>0</v>
      </c>
      <c r="J1597" s="35">
        <f>+G1597-H1597+I1597</f>
        <v>9814925</v>
      </c>
      <c r="K1597" s="27">
        <v>15</v>
      </c>
      <c r="L1597" s="32">
        <v>0</v>
      </c>
      <c r="M1597" s="35">
        <f>+J1597+L1597</f>
        <v>9814925</v>
      </c>
      <c r="N1597" s="28" t="s">
        <v>1512</v>
      </c>
      <c r="O1597" s="29" t="s">
        <v>1513</v>
      </c>
      <c r="P1597" s="36">
        <v>44972</v>
      </c>
      <c r="Q1597" s="31">
        <v>35378.559999999998</v>
      </c>
      <c r="R1597" s="33">
        <f>M1597/Q1597</f>
        <v>277.42579121366163</v>
      </c>
    </row>
    <row r="1598" spans="1:18" s="30" customFormat="1" ht="15" customHeight="1">
      <c r="A1598" s="37" t="s">
        <v>293</v>
      </c>
      <c r="B1598" s="26" t="s">
        <v>294</v>
      </c>
      <c r="C1598" s="39">
        <v>73</v>
      </c>
      <c r="D1598" s="40" t="s">
        <v>2352</v>
      </c>
      <c r="E1598" s="38" t="s">
        <v>3</v>
      </c>
      <c r="F1598" s="38" t="s">
        <v>10</v>
      </c>
      <c r="G1598" s="32">
        <v>2861713</v>
      </c>
      <c r="H1598" s="32">
        <v>0</v>
      </c>
      <c r="I1598" s="32">
        <v>751803</v>
      </c>
      <c r="J1598" s="35">
        <f>+G1598-H1598+I1598</f>
        <v>3613516</v>
      </c>
      <c r="K1598" s="28">
        <v>0</v>
      </c>
      <c r="L1598" s="32">
        <v>0</v>
      </c>
      <c r="M1598" s="35">
        <f>+J1598+L1598</f>
        <v>3613516</v>
      </c>
      <c r="N1598" s="28" t="s">
        <v>1537</v>
      </c>
      <c r="O1598" s="29" t="s">
        <v>1538</v>
      </c>
      <c r="P1598" s="36">
        <v>43914</v>
      </c>
      <c r="Q1598" s="31">
        <v>28331.86</v>
      </c>
      <c r="R1598" s="33">
        <f>M1598/Q1598</f>
        <v>127.54249103306313</v>
      </c>
    </row>
    <row r="1599" spans="1:18" s="30" customFormat="1" ht="15" customHeight="1">
      <c r="A1599" s="37" t="s">
        <v>874</v>
      </c>
      <c r="B1599" s="26" t="s">
        <v>875</v>
      </c>
      <c r="C1599" s="39">
        <v>73</v>
      </c>
      <c r="D1599" s="40" t="s">
        <v>2353</v>
      </c>
      <c r="E1599" s="38" t="s">
        <v>3</v>
      </c>
      <c r="F1599" s="38" t="s">
        <v>10</v>
      </c>
      <c r="G1599" s="32">
        <v>2068915</v>
      </c>
      <c r="H1599" s="32">
        <v>505166</v>
      </c>
      <c r="I1599" s="32">
        <v>421223</v>
      </c>
      <c r="J1599" s="35">
        <f>+G1599-H1599+I1599</f>
        <v>1984972</v>
      </c>
      <c r="K1599" s="28">
        <v>0</v>
      </c>
      <c r="L1599" s="32">
        <v>0</v>
      </c>
      <c r="M1599" s="35">
        <f>+J1599+L1599</f>
        <v>1984972</v>
      </c>
      <c r="N1599" s="28" t="s">
        <v>2048</v>
      </c>
      <c r="O1599" s="29" t="s">
        <v>2049</v>
      </c>
      <c r="P1599" s="36">
        <v>44379</v>
      </c>
      <c r="Q1599" s="31">
        <v>29716</v>
      </c>
      <c r="R1599" s="33">
        <v>66.8</v>
      </c>
    </row>
    <row r="1600" spans="1:18" s="30" customFormat="1" ht="15" customHeight="1">
      <c r="A1600" s="37" t="s">
        <v>356</v>
      </c>
      <c r="B1600" s="26" t="s">
        <v>1841</v>
      </c>
      <c r="C1600" s="39">
        <v>73</v>
      </c>
      <c r="D1600" s="40" t="s">
        <v>2354</v>
      </c>
      <c r="E1600" s="38" t="s">
        <v>6</v>
      </c>
      <c r="F1600" s="38" t="s">
        <v>13</v>
      </c>
      <c r="G1600" s="32">
        <v>1324524</v>
      </c>
      <c r="H1600" s="32">
        <v>0</v>
      </c>
      <c r="I1600" s="32">
        <v>48444</v>
      </c>
      <c r="J1600" s="35">
        <f>+G1600-H1600+I1600</f>
        <v>1372968</v>
      </c>
      <c r="K1600" s="28">
        <v>0</v>
      </c>
      <c r="L1600" s="32">
        <v>0</v>
      </c>
      <c r="M1600" s="35">
        <f>+J1600+L1600</f>
        <v>1372968</v>
      </c>
      <c r="N1600" s="28" t="s">
        <v>2295</v>
      </c>
      <c r="O1600" s="29" t="s">
        <v>2296</v>
      </c>
      <c r="P1600" s="36">
        <v>44169</v>
      </c>
      <c r="Q1600" s="31">
        <v>29057.18</v>
      </c>
      <c r="R1600" s="33">
        <f>M1600/Q1600</f>
        <v>47.25055907008182</v>
      </c>
    </row>
    <row r="1601" spans="1:18" s="30" customFormat="1" ht="15" customHeight="1">
      <c r="A1601" s="37" t="s">
        <v>293</v>
      </c>
      <c r="B1601" s="26" t="s">
        <v>294</v>
      </c>
      <c r="C1601" s="39">
        <v>545</v>
      </c>
      <c r="D1601" s="40" t="s">
        <v>2355</v>
      </c>
      <c r="E1601" s="38" t="s">
        <v>3</v>
      </c>
      <c r="F1601" s="38" t="s">
        <v>296</v>
      </c>
      <c r="G1601" s="32">
        <v>9969577</v>
      </c>
      <c r="H1601" s="32">
        <v>3186335</v>
      </c>
      <c r="I1601" s="52">
        <v>0</v>
      </c>
      <c r="J1601" s="35">
        <f>+G1601-H1601+I1601</f>
        <v>6783242</v>
      </c>
      <c r="K1601" s="27" t="s">
        <v>297</v>
      </c>
      <c r="L1601" s="32">
        <v>0</v>
      </c>
      <c r="M1601" s="35">
        <f>+J1601+L1601</f>
        <v>6783242</v>
      </c>
      <c r="N1601" s="55" t="s">
        <v>298</v>
      </c>
      <c r="O1601" s="56" t="s">
        <v>299</v>
      </c>
      <c r="P1601" s="56">
        <v>44502</v>
      </c>
      <c r="Q1601" s="49">
        <v>30403.919999999998</v>
      </c>
      <c r="R1601" s="57">
        <f>+M1601/Q1601</f>
        <v>223.1041918278959</v>
      </c>
    </row>
    <row r="1602" spans="1:18" s="30" customFormat="1" ht="15" customHeight="1">
      <c r="A1602" s="37" t="s">
        <v>356</v>
      </c>
      <c r="B1602" s="26" t="s">
        <v>1540</v>
      </c>
      <c r="C1602" s="39">
        <v>73</v>
      </c>
      <c r="D1602" s="40" t="s">
        <v>2356</v>
      </c>
      <c r="E1602" s="38" t="s">
        <v>3</v>
      </c>
      <c r="F1602" s="38" t="s">
        <v>20</v>
      </c>
      <c r="G1602" s="32">
        <v>51229283.40213912</v>
      </c>
      <c r="H1602" s="32">
        <v>0</v>
      </c>
      <c r="I1602" s="32">
        <v>913581</v>
      </c>
      <c r="J1602" s="35">
        <f>+G1602-H1602+I1602</f>
        <v>52142864.40213912</v>
      </c>
      <c r="K1602" s="28">
        <v>0</v>
      </c>
      <c r="L1602" s="32">
        <v>0</v>
      </c>
      <c r="M1602" s="35">
        <f>+J1602+L1602</f>
        <v>52142864.40213912</v>
      </c>
      <c r="N1602" s="28" t="s">
        <v>2203</v>
      </c>
      <c r="O1602" s="29" t="s">
        <v>2204</v>
      </c>
      <c r="P1602" s="36">
        <v>42984</v>
      </c>
      <c r="Q1602" s="31">
        <v>26614.39</v>
      </c>
      <c r="R1602" s="33">
        <f>M1602/Q1602</f>
        <v>1959.1981782088233</v>
      </c>
    </row>
    <row r="1603" spans="1:18" s="30" customFormat="1" ht="15" customHeight="1">
      <c r="A1603" s="37" t="s">
        <v>39</v>
      </c>
      <c r="B1603" s="26" t="s">
        <v>1658</v>
      </c>
      <c r="C1603" s="39">
        <v>73</v>
      </c>
      <c r="D1603" s="40" t="s">
        <v>2357</v>
      </c>
      <c r="E1603" s="38" t="s">
        <v>4</v>
      </c>
      <c r="F1603" s="38" t="s">
        <v>11</v>
      </c>
      <c r="G1603" s="32">
        <v>45069628</v>
      </c>
      <c r="H1603" s="32">
        <v>31096630</v>
      </c>
      <c r="I1603" s="52">
        <v>0</v>
      </c>
      <c r="J1603" s="35">
        <f>+G1603-H1603+I1603</f>
        <v>13972998</v>
      </c>
      <c r="K1603" s="28">
        <v>0</v>
      </c>
      <c r="L1603" s="32">
        <v>0</v>
      </c>
      <c r="M1603" s="35">
        <f>+J1603+L1603</f>
        <v>13972998</v>
      </c>
      <c r="N1603" s="28" t="s">
        <v>2151</v>
      </c>
      <c r="O1603" s="29" t="s">
        <v>2152</v>
      </c>
      <c r="P1603" s="36">
        <v>43448</v>
      </c>
      <c r="Q1603" s="31">
        <v>27565.79</v>
      </c>
      <c r="R1603" s="33">
        <f>M1603/Q1603</f>
        <v>506.89633781582171</v>
      </c>
    </row>
    <row r="1604" spans="1:18" s="30" customFormat="1" ht="15" customHeight="1">
      <c r="A1604" s="37" t="s">
        <v>52</v>
      </c>
      <c r="B1604" s="26" t="s">
        <v>555</v>
      </c>
      <c r="C1604" s="39">
        <v>73</v>
      </c>
      <c r="D1604" s="40" t="s">
        <v>2358</v>
      </c>
      <c r="E1604" s="38" t="s">
        <v>3</v>
      </c>
      <c r="F1604" s="38" t="s">
        <v>11</v>
      </c>
      <c r="G1604" s="32">
        <v>6690304</v>
      </c>
      <c r="H1604" s="32">
        <v>0</v>
      </c>
      <c r="I1604" s="32">
        <v>7424021</v>
      </c>
      <c r="J1604" s="35">
        <f>+G1604-H1604+I1604</f>
        <v>14114325</v>
      </c>
      <c r="K1604" s="28">
        <v>0</v>
      </c>
      <c r="L1604" s="32">
        <v>0</v>
      </c>
      <c r="M1604" s="35">
        <f>+J1604+L1604</f>
        <v>14114325</v>
      </c>
      <c r="N1604" s="28" t="s">
        <v>2173</v>
      </c>
      <c r="O1604" s="29" t="s">
        <v>2174</v>
      </c>
      <c r="P1604" s="36">
        <v>43140</v>
      </c>
      <c r="Q1604" s="31">
        <v>26832.73</v>
      </c>
      <c r="R1604" s="33">
        <f>M1604/Q1604</f>
        <v>526.01151653223508</v>
      </c>
    </row>
    <row r="1605" spans="1:18" s="30" customFormat="1" ht="15" customHeight="1">
      <c r="A1605" s="37" t="s">
        <v>688</v>
      </c>
      <c r="B1605" s="26" t="s">
        <v>1728</v>
      </c>
      <c r="C1605" s="39">
        <v>73</v>
      </c>
      <c r="D1605" s="40" t="s">
        <v>2359</v>
      </c>
      <c r="E1605" s="38" t="s">
        <v>4</v>
      </c>
      <c r="F1605" s="38" t="s">
        <v>12</v>
      </c>
      <c r="G1605" s="32">
        <v>5522</v>
      </c>
      <c r="H1605" s="32">
        <v>130809</v>
      </c>
      <c r="I1605" s="52">
        <v>0</v>
      </c>
      <c r="J1605" s="35">
        <f>+G1605-H1605+I1605</f>
        <v>-125287</v>
      </c>
      <c r="K1605" s="28">
        <v>0</v>
      </c>
      <c r="L1605" s="32">
        <v>0</v>
      </c>
      <c r="M1605" s="35">
        <f>+J1605+L1605</f>
        <v>-125287</v>
      </c>
      <c r="N1605" s="28" t="s">
        <v>2343</v>
      </c>
      <c r="O1605" s="29" t="s">
        <v>2344</v>
      </c>
      <c r="P1605" s="36">
        <v>42810</v>
      </c>
      <c r="Q1605" s="31">
        <v>26446.36</v>
      </c>
      <c r="R1605" s="33">
        <f>M1605/Q1605</f>
        <v>-4.7374005345159027</v>
      </c>
    </row>
    <row r="1606" spans="1:18" s="30" customFormat="1" ht="15" customHeight="1">
      <c r="A1606" s="37" t="s">
        <v>391</v>
      </c>
      <c r="B1606" s="26" t="s">
        <v>392</v>
      </c>
      <c r="C1606" s="39">
        <v>72</v>
      </c>
      <c r="D1606" s="40" t="s">
        <v>2360</v>
      </c>
      <c r="E1606" s="38" t="s">
        <v>3</v>
      </c>
      <c r="F1606" s="38" t="s">
        <v>11</v>
      </c>
      <c r="G1606" s="32">
        <v>1007913</v>
      </c>
      <c r="H1606" s="32">
        <v>0</v>
      </c>
      <c r="I1606" s="32">
        <v>16269422</v>
      </c>
      <c r="J1606" s="35">
        <f>+G1606-H1606+I1606</f>
        <v>17277335</v>
      </c>
      <c r="K1606" s="28">
        <v>0</v>
      </c>
      <c r="L1606" s="32">
        <v>0</v>
      </c>
      <c r="M1606" s="35">
        <f>+J1606+L1606</f>
        <v>17277335</v>
      </c>
      <c r="N1606" s="28" t="s">
        <v>2026</v>
      </c>
      <c r="O1606" s="29" t="s">
        <v>2027</v>
      </c>
      <c r="P1606" s="36">
        <v>43789</v>
      </c>
      <c r="Q1606" s="31">
        <v>28147.47</v>
      </c>
      <c r="R1606" s="33">
        <f>M1606/Q1606</f>
        <v>613.8148473024396</v>
      </c>
    </row>
    <row r="1607" spans="1:18" s="30" customFormat="1" ht="15" customHeight="1">
      <c r="A1607" s="37" t="s">
        <v>293</v>
      </c>
      <c r="B1607" s="26" t="s">
        <v>294</v>
      </c>
      <c r="C1607" s="39">
        <v>72</v>
      </c>
      <c r="D1607" s="40" t="s">
        <v>2361</v>
      </c>
      <c r="E1607" s="38" t="s">
        <v>3</v>
      </c>
      <c r="F1607" s="38" t="s">
        <v>10</v>
      </c>
      <c r="G1607" s="32">
        <v>108794165</v>
      </c>
      <c r="H1607" s="32">
        <v>59758914</v>
      </c>
      <c r="I1607" s="52">
        <v>0</v>
      </c>
      <c r="J1607" s="35">
        <f>+G1607-H1607+I1607</f>
        <v>49035251</v>
      </c>
      <c r="K1607" s="28">
        <v>0</v>
      </c>
      <c r="L1607" s="32">
        <v>0</v>
      </c>
      <c r="M1607" s="35">
        <f>+J1607+L1607</f>
        <v>49035251</v>
      </c>
      <c r="N1607" s="28" t="s">
        <v>1626</v>
      </c>
      <c r="O1607" s="29" t="s">
        <v>1627</v>
      </c>
      <c r="P1607" s="36">
        <v>43886</v>
      </c>
      <c r="Q1607" s="31">
        <v>28440.19</v>
      </c>
      <c r="R1607" s="33">
        <f>M1607/Q1607</f>
        <v>1724.1534251353455</v>
      </c>
    </row>
    <row r="1608" spans="1:18" s="30" customFormat="1" ht="15" customHeight="1">
      <c r="A1608" s="37" t="s">
        <v>356</v>
      </c>
      <c r="B1608" s="26" t="s">
        <v>1841</v>
      </c>
      <c r="C1608" s="39">
        <v>72</v>
      </c>
      <c r="D1608" s="40" t="s">
        <v>2362</v>
      </c>
      <c r="E1608" s="38" t="s">
        <v>4</v>
      </c>
      <c r="F1608" s="38" t="s">
        <v>13</v>
      </c>
      <c r="G1608" s="32">
        <v>4569892</v>
      </c>
      <c r="H1608" s="32">
        <v>91751</v>
      </c>
      <c r="I1608" s="32">
        <v>1271498</v>
      </c>
      <c r="J1608" s="35">
        <f>+G1608-H1608+I1608</f>
        <v>5749639</v>
      </c>
      <c r="K1608" s="28">
        <v>0</v>
      </c>
      <c r="L1608" s="32">
        <v>0</v>
      </c>
      <c r="M1608" s="35">
        <f>+J1608+L1608</f>
        <v>5749639</v>
      </c>
      <c r="N1608" s="28" t="s">
        <v>2295</v>
      </c>
      <c r="O1608" s="29" t="s">
        <v>2296</v>
      </c>
      <c r="P1608" s="36">
        <v>44169</v>
      </c>
      <c r="Q1608" s="31">
        <v>29057.18</v>
      </c>
      <c r="R1608" s="33">
        <f>M1608/Q1608</f>
        <v>197.8732623055644</v>
      </c>
    </row>
    <row r="1609" spans="1:18" s="30" customFormat="1" ht="15" customHeight="1">
      <c r="A1609" s="37" t="s">
        <v>356</v>
      </c>
      <c r="B1609" s="26" t="s">
        <v>1540</v>
      </c>
      <c r="C1609" s="39">
        <v>72</v>
      </c>
      <c r="D1609" s="40" t="s">
        <v>2363</v>
      </c>
      <c r="E1609" s="38" t="s">
        <v>3</v>
      </c>
      <c r="F1609" s="38" t="s">
        <v>15</v>
      </c>
      <c r="G1609" s="32">
        <v>77785103.018104464</v>
      </c>
      <c r="H1609" s="32">
        <v>0</v>
      </c>
      <c r="I1609" s="32">
        <v>135995584.24399999</v>
      </c>
      <c r="J1609" s="35">
        <f>+G1609-H1609+I1609</f>
        <v>213780687.26210445</v>
      </c>
      <c r="K1609" s="28">
        <v>0</v>
      </c>
      <c r="L1609" s="32">
        <v>0</v>
      </c>
      <c r="M1609" s="35">
        <f>+J1609+L1609</f>
        <v>213780687.26210445</v>
      </c>
      <c r="N1609" s="28" t="s">
        <v>2203</v>
      </c>
      <c r="O1609" s="29" t="s">
        <v>2204</v>
      </c>
      <c r="P1609" s="36">
        <v>42984</v>
      </c>
      <c r="Q1609" s="31">
        <v>26614.39</v>
      </c>
      <c r="R1609" s="33">
        <f>M1609/Q1609</f>
        <v>8032.5225286810801</v>
      </c>
    </row>
    <row r="1610" spans="1:18" s="30" customFormat="1" ht="15" customHeight="1">
      <c r="A1610" s="37" t="s">
        <v>688</v>
      </c>
      <c r="B1610" s="26" t="s">
        <v>1728</v>
      </c>
      <c r="C1610" s="39">
        <v>72</v>
      </c>
      <c r="D1610" s="40" t="s">
        <v>2364</v>
      </c>
      <c r="E1610" s="38" t="s">
        <v>4</v>
      </c>
      <c r="F1610" s="38" t="s">
        <v>12</v>
      </c>
      <c r="G1610" s="32">
        <v>19330.93</v>
      </c>
      <c r="H1610" s="32">
        <v>111769.37</v>
      </c>
      <c r="I1610" s="52">
        <v>0</v>
      </c>
      <c r="J1610" s="35">
        <f>+G1610-H1610+I1610</f>
        <v>-92438.44</v>
      </c>
      <c r="K1610" s="28">
        <v>0</v>
      </c>
      <c r="L1610" s="32">
        <v>0</v>
      </c>
      <c r="M1610" s="35">
        <f>+J1610+L1610</f>
        <v>-92438.44</v>
      </c>
      <c r="N1610" s="28" t="s">
        <v>2343</v>
      </c>
      <c r="O1610" s="29" t="s">
        <v>2344</v>
      </c>
      <c r="P1610" s="36">
        <v>42810</v>
      </c>
      <c r="Q1610" s="31">
        <v>26446.36</v>
      </c>
      <c r="R1610" s="33">
        <f>M1610/Q1610</f>
        <v>-3.495318070237265</v>
      </c>
    </row>
    <row r="1611" spans="1:18" s="30" customFormat="1" ht="15" customHeight="1">
      <c r="A1611" s="37" t="s">
        <v>293</v>
      </c>
      <c r="B1611" s="26" t="s">
        <v>294</v>
      </c>
      <c r="C1611" s="39">
        <v>71</v>
      </c>
      <c r="D1611" s="40" t="s">
        <v>2365</v>
      </c>
      <c r="E1611" s="38" t="s">
        <v>3</v>
      </c>
      <c r="F1611" s="38" t="s">
        <v>10</v>
      </c>
      <c r="G1611" s="32">
        <v>1343361</v>
      </c>
      <c r="H1611" s="32">
        <v>841027</v>
      </c>
      <c r="I1611" s="52">
        <v>0</v>
      </c>
      <c r="J1611" s="35">
        <f>+G1611-H1611+I1611</f>
        <v>502334</v>
      </c>
      <c r="K1611" s="28">
        <v>0</v>
      </c>
      <c r="L1611" s="32">
        <v>0</v>
      </c>
      <c r="M1611" s="35">
        <f>+J1611+L1611</f>
        <v>502334</v>
      </c>
      <c r="N1611" s="28" t="s">
        <v>1830</v>
      </c>
      <c r="O1611" s="29" t="s">
        <v>1831</v>
      </c>
      <c r="P1611" s="36">
        <v>43878</v>
      </c>
      <c r="Q1611" s="31">
        <v>28393.3</v>
      </c>
      <c r="R1611" s="33">
        <f>M1611/Q1611</f>
        <v>17.691990716119648</v>
      </c>
    </row>
    <row r="1612" spans="1:18" s="30" customFormat="1" ht="15" customHeight="1">
      <c r="A1612" s="37" t="s">
        <v>293</v>
      </c>
      <c r="B1612" s="26" t="s">
        <v>294</v>
      </c>
      <c r="C1612" s="39">
        <v>563</v>
      </c>
      <c r="D1612" s="40" t="s">
        <v>2366</v>
      </c>
      <c r="E1612" s="38" t="s">
        <v>4</v>
      </c>
      <c r="F1612" s="38" t="s">
        <v>296</v>
      </c>
      <c r="G1612" s="32">
        <v>10396195</v>
      </c>
      <c r="H1612" s="32">
        <v>5867371</v>
      </c>
      <c r="I1612" s="52">
        <v>0</v>
      </c>
      <c r="J1612" s="35">
        <f>+G1612-H1612+I1612</f>
        <v>4528824</v>
      </c>
      <c r="K1612" s="27" t="s">
        <v>297</v>
      </c>
      <c r="L1612" s="32">
        <v>0</v>
      </c>
      <c r="M1612" s="35">
        <f>+J1612+L1612</f>
        <v>4528824</v>
      </c>
      <c r="N1612" s="55" t="s">
        <v>298</v>
      </c>
      <c r="O1612" s="56" t="s">
        <v>299</v>
      </c>
      <c r="P1612" s="56">
        <v>44502</v>
      </c>
      <c r="Q1612" s="49">
        <v>30403.919999999998</v>
      </c>
      <c r="R1612" s="57">
        <f>+M1612/Q1612</f>
        <v>148.9552662946094</v>
      </c>
    </row>
    <row r="1613" spans="1:18" s="30" customFormat="1" ht="15" customHeight="1">
      <c r="A1613" s="37" t="s">
        <v>356</v>
      </c>
      <c r="B1613" s="26" t="s">
        <v>1540</v>
      </c>
      <c r="C1613" s="39">
        <v>71</v>
      </c>
      <c r="D1613" s="40" t="s">
        <v>2367</v>
      </c>
      <c r="E1613" s="38" t="s">
        <v>4</v>
      </c>
      <c r="F1613" s="38" t="s">
        <v>11</v>
      </c>
      <c r="G1613" s="32">
        <v>0</v>
      </c>
      <c r="H1613" s="32">
        <v>100489745.46696988</v>
      </c>
      <c r="I1613" s="32">
        <v>185985874</v>
      </c>
      <c r="J1613" s="35">
        <f>+G1613-H1613+I1613</f>
        <v>85496128.533030123</v>
      </c>
      <c r="K1613" s="28">
        <v>0</v>
      </c>
      <c r="L1613" s="32">
        <v>0</v>
      </c>
      <c r="M1613" s="35">
        <f>+J1613+L1613</f>
        <v>85496128.533030123</v>
      </c>
      <c r="N1613" s="28" t="s">
        <v>2203</v>
      </c>
      <c r="O1613" s="29" t="s">
        <v>2204</v>
      </c>
      <c r="P1613" s="36">
        <v>42984</v>
      </c>
      <c r="Q1613" s="31">
        <v>26614.39</v>
      </c>
      <c r="R1613" s="33">
        <f>M1613/Q1613</f>
        <v>3212.4023332126012</v>
      </c>
    </row>
    <row r="1614" spans="1:18" s="30" customFormat="1" ht="15" customHeight="1">
      <c r="A1614" s="37" t="s">
        <v>39</v>
      </c>
      <c r="B1614" s="26" t="s">
        <v>1658</v>
      </c>
      <c r="C1614" s="39">
        <v>71</v>
      </c>
      <c r="D1614" s="40" t="s">
        <v>2368</v>
      </c>
      <c r="E1614" s="38" t="s">
        <v>4</v>
      </c>
      <c r="F1614" s="38" t="s">
        <v>11</v>
      </c>
      <c r="G1614" s="32">
        <v>175344992</v>
      </c>
      <c r="H1614" s="32">
        <v>110842009</v>
      </c>
      <c r="I1614" s="52">
        <v>0</v>
      </c>
      <c r="J1614" s="35">
        <f>+G1614-H1614+I1614</f>
        <v>64502983</v>
      </c>
      <c r="K1614" s="28">
        <v>0</v>
      </c>
      <c r="L1614" s="32">
        <v>0</v>
      </c>
      <c r="M1614" s="35">
        <f>+J1614+L1614</f>
        <v>64502983</v>
      </c>
      <c r="N1614" s="28" t="s">
        <v>2151</v>
      </c>
      <c r="O1614" s="29" t="s">
        <v>2152</v>
      </c>
      <c r="P1614" s="36">
        <v>43448</v>
      </c>
      <c r="Q1614" s="31">
        <v>27565.79</v>
      </c>
      <c r="R1614" s="33">
        <f>M1614/Q1614</f>
        <v>2339.9649710746544</v>
      </c>
    </row>
    <row r="1615" spans="1:18" s="30" customFormat="1" ht="15" customHeight="1">
      <c r="A1615" s="37" t="s">
        <v>52</v>
      </c>
      <c r="B1615" s="26" t="s">
        <v>555</v>
      </c>
      <c r="C1615" s="39">
        <v>71</v>
      </c>
      <c r="D1615" s="40" t="s">
        <v>2369</v>
      </c>
      <c r="E1615" s="38" t="s">
        <v>3</v>
      </c>
      <c r="F1615" s="38" t="s">
        <v>11</v>
      </c>
      <c r="G1615" s="32">
        <v>0</v>
      </c>
      <c r="H1615" s="32">
        <v>60484005</v>
      </c>
      <c r="I1615" s="52">
        <v>0</v>
      </c>
      <c r="J1615" s="35">
        <f>+G1615-H1615+I1615</f>
        <v>-60484005</v>
      </c>
      <c r="K1615" s="28">
        <v>0</v>
      </c>
      <c r="L1615" s="32">
        <v>0</v>
      </c>
      <c r="M1615" s="35">
        <f>+J1615+L1615</f>
        <v>-60484005</v>
      </c>
      <c r="N1615" s="28" t="s">
        <v>2173</v>
      </c>
      <c r="O1615" s="29" t="s">
        <v>2174</v>
      </c>
      <c r="P1615" s="36">
        <v>43140</v>
      </c>
      <c r="Q1615" s="31">
        <v>26832.73</v>
      </c>
      <c r="R1615" s="33">
        <f>M1615/Q1615</f>
        <v>-2254.1129806769568</v>
      </c>
    </row>
    <row r="1616" spans="1:18" s="30" customFormat="1" ht="15" customHeight="1">
      <c r="A1616" s="37" t="s">
        <v>688</v>
      </c>
      <c r="B1616" s="26" t="s">
        <v>1728</v>
      </c>
      <c r="C1616" s="39">
        <v>71</v>
      </c>
      <c r="D1616" s="40" t="s">
        <v>2370</v>
      </c>
      <c r="E1616" s="38" t="s">
        <v>4</v>
      </c>
      <c r="F1616" s="38" t="s">
        <v>12</v>
      </c>
      <c r="G1616" s="32">
        <v>526134</v>
      </c>
      <c r="H1616" s="32">
        <v>1169618.06</v>
      </c>
      <c r="I1616" s="32">
        <v>214314.23999999999</v>
      </c>
      <c r="J1616" s="35">
        <f>+G1616-H1616+I1616</f>
        <v>-429169.82000000007</v>
      </c>
      <c r="K1616" s="28">
        <v>0</v>
      </c>
      <c r="L1616" s="32">
        <v>0</v>
      </c>
      <c r="M1616" s="35">
        <f>+J1616+L1616</f>
        <v>-429169.82000000007</v>
      </c>
      <c r="N1616" s="28" t="s">
        <v>2343</v>
      </c>
      <c r="O1616" s="29" t="s">
        <v>2344</v>
      </c>
      <c r="P1616" s="36">
        <v>42810</v>
      </c>
      <c r="Q1616" s="31">
        <v>26446.36</v>
      </c>
      <c r="R1616" s="33">
        <f>M1616/Q1616</f>
        <v>-16.227935337793181</v>
      </c>
    </row>
    <row r="1617" spans="1:18" s="30" customFormat="1" ht="15" customHeight="1">
      <c r="A1617" s="37" t="s">
        <v>293</v>
      </c>
      <c r="B1617" s="26" t="s">
        <v>294</v>
      </c>
      <c r="C1617" s="39">
        <v>70</v>
      </c>
      <c r="D1617" s="40" t="s">
        <v>2371</v>
      </c>
      <c r="E1617" s="38" t="s">
        <v>3</v>
      </c>
      <c r="F1617" s="38" t="s">
        <v>10</v>
      </c>
      <c r="G1617" s="32">
        <v>593063</v>
      </c>
      <c r="H1617" s="32">
        <v>351198</v>
      </c>
      <c r="I1617" s="52">
        <v>0</v>
      </c>
      <c r="J1617" s="35">
        <f>+G1617-H1617+I1617</f>
        <v>241865</v>
      </c>
      <c r="K1617" s="28">
        <v>0</v>
      </c>
      <c r="L1617" s="32">
        <v>0</v>
      </c>
      <c r="M1617" s="35">
        <f>+J1617+L1617</f>
        <v>241865</v>
      </c>
      <c r="N1617" s="28" t="s">
        <v>1830</v>
      </c>
      <c r="O1617" s="29" t="s">
        <v>1831</v>
      </c>
      <c r="P1617" s="36">
        <v>43878</v>
      </c>
      <c r="Q1617" s="31">
        <v>28393.3</v>
      </c>
      <c r="R1617" s="33">
        <f>M1617/Q1617</f>
        <v>8.518382857927751</v>
      </c>
    </row>
    <row r="1618" spans="1:18" s="30" customFormat="1" ht="15" customHeight="1">
      <c r="A1618" s="37" t="s">
        <v>874</v>
      </c>
      <c r="B1618" s="26" t="s">
        <v>875</v>
      </c>
      <c r="C1618" s="39">
        <v>70</v>
      </c>
      <c r="D1618" s="40" t="s">
        <v>2372</v>
      </c>
      <c r="E1618" s="38" t="s">
        <v>4</v>
      </c>
      <c r="F1618" s="38" t="s">
        <v>10</v>
      </c>
      <c r="G1618" s="32">
        <v>1228876</v>
      </c>
      <c r="H1618" s="32">
        <v>1295996</v>
      </c>
      <c r="I1618" s="32">
        <v>0</v>
      </c>
      <c r="J1618" s="35">
        <f>+G1618-H1618+I1618</f>
        <v>-67120</v>
      </c>
      <c r="K1618" s="28">
        <v>0</v>
      </c>
      <c r="L1618" s="32">
        <v>0</v>
      </c>
      <c r="M1618" s="35">
        <f>+J1618+L1618</f>
        <v>-67120</v>
      </c>
      <c r="N1618" s="28" t="s">
        <v>1512</v>
      </c>
      <c r="O1618" s="29" t="s">
        <v>1513</v>
      </c>
      <c r="P1618" s="36">
        <v>44972</v>
      </c>
      <c r="Q1618" s="31">
        <v>35378.559999999998</v>
      </c>
      <c r="R1618" s="33">
        <f>M1618/Q1618</f>
        <v>-1.8971942328913332</v>
      </c>
    </row>
    <row r="1619" spans="1:18" s="30" customFormat="1" ht="15" customHeight="1">
      <c r="A1619" s="37" t="s">
        <v>356</v>
      </c>
      <c r="B1619" s="26" t="s">
        <v>1841</v>
      </c>
      <c r="C1619" s="39">
        <v>70</v>
      </c>
      <c r="D1619" s="40" t="s">
        <v>2373</v>
      </c>
      <c r="E1619" s="38" t="s">
        <v>6</v>
      </c>
      <c r="F1619" s="38" t="s">
        <v>13</v>
      </c>
      <c r="G1619" s="32">
        <v>547147</v>
      </c>
      <c r="H1619" s="32">
        <v>0</v>
      </c>
      <c r="I1619" s="32">
        <v>48444</v>
      </c>
      <c r="J1619" s="35">
        <f>+G1619-H1619+I1619</f>
        <v>595591</v>
      </c>
      <c r="K1619" s="28">
        <v>0</v>
      </c>
      <c r="L1619" s="32">
        <v>0</v>
      </c>
      <c r="M1619" s="35">
        <f>+J1619+L1619</f>
        <v>595591</v>
      </c>
      <c r="N1619" s="28" t="s">
        <v>2295</v>
      </c>
      <c r="O1619" s="29" t="s">
        <v>2296</v>
      </c>
      <c r="P1619" s="36">
        <v>44169</v>
      </c>
      <c r="Q1619" s="31">
        <v>29057.18</v>
      </c>
      <c r="R1619" s="33">
        <f>M1619/Q1619</f>
        <v>20.497205854112476</v>
      </c>
    </row>
    <row r="1620" spans="1:18" s="30" customFormat="1" ht="15" customHeight="1">
      <c r="A1620" s="37" t="s">
        <v>874</v>
      </c>
      <c r="B1620" s="26" t="s">
        <v>875</v>
      </c>
      <c r="C1620" s="39">
        <v>151</v>
      </c>
      <c r="D1620" s="40" t="s">
        <v>2374</v>
      </c>
      <c r="E1620" s="38" t="s">
        <v>198</v>
      </c>
      <c r="F1620" s="38" t="s">
        <v>14</v>
      </c>
      <c r="G1620" s="32">
        <v>10550237</v>
      </c>
      <c r="H1620" s="32">
        <v>1018334</v>
      </c>
      <c r="I1620" s="32">
        <v>40732733</v>
      </c>
      <c r="J1620" s="35">
        <f>+G1620-H1620+I1620</f>
        <v>50264636</v>
      </c>
      <c r="K1620" s="27">
        <v>90</v>
      </c>
      <c r="L1620" s="32">
        <v>0</v>
      </c>
      <c r="M1620" s="35">
        <f>+J1620+L1620</f>
        <v>50264636</v>
      </c>
      <c r="N1620" s="28" t="s">
        <v>877</v>
      </c>
      <c r="O1620" s="29" t="s">
        <v>878</v>
      </c>
      <c r="P1620" s="36">
        <v>44902</v>
      </c>
      <c r="Q1620" s="31">
        <v>34852.33</v>
      </c>
      <c r="R1620" s="33">
        <f>M1620/Q1620</f>
        <v>1442.217378292929</v>
      </c>
    </row>
    <row r="1621" spans="1:18" s="30" customFormat="1" ht="15" customHeight="1">
      <c r="A1621" s="37" t="s">
        <v>356</v>
      </c>
      <c r="B1621" s="26" t="s">
        <v>1540</v>
      </c>
      <c r="C1621" s="39">
        <v>70</v>
      </c>
      <c r="D1621" s="40" t="s">
        <v>2375</v>
      </c>
      <c r="E1621" s="38" t="s">
        <v>3</v>
      </c>
      <c r="F1621" s="38" t="s">
        <v>10</v>
      </c>
      <c r="G1621" s="32">
        <v>13609355</v>
      </c>
      <c r="H1621" s="32">
        <v>0</v>
      </c>
      <c r="I1621" s="32">
        <v>7664114.7399999993</v>
      </c>
      <c r="J1621" s="35">
        <f>+G1621-H1621+I1621</f>
        <v>21273469.739999998</v>
      </c>
      <c r="K1621" s="28">
        <v>0</v>
      </c>
      <c r="L1621" s="32">
        <v>0</v>
      </c>
      <c r="M1621" s="35">
        <f>+J1621+L1621</f>
        <v>21273469.739999998</v>
      </c>
      <c r="N1621" s="28" t="s">
        <v>2203</v>
      </c>
      <c r="O1621" s="29" t="s">
        <v>2204</v>
      </c>
      <c r="P1621" s="36">
        <v>42984</v>
      </c>
      <c r="Q1621" s="31">
        <v>26614.39</v>
      </c>
      <c r="R1621" s="33">
        <f>M1621/Q1621</f>
        <v>799.32208628490071</v>
      </c>
    </row>
    <row r="1622" spans="1:18" s="30" customFormat="1" ht="15" customHeight="1">
      <c r="A1622" s="37" t="s">
        <v>39</v>
      </c>
      <c r="B1622" s="26" t="s">
        <v>1658</v>
      </c>
      <c r="C1622" s="39">
        <v>70</v>
      </c>
      <c r="D1622" s="40" t="s">
        <v>2376</v>
      </c>
      <c r="E1622" s="38" t="s">
        <v>4</v>
      </c>
      <c r="F1622" s="38" t="s">
        <v>11</v>
      </c>
      <c r="G1622" s="32">
        <v>132887888</v>
      </c>
      <c r="H1622" s="32">
        <v>106148609</v>
      </c>
      <c r="I1622" s="32">
        <v>121385754</v>
      </c>
      <c r="J1622" s="35">
        <f>+G1622-H1622+I1622</f>
        <v>148125033</v>
      </c>
      <c r="K1622" s="28">
        <v>0</v>
      </c>
      <c r="L1622" s="32">
        <v>0</v>
      </c>
      <c r="M1622" s="35">
        <f>+J1622+L1622</f>
        <v>148125033</v>
      </c>
      <c r="N1622" s="28" t="s">
        <v>2151</v>
      </c>
      <c r="O1622" s="29" t="s">
        <v>2152</v>
      </c>
      <c r="P1622" s="36">
        <v>43448</v>
      </c>
      <c r="Q1622" s="31">
        <v>27565.79</v>
      </c>
      <c r="R1622" s="33">
        <f>M1622/Q1622</f>
        <v>5373.5094477611556</v>
      </c>
    </row>
    <row r="1623" spans="1:18" s="30" customFormat="1" ht="15" customHeight="1">
      <c r="A1623" s="37" t="s">
        <v>688</v>
      </c>
      <c r="B1623" s="26" t="s">
        <v>1728</v>
      </c>
      <c r="C1623" s="39">
        <v>70</v>
      </c>
      <c r="D1623" s="40" t="s">
        <v>2377</v>
      </c>
      <c r="E1623" s="38" t="s">
        <v>4</v>
      </c>
      <c r="F1623" s="38" t="s">
        <v>12</v>
      </c>
      <c r="G1623" s="32">
        <v>0</v>
      </c>
      <c r="H1623" s="32">
        <v>19040</v>
      </c>
      <c r="I1623" s="32">
        <v>41126.400000000001</v>
      </c>
      <c r="J1623" s="35">
        <f>+G1623-H1623+I1623</f>
        <v>22086.400000000001</v>
      </c>
      <c r="K1623" s="28">
        <v>0</v>
      </c>
      <c r="L1623" s="32">
        <v>0</v>
      </c>
      <c r="M1623" s="35">
        <f>+J1623+L1623</f>
        <v>22086.400000000001</v>
      </c>
      <c r="N1623" s="28" t="s">
        <v>2343</v>
      </c>
      <c r="O1623" s="29" t="s">
        <v>2344</v>
      </c>
      <c r="P1623" s="36">
        <v>42810</v>
      </c>
      <c r="Q1623" s="31">
        <v>26446.36</v>
      </c>
      <c r="R1623" s="33">
        <f>M1623/Q1623</f>
        <v>0.83513950502072876</v>
      </c>
    </row>
    <row r="1624" spans="1:18" s="30" customFormat="1" ht="15" customHeight="1">
      <c r="A1624" s="37" t="s">
        <v>293</v>
      </c>
      <c r="B1624" s="26" t="s">
        <v>294</v>
      </c>
      <c r="C1624" s="39">
        <v>69</v>
      </c>
      <c r="D1624" s="40" t="s">
        <v>2378</v>
      </c>
      <c r="E1624" s="38" t="s">
        <v>3</v>
      </c>
      <c r="F1624" s="38" t="s">
        <v>10</v>
      </c>
      <c r="G1624" s="32">
        <v>1034645</v>
      </c>
      <c r="H1624" s="32">
        <v>0</v>
      </c>
      <c r="I1624" s="52">
        <v>0</v>
      </c>
      <c r="J1624" s="35">
        <f>+G1624-H1624+I1624</f>
        <v>1034645</v>
      </c>
      <c r="K1624" s="28">
        <v>0</v>
      </c>
      <c r="L1624" s="32">
        <v>0</v>
      </c>
      <c r="M1624" s="35">
        <f>+J1624+L1624</f>
        <v>1034645</v>
      </c>
      <c r="N1624" s="28" t="s">
        <v>1626</v>
      </c>
      <c r="O1624" s="29" t="s">
        <v>1627</v>
      </c>
      <c r="P1624" s="36">
        <v>43886</v>
      </c>
      <c r="Q1624" s="31">
        <v>28440.19</v>
      </c>
      <c r="R1624" s="33">
        <f>M1624/Q1624</f>
        <v>36.379679601296615</v>
      </c>
    </row>
    <row r="1625" spans="1:18" s="30" customFormat="1" ht="15" customHeight="1">
      <c r="A1625" s="37" t="s">
        <v>356</v>
      </c>
      <c r="B1625" s="26" t="s">
        <v>1841</v>
      </c>
      <c r="C1625" s="39">
        <v>69</v>
      </c>
      <c r="D1625" s="40" t="s">
        <v>2379</v>
      </c>
      <c r="E1625" s="38" t="s">
        <v>6</v>
      </c>
      <c r="F1625" s="38" t="s">
        <v>13</v>
      </c>
      <c r="G1625" s="32">
        <v>204114</v>
      </c>
      <c r="H1625" s="32">
        <v>0</v>
      </c>
      <c r="I1625" s="32">
        <v>54069</v>
      </c>
      <c r="J1625" s="35">
        <f>+G1625-H1625+I1625</f>
        <v>258183</v>
      </c>
      <c r="K1625" s="28">
        <v>0</v>
      </c>
      <c r="L1625" s="32">
        <v>0</v>
      </c>
      <c r="M1625" s="35">
        <f>+J1625+L1625</f>
        <v>258183</v>
      </c>
      <c r="N1625" s="28" t="s">
        <v>2295</v>
      </c>
      <c r="O1625" s="29" t="s">
        <v>2296</v>
      </c>
      <c r="P1625" s="36">
        <v>44169</v>
      </c>
      <c r="Q1625" s="31">
        <v>29057.18</v>
      </c>
      <c r="R1625" s="33">
        <f>M1625/Q1625</f>
        <v>8.8853426244391223</v>
      </c>
    </row>
    <row r="1626" spans="1:18" s="30" customFormat="1" ht="15" customHeight="1">
      <c r="A1626" s="37" t="s">
        <v>39</v>
      </c>
      <c r="B1626" s="26" t="s">
        <v>1658</v>
      </c>
      <c r="C1626" s="39">
        <v>69</v>
      </c>
      <c r="D1626" s="40" t="s">
        <v>2380</v>
      </c>
      <c r="E1626" s="38" t="s">
        <v>4</v>
      </c>
      <c r="F1626" s="38" t="s">
        <v>11</v>
      </c>
      <c r="G1626" s="32">
        <v>392888442.00533026</v>
      </c>
      <c r="H1626" s="32">
        <v>455279548.3423959</v>
      </c>
      <c r="I1626" s="32">
        <v>717869.88</v>
      </c>
      <c r="J1626" s="35">
        <f>+G1626-H1626+I1626</f>
        <v>-61673236.457065634</v>
      </c>
      <c r="K1626" s="28">
        <v>0</v>
      </c>
      <c r="L1626" s="32">
        <v>0</v>
      </c>
      <c r="M1626" s="35">
        <f>+J1626+L1626</f>
        <v>-61673236.457065634</v>
      </c>
      <c r="N1626" s="28" t="s">
        <v>2381</v>
      </c>
      <c r="O1626" s="29" t="s">
        <v>2382</v>
      </c>
      <c r="P1626" s="36">
        <v>43277</v>
      </c>
      <c r="Q1626" s="31">
        <v>27131.66</v>
      </c>
      <c r="R1626" s="33">
        <f>M1626/Q1626</f>
        <v>-2273.1095869941478</v>
      </c>
    </row>
    <row r="1627" spans="1:18" s="30" customFormat="1" ht="15" customHeight="1">
      <c r="A1627" s="37" t="s">
        <v>52</v>
      </c>
      <c r="B1627" s="26" t="s">
        <v>555</v>
      </c>
      <c r="C1627" s="39">
        <v>69</v>
      </c>
      <c r="D1627" s="40" t="s">
        <v>2383</v>
      </c>
      <c r="E1627" s="38" t="s">
        <v>3</v>
      </c>
      <c r="F1627" s="38" t="s">
        <v>11</v>
      </c>
      <c r="G1627" s="32">
        <v>51529971</v>
      </c>
      <c r="H1627" s="32">
        <v>43651918</v>
      </c>
      <c r="I1627" s="32">
        <v>8271071</v>
      </c>
      <c r="J1627" s="35">
        <f>+G1627-H1627+I1627</f>
        <v>16149124</v>
      </c>
      <c r="K1627" s="28">
        <v>0</v>
      </c>
      <c r="L1627" s="32">
        <v>0</v>
      </c>
      <c r="M1627" s="35">
        <f>+J1627+L1627</f>
        <v>16149124</v>
      </c>
      <c r="N1627" s="28" t="s">
        <v>2173</v>
      </c>
      <c r="O1627" s="29" t="s">
        <v>2174</v>
      </c>
      <c r="P1627" s="36">
        <v>43140</v>
      </c>
      <c r="Q1627" s="31">
        <v>26832.73</v>
      </c>
      <c r="R1627" s="33">
        <f>M1627/Q1627</f>
        <v>601.84424022453175</v>
      </c>
    </row>
    <row r="1628" spans="1:18" s="30" customFormat="1" ht="15" customHeight="1">
      <c r="A1628" s="37" t="s">
        <v>688</v>
      </c>
      <c r="B1628" s="26" t="s">
        <v>1728</v>
      </c>
      <c r="C1628" s="39">
        <v>69</v>
      </c>
      <c r="D1628" s="40" t="s">
        <v>2384</v>
      </c>
      <c r="E1628" s="38" t="s">
        <v>4</v>
      </c>
      <c r="F1628" s="38" t="s">
        <v>12</v>
      </c>
      <c r="G1628" s="32">
        <v>41126.400000000001</v>
      </c>
      <c r="H1628" s="32">
        <v>19040</v>
      </c>
      <c r="I1628" s="52">
        <v>0</v>
      </c>
      <c r="J1628" s="35">
        <f>+G1628-H1628+I1628</f>
        <v>22086.400000000001</v>
      </c>
      <c r="K1628" s="28">
        <v>0</v>
      </c>
      <c r="L1628" s="32">
        <v>0</v>
      </c>
      <c r="M1628" s="35">
        <f>+J1628+L1628</f>
        <v>22086.400000000001</v>
      </c>
      <c r="N1628" s="28" t="s">
        <v>2343</v>
      </c>
      <c r="O1628" s="29" t="s">
        <v>2344</v>
      </c>
      <c r="P1628" s="36">
        <v>42810</v>
      </c>
      <c r="Q1628" s="31">
        <v>26446.36</v>
      </c>
      <c r="R1628" s="33">
        <f>M1628/Q1628</f>
        <v>0.83513950502072876</v>
      </c>
    </row>
    <row r="1629" spans="1:18" s="30" customFormat="1" ht="15" customHeight="1">
      <c r="A1629" s="37" t="s">
        <v>874</v>
      </c>
      <c r="B1629" s="26" t="s">
        <v>875</v>
      </c>
      <c r="C1629" s="39">
        <v>68</v>
      </c>
      <c r="D1629" s="40" t="s">
        <v>2385</v>
      </c>
      <c r="E1629" s="38" t="s">
        <v>3</v>
      </c>
      <c r="F1629" s="38" t="s">
        <v>10</v>
      </c>
      <c r="G1629" s="32">
        <v>426003</v>
      </c>
      <c r="H1629" s="32"/>
      <c r="I1629" s="32"/>
      <c r="J1629" s="35">
        <f>+G1629-H1629+I1629</f>
        <v>426003</v>
      </c>
      <c r="K1629" s="28">
        <v>0</v>
      </c>
      <c r="L1629" s="32">
        <v>0</v>
      </c>
      <c r="M1629" s="35">
        <f>+J1629+L1629</f>
        <v>426003</v>
      </c>
      <c r="N1629" s="28" t="s">
        <v>1179</v>
      </c>
      <c r="O1629" s="29" t="s">
        <v>1180</v>
      </c>
      <c r="P1629" s="36">
        <v>44454</v>
      </c>
      <c r="Q1629" s="31">
        <v>30028</v>
      </c>
      <c r="R1629" s="33">
        <v>14.19</v>
      </c>
    </row>
    <row r="1630" spans="1:18" s="30" customFormat="1" ht="15" customHeight="1">
      <c r="A1630" s="37" t="s">
        <v>356</v>
      </c>
      <c r="B1630" s="26" t="s">
        <v>1841</v>
      </c>
      <c r="C1630" s="39">
        <v>68</v>
      </c>
      <c r="D1630" s="40" t="s">
        <v>2386</v>
      </c>
      <c r="E1630" s="38" t="s">
        <v>6</v>
      </c>
      <c r="F1630" s="38" t="s">
        <v>11</v>
      </c>
      <c r="G1630" s="32">
        <v>0</v>
      </c>
      <c r="H1630" s="32">
        <v>12397299</v>
      </c>
      <c r="I1630" s="32">
        <v>27772395</v>
      </c>
      <c r="J1630" s="35">
        <f>+G1630-H1630+I1630</f>
        <v>15375096</v>
      </c>
      <c r="K1630" s="28">
        <v>0</v>
      </c>
      <c r="L1630" s="32">
        <v>0</v>
      </c>
      <c r="M1630" s="35">
        <f>+J1630+L1630</f>
        <v>15375096</v>
      </c>
      <c r="N1630" s="28" t="s">
        <v>2295</v>
      </c>
      <c r="O1630" s="29" t="s">
        <v>2296</v>
      </c>
      <c r="P1630" s="36">
        <v>44169</v>
      </c>
      <c r="Q1630" s="31">
        <v>29057.18</v>
      </c>
      <c r="R1630" s="33">
        <f>M1630/Q1630</f>
        <v>529.13242097133991</v>
      </c>
    </row>
    <row r="1631" spans="1:18" s="30" customFormat="1" ht="15" customHeight="1">
      <c r="A1631" s="37" t="s">
        <v>39</v>
      </c>
      <c r="B1631" s="26" t="s">
        <v>1658</v>
      </c>
      <c r="C1631" s="39">
        <v>68</v>
      </c>
      <c r="D1631" s="40" t="s">
        <v>2387</v>
      </c>
      <c r="E1631" s="38" t="s">
        <v>4</v>
      </c>
      <c r="F1631" s="38" t="s">
        <v>11</v>
      </c>
      <c r="G1631" s="32">
        <v>58806538.604140788</v>
      </c>
      <c r="H1631" s="32">
        <v>59828270.266282856</v>
      </c>
      <c r="I1631" s="32">
        <v>200422</v>
      </c>
      <c r="J1631" s="35">
        <f>+G1631-H1631+I1631</f>
        <v>-821309.66214206815</v>
      </c>
      <c r="K1631" s="28">
        <v>0</v>
      </c>
      <c r="L1631" s="32">
        <v>0</v>
      </c>
      <c r="M1631" s="35">
        <f>+J1631+L1631</f>
        <v>-821309.66214206815</v>
      </c>
      <c r="N1631" s="28" t="s">
        <v>2381</v>
      </c>
      <c r="O1631" s="29" t="s">
        <v>2382</v>
      </c>
      <c r="P1631" s="36">
        <v>43277</v>
      </c>
      <c r="Q1631" s="31">
        <v>27131.66</v>
      </c>
      <c r="R1631" s="33">
        <f>M1631/Q1631</f>
        <v>-30.271264719595784</v>
      </c>
    </row>
    <row r="1632" spans="1:18" s="30" customFormat="1" ht="15" customHeight="1">
      <c r="A1632" s="37" t="s">
        <v>293</v>
      </c>
      <c r="B1632" s="26" t="s">
        <v>294</v>
      </c>
      <c r="C1632" s="39">
        <v>67</v>
      </c>
      <c r="D1632" s="40" t="s">
        <v>2388</v>
      </c>
      <c r="E1632" s="38" t="s">
        <v>3</v>
      </c>
      <c r="F1632" s="38" t="s">
        <v>10</v>
      </c>
      <c r="G1632" s="32">
        <v>7787555</v>
      </c>
      <c r="H1632" s="32">
        <v>3861778</v>
      </c>
      <c r="I1632" s="32">
        <v>339778</v>
      </c>
      <c r="J1632" s="35">
        <f>+G1632-H1632+I1632</f>
        <v>4265555</v>
      </c>
      <c r="K1632" s="28">
        <v>0</v>
      </c>
      <c r="L1632" s="32">
        <v>0</v>
      </c>
      <c r="M1632" s="35">
        <f>+J1632+L1632</f>
        <v>4265555</v>
      </c>
      <c r="N1632" s="28" t="s">
        <v>1626</v>
      </c>
      <c r="O1632" s="29" t="s">
        <v>1627</v>
      </c>
      <c r="P1632" s="36">
        <v>43886</v>
      </c>
      <c r="Q1632" s="31">
        <v>28440.19</v>
      </c>
      <c r="R1632" s="33">
        <f>M1632/Q1632</f>
        <v>149.98335102543268</v>
      </c>
    </row>
    <row r="1633" spans="1:18" s="30" customFormat="1" ht="15" customHeight="1">
      <c r="A1633" s="37" t="s">
        <v>874</v>
      </c>
      <c r="B1633" s="26" t="s">
        <v>875</v>
      </c>
      <c r="C1633" s="39">
        <v>67</v>
      </c>
      <c r="D1633" s="40" t="s">
        <v>2389</v>
      </c>
      <c r="E1633" s="38" t="s">
        <v>3</v>
      </c>
      <c r="F1633" s="38" t="s">
        <v>15</v>
      </c>
      <c r="G1633" s="32">
        <v>12378035</v>
      </c>
      <c r="H1633" s="32">
        <v>48024966</v>
      </c>
      <c r="I1633" s="32">
        <v>94868308</v>
      </c>
      <c r="J1633" s="35">
        <f>+G1633-H1633+I1633</f>
        <v>59221377</v>
      </c>
      <c r="K1633" s="28">
        <v>0</v>
      </c>
      <c r="L1633" s="32">
        <v>0</v>
      </c>
      <c r="M1633" s="35">
        <f>+J1633+L1633</f>
        <v>59221377</v>
      </c>
      <c r="N1633" s="28" t="s">
        <v>1512</v>
      </c>
      <c r="O1633" s="29" t="s">
        <v>1513</v>
      </c>
      <c r="P1633" s="36">
        <v>44972</v>
      </c>
      <c r="Q1633" s="31">
        <v>35378.559999999998</v>
      </c>
      <c r="R1633" s="33">
        <f>M1633/Q1633</f>
        <v>1673.934071935093</v>
      </c>
    </row>
    <row r="1634" spans="1:18" s="30" customFormat="1" ht="15" customHeight="1">
      <c r="A1634" s="37" t="s">
        <v>39</v>
      </c>
      <c r="B1634" s="26" t="s">
        <v>1658</v>
      </c>
      <c r="C1634" s="39">
        <v>67</v>
      </c>
      <c r="D1634" s="40" t="s">
        <v>2390</v>
      </c>
      <c r="E1634" s="38" t="s">
        <v>4</v>
      </c>
      <c r="F1634" s="38" t="s">
        <v>11</v>
      </c>
      <c r="G1634" s="32">
        <v>228064096</v>
      </c>
      <c r="H1634" s="32">
        <v>246496494</v>
      </c>
      <c r="I1634" s="52">
        <v>0</v>
      </c>
      <c r="J1634" s="35">
        <f>+G1634-H1634+I1634</f>
        <v>-18432398</v>
      </c>
      <c r="K1634" s="28">
        <v>0</v>
      </c>
      <c r="L1634" s="32">
        <v>0</v>
      </c>
      <c r="M1634" s="35">
        <f>+J1634+L1634</f>
        <v>-18432398</v>
      </c>
      <c r="N1634" s="28" t="s">
        <v>2151</v>
      </c>
      <c r="O1634" s="29" t="s">
        <v>2152</v>
      </c>
      <c r="P1634" s="36">
        <v>43448</v>
      </c>
      <c r="Q1634" s="31">
        <v>27565.79</v>
      </c>
      <c r="R1634" s="33">
        <f>M1634/Q1634</f>
        <v>-668.66931802063357</v>
      </c>
    </row>
    <row r="1635" spans="1:18" s="30" customFormat="1" ht="15" customHeight="1">
      <c r="A1635" s="37" t="s">
        <v>52</v>
      </c>
      <c r="B1635" s="26" t="s">
        <v>555</v>
      </c>
      <c r="C1635" s="39">
        <v>67</v>
      </c>
      <c r="D1635" s="40" t="s">
        <v>2391</v>
      </c>
      <c r="E1635" s="38" t="s">
        <v>3</v>
      </c>
      <c r="F1635" s="38" t="s">
        <v>11</v>
      </c>
      <c r="G1635" s="32">
        <v>0</v>
      </c>
      <c r="H1635" s="32">
        <v>15342046</v>
      </c>
      <c r="I1635" s="52">
        <v>0</v>
      </c>
      <c r="J1635" s="35">
        <f>+G1635-H1635+I1635</f>
        <v>-15342046</v>
      </c>
      <c r="K1635" s="28">
        <v>0</v>
      </c>
      <c r="L1635" s="32">
        <v>0</v>
      </c>
      <c r="M1635" s="35">
        <f>+J1635+L1635</f>
        <v>-15342046</v>
      </c>
      <c r="N1635" s="28" t="s">
        <v>1160</v>
      </c>
      <c r="O1635" s="29" t="s">
        <v>1161</v>
      </c>
      <c r="P1635" s="36">
        <v>42689</v>
      </c>
      <c r="Q1635" s="31">
        <v>26287.25</v>
      </c>
      <c r="R1635" s="33">
        <f>M1635/Q1635</f>
        <v>-583.63069548925807</v>
      </c>
    </row>
    <row r="1636" spans="1:18" s="30" customFormat="1" ht="15" customHeight="1">
      <c r="A1636" s="37" t="s">
        <v>688</v>
      </c>
      <c r="B1636" s="26" t="s">
        <v>1728</v>
      </c>
      <c r="C1636" s="39">
        <v>67</v>
      </c>
      <c r="D1636" s="40" t="s">
        <v>2392</v>
      </c>
      <c r="E1636" s="38" t="s">
        <v>4</v>
      </c>
      <c r="F1636" s="38" t="s">
        <v>11</v>
      </c>
      <c r="G1636" s="32">
        <v>695770</v>
      </c>
      <c r="H1636" s="32">
        <v>764929</v>
      </c>
      <c r="I1636" s="52">
        <v>0</v>
      </c>
      <c r="J1636" s="35">
        <f>+G1636-H1636+I1636</f>
        <v>-69159</v>
      </c>
      <c r="K1636" s="28">
        <v>0</v>
      </c>
      <c r="L1636" s="32">
        <v>0</v>
      </c>
      <c r="M1636" s="35">
        <f>+J1636+L1636</f>
        <v>-69159</v>
      </c>
      <c r="N1636" s="28" t="s">
        <v>2343</v>
      </c>
      <c r="O1636" s="29" t="s">
        <v>2344</v>
      </c>
      <c r="P1636" s="36">
        <v>42810</v>
      </c>
      <c r="Q1636" s="31">
        <v>26446.36</v>
      </c>
      <c r="R1636" s="33">
        <f>M1636/Q1636</f>
        <v>-2.6150668749877108</v>
      </c>
    </row>
    <row r="1637" spans="1:18" s="30" customFormat="1" ht="15" customHeight="1">
      <c r="A1637" s="37" t="s">
        <v>391</v>
      </c>
      <c r="B1637" s="26" t="s">
        <v>392</v>
      </c>
      <c r="C1637" s="39">
        <v>66</v>
      </c>
      <c r="D1637" s="40" t="s">
        <v>2393</v>
      </c>
      <c r="E1637" s="38" t="s">
        <v>6</v>
      </c>
      <c r="F1637" s="38" t="s">
        <v>11</v>
      </c>
      <c r="G1637" s="32">
        <v>12437987</v>
      </c>
      <c r="H1637" s="32">
        <v>2039472</v>
      </c>
      <c r="I1637" s="32">
        <v>966992</v>
      </c>
      <c r="J1637" s="35">
        <f>+G1637-H1637+I1637</f>
        <v>11365507</v>
      </c>
      <c r="K1637" s="28">
        <v>0</v>
      </c>
      <c r="L1637" s="32">
        <v>0</v>
      </c>
      <c r="M1637" s="35">
        <f>+J1637+L1637</f>
        <v>11365507</v>
      </c>
      <c r="N1637" s="28" t="s">
        <v>2026</v>
      </c>
      <c r="O1637" s="29" t="s">
        <v>2027</v>
      </c>
      <c r="P1637" s="36">
        <v>43789</v>
      </c>
      <c r="Q1637" s="31">
        <v>28147.47</v>
      </c>
      <c r="R1637" s="33">
        <f>M1637/Q1637</f>
        <v>403.78431880378588</v>
      </c>
    </row>
    <row r="1638" spans="1:18" s="30" customFormat="1" ht="15" customHeight="1">
      <c r="A1638" s="37" t="s">
        <v>293</v>
      </c>
      <c r="B1638" s="26" t="s">
        <v>294</v>
      </c>
      <c r="C1638" s="39">
        <v>66</v>
      </c>
      <c r="D1638" s="40" t="s">
        <v>2394</v>
      </c>
      <c r="E1638" s="38" t="s">
        <v>3</v>
      </c>
      <c r="F1638" s="38" t="s">
        <v>10</v>
      </c>
      <c r="G1638" s="32">
        <v>2219101</v>
      </c>
      <c r="H1638" s="32">
        <v>185706</v>
      </c>
      <c r="I1638" s="52">
        <v>0</v>
      </c>
      <c r="J1638" s="35">
        <f>+G1638-H1638+I1638</f>
        <v>2033395</v>
      </c>
      <c r="K1638" s="28">
        <v>0</v>
      </c>
      <c r="L1638" s="32">
        <v>0</v>
      </c>
      <c r="M1638" s="35">
        <f>+J1638+L1638</f>
        <v>2033395</v>
      </c>
      <c r="N1638" s="28" t="s">
        <v>1626</v>
      </c>
      <c r="O1638" s="29" t="s">
        <v>1627</v>
      </c>
      <c r="P1638" s="36">
        <v>43886</v>
      </c>
      <c r="Q1638" s="31">
        <v>28440.19</v>
      </c>
      <c r="R1638" s="33">
        <f>M1638/Q1638</f>
        <v>71.497236832805967</v>
      </c>
    </row>
    <row r="1639" spans="1:18" s="30" customFormat="1" ht="15" customHeight="1">
      <c r="A1639" s="37" t="s">
        <v>391</v>
      </c>
      <c r="B1639" s="26" t="s">
        <v>392</v>
      </c>
      <c r="C1639" s="39">
        <v>152</v>
      </c>
      <c r="D1639" s="40" t="s">
        <v>2395</v>
      </c>
      <c r="E1639" s="38" t="s">
        <v>3</v>
      </c>
      <c r="F1639" s="38" t="s">
        <v>11</v>
      </c>
      <c r="G1639" s="32">
        <v>11415254</v>
      </c>
      <c r="H1639" s="32">
        <v>6365561</v>
      </c>
      <c r="I1639" s="52">
        <v>0</v>
      </c>
      <c r="J1639" s="35">
        <f>+G1639-H1639+I1639</f>
        <v>5049693</v>
      </c>
      <c r="K1639" s="27"/>
      <c r="L1639" s="32">
        <v>0</v>
      </c>
      <c r="M1639" s="35">
        <f>+J1639+L1639</f>
        <v>5049693</v>
      </c>
      <c r="N1639" s="28" t="s">
        <v>481</v>
      </c>
      <c r="O1639" s="29" t="s">
        <v>482</v>
      </c>
      <c r="P1639" s="36">
        <v>44130</v>
      </c>
      <c r="Q1639" s="31">
        <v>28810.82</v>
      </c>
      <c r="R1639" s="33">
        <f>M1639/Q1639</f>
        <v>175.2707142663763</v>
      </c>
    </row>
    <row r="1640" spans="1:18" s="30" customFormat="1" ht="15" customHeight="1">
      <c r="A1640" s="37" t="s">
        <v>874</v>
      </c>
      <c r="B1640" s="26" t="s">
        <v>875</v>
      </c>
      <c r="C1640" s="39">
        <v>66</v>
      </c>
      <c r="D1640" s="40" t="s">
        <v>2396</v>
      </c>
      <c r="E1640" s="38" t="s">
        <v>3</v>
      </c>
      <c r="F1640" s="38" t="s">
        <v>11</v>
      </c>
      <c r="G1640" s="32">
        <v>52021975</v>
      </c>
      <c r="H1640" s="32">
        <v>56966089</v>
      </c>
      <c r="I1640" s="32">
        <v>14708169</v>
      </c>
      <c r="J1640" s="35">
        <f>+G1640-H1640+I1640</f>
        <v>9764055</v>
      </c>
      <c r="K1640" s="28">
        <v>0</v>
      </c>
      <c r="L1640" s="32">
        <v>0</v>
      </c>
      <c r="M1640" s="35">
        <f>+J1640+L1640</f>
        <v>9764055</v>
      </c>
      <c r="N1640" s="28" t="s">
        <v>1512</v>
      </c>
      <c r="O1640" s="29" t="s">
        <v>1513</v>
      </c>
      <c r="P1640" s="36">
        <v>44972</v>
      </c>
      <c r="Q1640" s="31">
        <v>35378.559999999998</v>
      </c>
      <c r="R1640" s="33">
        <f>M1640/Q1640</f>
        <v>275.98791471444855</v>
      </c>
    </row>
    <row r="1641" spans="1:18" s="30" customFormat="1" ht="15" customHeight="1">
      <c r="A1641" s="37" t="s">
        <v>356</v>
      </c>
      <c r="B1641" s="26" t="s">
        <v>1540</v>
      </c>
      <c r="C1641" s="39">
        <v>66</v>
      </c>
      <c r="D1641" s="40" t="s">
        <v>2397</v>
      </c>
      <c r="E1641" s="38" t="s">
        <v>3</v>
      </c>
      <c r="F1641" s="38" t="s">
        <v>10</v>
      </c>
      <c r="G1641" s="32">
        <v>1285558.1006773808</v>
      </c>
      <c r="H1641" s="32">
        <v>0</v>
      </c>
      <c r="I1641" s="52">
        <v>0</v>
      </c>
      <c r="J1641" s="35">
        <f>+G1641-H1641+I1641</f>
        <v>1285558.1006773808</v>
      </c>
      <c r="K1641" s="28">
        <v>0</v>
      </c>
      <c r="L1641" s="32">
        <v>0</v>
      </c>
      <c r="M1641" s="35">
        <f>+J1641+L1641</f>
        <v>1285558.1006773808</v>
      </c>
      <c r="N1641" s="28" t="s">
        <v>2203</v>
      </c>
      <c r="O1641" s="29" t="s">
        <v>2204</v>
      </c>
      <c r="P1641" s="36">
        <v>42984</v>
      </c>
      <c r="Q1641" s="31">
        <v>26614.39</v>
      </c>
      <c r="R1641" s="33">
        <f>M1641/Q1641</f>
        <v>48.303121006244396</v>
      </c>
    </row>
    <row r="1642" spans="1:18" s="30" customFormat="1" ht="15" customHeight="1">
      <c r="A1642" s="37" t="s">
        <v>39</v>
      </c>
      <c r="B1642" s="26" t="s">
        <v>1658</v>
      </c>
      <c r="C1642" s="39">
        <v>66</v>
      </c>
      <c r="D1642" s="40" t="s">
        <v>2398</v>
      </c>
      <c r="E1642" s="38" t="s">
        <v>4</v>
      </c>
      <c r="F1642" s="38" t="s">
        <v>11</v>
      </c>
      <c r="G1642" s="32">
        <v>244173528.62734005</v>
      </c>
      <c r="H1642" s="32">
        <v>263682137.32863855</v>
      </c>
      <c r="I1642" s="52">
        <v>0</v>
      </c>
      <c r="J1642" s="35">
        <f>+G1642-H1642+I1642</f>
        <v>-19508608.701298505</v>
      </c>
      <c r="K1642" s="28">
        <v>0</v>
      </c>
      <c r="L1642" s="32">
        <v>0</v>
      </c>
      <c r="M1642" s="35">
        <f>+J1642+L1642</f>
        <v>-19508608.701298505</v>
      </c>
      <c r="N1642" s="28" t="s">
        <v>2381</v>
      </c>
      <c r="O1642" s="29" t="s">
        <v>2382</v>
      </c>
      <c r="P1642" s="36">
        <v>43277</v>
      </c>
      <c r="Q1642" s="31">
        <v>27131.66</v>
      </c>
      <c r="R1642" s="33">
        <f>M1642/Q1642</f>
        <v>-719.03483610285934</v>
      </c>
    </row>
    <row r="1643" spans="1:18" s="30" customFormat="1" ht="15" customHeight="1">
      <c r="A1643" s="37" t="s">
        <v>391</v>
      </c>
      <c r="B1643" s="26" t="s">
        <v>392</v>
      </c>
      <c r="C1643" s="39">
        <v>80</v>
      </c>
      <c r="D1643" s="40" t="s">
        <v>2399</v>
      </c>
      <c r="E1643" s="38" t="s">
        <v>3</v>
      </c>
      <c r="F1643" s="38" t="s">
        <v>10</v>
      </c>
      <c r="G1643" s="32">
        <v>11657636</v>
      </c>
      <c r="H1643" s="32">
        <v>0</v>
      </c>
      <c r="I1643" s="32">
        <v>2231424</v>
      </c>
      <c r="J1643" s="35">
        <f>+G1643-H1643+I1643</f>
        <v>13889060</v>
      </c>
      <c r="K1643" s="27"/>
      <c r="L1643" s="32">
        <v>0</v>
      </c>
      <c r="M1643" s="35">
        <f>+J1643+L1643</f>
        <v>13889060</v>
      </c>
      <c r="N1643" s="28" t="s">
        <v>765</v>
      </c>
      <c r="O1643" s="29" t="s">
        <v>766</v>
      </c>
      <c r="P1643" s="36">
        <v>44140</v>
      </c>
      <c r="Q1643" s="31">
        <v>28866.47</v>
      </c>
      <c r="R1643" s="33">
        <f>M1643/Q1643</f>
        <v>481.14854362171752</v>
      </c>
    </row>
    <row r="1644" spans="1:18" s="30" customFormat="1" ht="15" customHeight="1">
      <c r="A1644" s="37" t="s">
        <v>52</v>
      </c>
      <c r="B1644" s="26" t="s">
        <v>555</v>
      </c>
      <c r="C1644" s="39">
        <v>66</v>
      </c>
      <c r="D1644" s="40" t="s">
        <v>2400</v>
      </c>
      <c r="E1644" s="38" t="s">
        <v>3</v>
      </c>
      <c r="F1644" s="38" t="s">
        <v>11</v>
      </c>
      <c r="G1644" s="32">
        <v>0</v>
      </c>
      <c r="H1644" s="32">
        <v>0</v>
      </c>
      <c r="I1644" s="32">
        <v>2703809</v>
      </c>
      <c r="J1644" s="35">
        <f>+G1644-H1644+I1644</f>
        <v>2703809</v>
      </c>
      <c r="K1644" s="28">
        <v>0</v>
      </c>
      <c r="L1644" s="32">
        <v>0</v>
      </c>
      <c r="M1644" s="35">
        <f>+J1644+L1644</f>
        <v>2703809</v>
      </c>
      <c r="N1644" s="28" t="s">
        <v>1160</v>
      </c>
      <c r="O1644" s="29" t="s">
        <v>1161</v>
      </c>
      <c r="P1644" s="36">
        <v>42689</v>
      </c>
      <c r="Q1644" s="31">
        <v>26287.25</v>
      </c>
      <c r="R1644" s="33">
        <f>M1644/Q1644</f>
        <v>102.85628964612121</v>
      </c>
    </row>
    <row r="1645" spans="1:18" s="30" customFormat="1" ht="15" customHeight="1">
      <c r="A1645" s="37" t="s">
        <v>688</v>
      </c>
      <c r="B1645" s="26" t="s">
        <v>1728</v>
      </c>
      <c r="C1645" s="39">
        <v>66</v>
      </c>
      <c r="D1645" s="40" t="s">
        <v>2401</v>
      </c>
      <c r="E1645" s="38" t="s">
        <v>4</v>
      </c>
      <c r="F1645" s="38" t="s">
        <v>13</v>
      </c>
      <c r="G1645" s="32">
        <v>618647.68000000005</v>
      </c>
      <c r="H1645" s="32">
        <v>525607.57999999996</v>
      </c>
      <c r="I1645" s="52">
        <v>0</v>
      </c>
      <c r="J1645" s="35">
        <f>+G1645-H1645+I1645</f>
        <v>93040.100000000093</v>
      </c>
      <c r="K1645" s="28">
        <v>0</v>
      </c>
      <c r="L1645" s="32">
        <v>0</v>
      </c>
      <c r="M1645" s="35">
        <f>+J1645+L1645</f>
        <v>93040.100000000093</v>
      </c>
      <c r="N1645" s="28" t="s">
        <v>2343</v>
      </c>
      <c r="O1645" s="29" t="s">
        <v>2344</v>
      </c>
      <c r="P1645" s="36">
        <v>42810</v>
      </c>
      <c r="Q1645" s="31">
        <v>26446.36</v>
      </c>
      <c r="R1645" s="33">
        <f>M1645/Q1645</f>
        <v>3.5180682710210438</v>
      </c>
    </row>
    <row r="1646" spans="1:18" s="30" customFormat="1" ht="15" customHeight="1">
      <c r="A1646" s="37" t="s">
        <v>391</v>
      </c>
      <c r="B1646" s="26" t="s">
        <v>392</v>
      </c>
      <c r="C1646" s="39">
        <v>65</v>
      </c>
      <c r="D1646" s="40" t="s">
        <v>2402</v>
      </c>
      <c r="E1646" s="38" t="s">
        <v>3</v>
      </c>
      <c r="F1646" s="38" t="s">
        <v>11</v>
      </c>
      <c r="G1646" s="32">
        <v>0</v>
      </c>
      <c r="H1646" s="32">
        <v>19402808</v>
      </c>
      <c r="I1646" s="52">
        <v>0</v>
      </c>
      <c r="J1646" s="35">
        <f>+G1646-H1646+I1646</f>
        <v>-19402808</v>
      </c>
      <c r="K1646" s="28">
        <v>0</v>
      </c>
      <c r="L1646" s="32">
        <v>0</v>
      </c>
      <c r="M1646" s="35">
        <f>+J1646+L1646</f>
        <v>-19402808</v>
      </c>
      <c r="N1646" s="28" t="s">
        <v>2026</v>
      </c>
      <c r="O1646" s="29" t="s">
        <v>2027</v>
      </c>
      <c r="P1646" s="36">
        <v>43789</v>
      </c>
      <c r="Q1646" s="31">
        <v>28147.47</v>
      </c>
      <c r="R1646" s="33">
        <f>M1646/Q1646</f>
        <v>-689.32689154655816</v>
      </c>
    </row>
    <row r="1647" spans="1:18" s="30" customFormat="1" ht="15" customHeight="1">
      <c r="A1647" s="37" t="s">
        <v>293</v>
      </c>
      <c r="B1647" s="26" t="s">
        <v>294</v>
      </c>
      <c r="C1647" s="39">
        <v>65</v>
      </c>
      <c r="D1647" s="40" t="s">
        <v>2403</v>
      </c>
      <c r="E1647" s="38" t="s">
        <v>3</v>
      </c>
      <c r="F1647" s="38" t="s">
        <v>10</v>
      </c>
      <c r="G1647" s="32">
        <v>3963246</v>
      </c>
      <c r="H1647" s="32">
        <v>526093</v>
      </c>
      <c r="I1647" s="32">
        <v>211526</v>
      </c>
      <c r="J1647" s="35">
        <f>+G1647-H1647+I1647</f>
        <v>3648679</v>
      </c>
      <c r="K1647" s="28">
        <v>0</v>
      </c>
      <c r="L1647" s="32">
        <v>0</v>
      </c>
      <c r="M1647" s="35">
        <f>+J1647+L1647</f>
        <v>3648679</v>
      </c>
      <c r="N1647" s="28" t="s">
        <v>1626</v>
      </c>
      <c r="O1647" s="29" t="s">
        <v>1627</v>
      </c>
      <c r="P1647" s="36">
        <v>43886</v>
      </c>
      <c r="Q1647" s="31">
        <v>28440.19</v>
      </c>
      <c r="R1647" s="33">
        <f>M1647/Q1647</f>
        <v>128.29305992681483</v>
      </c>
    </row>
    <row r="1648" spans="1:18" s="30" customFormat="1" ht="15" customHeight="1">
      <c r="A1648" s="37" t="s">
        <v>874</v>
      </c>
      <c r="B1648" s="26" t="s">
        <v>875</v>
      </c>
      <c r="C1648" s="39">
        <v>65</v>
      </c>
      <c r="D1648" s="40" t="s">
        <v>2404</v>
      </c>
      <c r="E1648" s="38" t="s">
        <v>3</v>
      </c>
      <c r="F1648" s="38" t="s">
        <v>10</v>
      </c>
      <c r="G1648" s="32">
        <v>9154796</v>
      </c>
      <c r="H1648" s="32">
        <v>3095054</v>
      </c>
      <c r="I1648" s="32">
        <v>0</v>
      </c>
      <c r="J1648" s="35">
        <f>+G1648-H1648+I1648</f>
        <v>6059742</v>
      </c>
      <c r="K1648" s="28">
        <v>0</v>
      </c>
      <c r="L1648" s="32">
        <v>0</v>
      </c>
      <c r="M1648" s="35">
        <f>+J1648+L1648</f>
        <v>6059742</v>
      </c>
      <c r="N1648" s="28" t="s">
        <v>1512</v>
      </c>
      <c r="O1648" s="29" t="s">
        <v>1513</v>
      </c>
      <c r="P1648" s="36">
        <v>44972</v>
      </c>
      <c r="Q1648" s="31">
        <v>35378.559999999998</v>
      </c>
      <c r="R1648" s="33">
        <f>M1648/Q1648</f>
        <v>171.28288997630204</v>
      </c>
    </row>
    <row r="1649" spans="1:18" s="30" customFormat="1" ht="15" customHeight="1">
      <c r="A1649" s="37" t="s">
        <v>356</v>
      </c>
      <c r="B1649" s="26" t="s">
        <v>1841</v>
      </c>
      <c r="C1649" s="39">
        <v>65</v>
      </c>
      <c r="D1649" s="40" t="s">
        <v>2405</v>
      </c>
      <c r="E1649" s="38" t="s">
        <v>6</v>
      </c>
      <c r="F1649" s="38" t="s">
        <v>13</v>
      </c>
      <c r="G1649" s="32">
        <v>681864</v>
      </c>
      <c r="H1649" s="32">
        <v>0</v>
      </c>
      <c r="I1649" s="32">
        <v>178414</v>
      </c>
      <c r="J1649" s="35">
        <f>+G1649-H1649+I1649</f>
        <v>860278</v>
      </c>
      <c r="K1649" s="28">
        <v>0</v>
      </c>
      <c r="L1649" s="32">
        <v>0</v>
      </c>
      <c r="M1649" s="35">
        <f>+J1649+L1649</f>
        <v>860278</v>
      </c>
      <c r="N1649" s="28" t="s">
        <v>2295</v>
      </c>
      <c r="O1649" s="29" t="s">
        <v>2296</v>
      </c>
      <c r="P1649" s="36">
        <v>44169</v>
      </c>
      <c r="Q1649" s="31">
        <v>29057.18</v>
      </c>
      <c r="R1649" s="33">
        <f>M1649/Q1649</f>
        <v>29.606383000690364</v>
      </c>
    </row>
    <row r="1650" spans="1:18" s="30" customFormat="1" ht="15" customHeight="1">
      <c r="A1650" s="37" t="s">
        <v>39</v>
      </c>
      <c r="B1650" s="26" t="s">
        <v>1658</v>
      </c>
      <c r="C1650" s="39">
        <v>65</v>
      </c>
      <c r="D1650" s="40" t="s">
        <v>2406</v>
      </c>
      <c r="E1650" s="38" t="s">
        <v>3</v>
      </c>
      <c r="F1650" s="38" t="s">
        <v>11</v>
      </c>
      <c r="G1650" s="32">
        <v>154328921.88999999</v>
      </c>
      <c r="H1650" s="32">
        <v>155743135.61000001</v>
      </c>
      <c r="I1650" s="52">
        <v>0</v>
      </c>
      <c r="J1650" s="35">
        <f>+G1650-H1650+I1650</f>
        <v>-1414213.7200000286</v>
      </c>
      <c r="K1650" s="28">
        <v>0</v>
      </c>
      <c r="L1650" s="32">
        <v>0</v>
      </c>
      <c r="M1650" s="35">
        <f>+J1650+L1650</f>
        <v>-1414213.7200000286</v>
      </c>
      <c r="N1650" s="28" t="s">
        <v>2381</v>
      </c>
      <c r="O1650" s="29" t="s">
        <v>2407</v>
      </c>
      <c r="P1650" s="36">
        <v>43277</v>
      </c>
      <c r="Q1650" s="31">
        <v>27147.919999999998</v>
      </c>
      <c r="R1650" s="33">
        <f>M1650/Q1650</f>
        <v>-52.092894041238836</v>
      </c>
    </row>
    <row r="1651" spans="1:18" s="30" customFormat="1" ht="15" customHeight="1">
      <c r="A1651" s="37" t="s">
        <v>688</v>
      </c>
      <c r="B1651" s="26" t="s">
        <v>1728</v>
      </c>
      <c r="C1651" s="39">
        <v>65</v>
      </c>
      <c r="D1651" s="40" t="s">
        <v>2408</v>
      </c>
      <c r="E1651" s="38" t="s">
        <v>4</v>
      </c>
      <c r="F1651" s="38" t="s">
        <v>20</v>
      </c>
      <c r="G1651" s="32">
        <v>0</v>
      </c>
      <c r="H1651" s="32">
        <v>4151</v>
      </c>
      <c r="I1651" s="52">
        <v>0</v>
      </c>
      <c r="J1651" s="35">
        <f>+G1651-H1651+I1651</f>
        <v>-4151</v>
      </c>
      <c r="K1651" s="28">
        <v>0</v>
      </c>
      <c r="L1651" s="32">
        <v>0</v>
      </c>
      <c r="M1651" s="35">
        <f>+J1651+L1651</f>
        <v>-4151</v>
      </c>
      <c r="N1651" s="28" t="s">
        <v>2343</v>
      </c>
      <c r="O1651" s="29" t="s">
        <v>2344</v>
      </c>
      <c r="P1651" s="36">
        <v>42810</v>
      </c>
      <c r="Q1651" s="31">
        <v>26446.36</v>
      </c>
      <c r="R1651" s="33">
        <f>M1651/Q1651</f>
        <v>-0.15695921858433448</v>
      </c>
    </row>
    <row r="1652" spans="1:18" s="30" customFormat="1" ht="15" customHeight="1">
      <c r="A1652" s="37" t="s">
        <v>2409</v>
      </c>
      <c r="B1652" s="26" t="s">
        <v>1841</v>
      </c>
      <c r="C1652" s="39">
        <v>64</v>
      </c>
      <c r="D1652" s="40" t="s">
        <v>2410</v>
      </c>
      <c r="E1652" s="38" t="s">
        <v>6</v>
      </c>
      <c r="F1652" s="38" t="s">
        <v>12</v>
      </c>
      <c r="G1652" s="32">
        <v>72597768</v>
      </c>
      <c r="H1652" s="32"/>
      <c r="I1652" s="32">
        <v>18611712</v>
      </c>
      <c r="J1652" s="35">
        <f>+G1652-H1652+I1652</f>
        <v>91209480</v>
      </c>
      <c r="K1652" s="28">
        <v>0</v>
      </c>
      <c r="L1652" s="32">
        <v>0</v>
      </c>
      <c r="M1652" s="35">
        <f>+J1652+L1652</f>
        <v>91209480</v>
      </c>
      <c r="N1652" s="28" t="s">
        <v>1843</v>
      </c>
      <c r="O1652" s="29" t="s">
        <v>1844</v>
      </c>
      <c r="P1652" s="36">
        <v>44405</v>
      </c>
      <c r="Q1652" s="31">
        <v>29754.76</v>
      </c>
      <c r="R1652" s="33">
        <f>M1652/Q1652</f>
        <v>3065.3744140433332</v>
      </c>
    </row>
    <row r="1653" spans="1:18" s="30" customFormat="1" ht="15" customHeight="1">
      <c r="A1653" s="37" t="s">
        <v>356</v>
      </c>
      <c r="B1653" s="26" t="s">
        <v>1540</v>
      </c>
      <c r="C1653" s="39">
        <v>64</v>
      </c>
      <c r="D1653" s="40" t="s">
        <v>2411</v>
      </c>
      <c r="E1653" s="38" t="s">
        <v>3</v>
      </c>
      <c r="F1653" s="38" t="s">
        <v>21</v>
      </c>
      <c r="G1653" s="32">
        <v>39030472.224813394</v>
      </c>
      <c r="H1653" s="32">
        <v>0</v>
      </c>
      <c r="I1653" s="32">
        <v>198147106.99000001</v>
      </c>
      <c r="J1653" s="35">
        <f>+G1653-H1653+I1653</f>
        <v>237177579.21481341</v>
      </c>
      <c r="K1653" s="28">
        <v>0</v>
      </c>
      <c r="L1653" s="32">
        <v>0</v>
      </c>
      <c r="M1653" s="35">
        <f>+J1653+L1653</f>
        <v>237177579.21481341</v>
      </c>
      <c r="N1653" s="28" t="s">
        <v>2203</v>
      </c>
      <c r="O1653" s="29" t="s">
        <v>2204</v>
      </c>
      <c r="P1653" s="36">
        <v>42984</v>
      </c>
      <c r="Q1653" s="31">
        <v>26614.39</v>
      </c>
      <c r="R1653" s="33">
        <f>M1653/Q1653</f>
        <v>8911.6293559541809</v>
      </c>
    </row>
    <row r="1654" spans="1:18" s="30" customFormat="1" ht="15" customHeight="1">
      <c r="A1654" s="37" t="s">
        <v>39</v>
      </c>
      <c r="B1654" s="26" t="s">
        <v>1658</v>
      </c>
      <c r="C1654" s="39">
        <v>64</v>
      </c>
      <c r="D1654" s="40" t="s">
        <v>2412</v>
      </c>
      <c r="E1654" s="38" t="s">
        <v>4</v>
      </c>
      <c r="F1654" s="38" t="s">
        <v>11</v>
      </c>
      <c r="G1654" s="32">
        <v>78214266.175434113</v>
      </c>
      <c r="H1654" s="32">
        <v>86045525.467397004</v>
      </c>
      <c r="I1654" s="52">
        <v>0</v>
      </c>
      <c r="J1654" s="35">
        <f>+G1654-H1654+I1654</f>
        <v>-7831259.2919628918</v>
      </c>
      <c r="K1654" s="28">
        <v>0</v>
      </c>
      <c r="L1654" s="32">
        <v>0</v>
      </c>
      <c r="M1654" s="35">
        <f>+J1654+L1654</f>
        <v>-7831259.2919628918</v>
      </c>
      <c r="N1654" s="28" t="s">
        <v>2381</v>
      </c>
      <c r="O1654" s="29" t="s">
        <v>2382</v>
      </c>
      <c r="P1654" s="36">
        <v>43277</v>
      </c>
      <c r="Q1654" s="31">
        <v>27131.66</v>
      </c>
      <c r="R1654" s="33">
        <f>M1654/Q1654</f>
        <v>-288.63915042289676</v>
      </c>
    </row>
    <row r="1655" spans="1:18" s="30" customFormat="1" ht="15" customHeight="1">
      <c r="A1655" s="37" t="s">
        <v>52</v>
      </c>
      <c r="B1655" s="26" t="s">
        <v>555</v>
      </c>
      <c r="C1655" s="39">
        <v>64</v>
      </c>
      <c r="D1655" s="40" t="s">
        <v>2413</v>
      </c>
      <c r="E1655" s="38" t="s">
        <v>3</v>
      </c>
      <c r="F1655" s="38" t="s">
        <v>11</v>
      </c>
      <c r="G1655" s="32">
        <v>52579058</v>
      </c>
      <c r="H1655" s="32">
        <v>11909007</v>
      </c>
      <c r="I1655" s="32">
        <v>4669783</v>
      </c>
      <c r="J1655" s="35">
        <f>+G1655-H1655+I1655</f>
        <v>45339834</v>
      </c>
      <c r="K1655" s="28">
        <v>0</v>
      </c>
      <c r="L1655" s="32">
        <v>0</v>
      </c>
      <c r="M1655" s="35">
        <f>+J1655+L1655</f>
        <v>45339834</v>
      </c>
      <c r="N1655" s="28" t="s">
        <v>1160</v>
      </c>
      <c r="O1655" s="29" t="s">
        <v>1161</v>
      </c>
      <c r="P1655" s="36">
        <v>42689</v>
      </c>
      <c r="Q1655" s="31">
        <v>26287.25</v>
      </c>
      <c r="R1655" s="33">
        <f>M1655/Q1655</f>
        <v>1724.7842204871183</v>
      </c>
    </row>
    <row r="1656" spans="1:18" s="30" customFormat="1" ht="15" customHeight="1">
      <c r="A1656" s="37" t="s">
        <v>688</v>
      </c>
      <c r="B1656" s="26" t="s">
        <v>1728</v>
      </c>
      <c r="C1656" s="39">
        <v>64</v>
      </c>
      <c r="D1656" s="40" t="s">
        <v>2414</v>
      </c>
      <c r="E1656" s="38" t="s">
        <v>4</v>
      </c>
      <c r="F1656" s="38" t="s">
        <v>20</v>
      </c>
      <c r="G1656" s="32">
        <v>0</v>
      </c>
      <c r="H1656" s="32">
        <v>4151</v>
      </c>
      <c r="I1656" s="52">
        <v>0</v>
      </c>
      <c r="J1656" s="35">
        <f>+G1656-H1656+I1656</f>
        <v>-4151</v>
      </c>
      <c r="K1656" s="28">
        <v>0</v>
      </c>
      <c r="L1656" s="32">
        <v>0</v>
      </c>
      <c r="M1656" s="35">
        <f>+J1656+L1656</f>
        <v>-4151</v>
      </c>
      <c r="N1656" s="28" t="s">
        <v>2343</v>
      </c>
      <c r="O1656" s="29" t="s">
        <v>2344</v>
      </c>
      <c r="P1656" s="36">
        <v>42810</v>
      </c>
      <c r="Q1656" s="31">
        <v>26446.36</v>
      </c>
      <c r="R1656" s="33">
        <f>M1656/Q1656</f>
        <v>-0.15695921858433448</v>
      </c>
    </row>
    <row r="1657" spans="1:18" s="30" customFormat="1" ht="15" customHeight="1">
      <c r="A1657" s="37" t="s">
        <v>391</v>
      </c>
      <c r="B1657" s="26" t="s">
        <v>392</v>
      </c>
      <c r="C1657" s="39">
        <v>63</v>
      </c>
      <c r="D1657" s="40" t="s">
        <v>2415</v>
      </c>
      <c r="E1657" s="38" t="s">
        <v>6</v>
      </c>
      <c r="F1657" s="38" t="s">
        <v>11</v>
      </c>
      <c r="G1657" s="32">
        <v>10541684</v>
      </c>
      <c r="H1657" s="32">
        <v>302606</v>
      </c>
      <c r="I1657" s="52">
        <v>0</v>
      </c>
      <c r="J1657" s="35">
        <f>+G1657-H1657+I1657</f>
        <v>10239078</v>
      </c>
      <c r="K1657" s="28">
        <v>0</v>
      </c>
      <c r="L1657" s="32">
        <v>0</v>
      </c>
      <c r="M1657" s="35">
        <f>+J1657+L1657</f>
        <v>10239078</v>
      </c>
      <c r="N1657" s="28" t="s">
        <v>2026</v>
      </c>
      <c r="O1657" s="29" t="s">
        <v>2027</v>
      </c>
      <c r="P1657" s="36">
        <v>43789</v>
      </c>
      <c r="Q1657" s="31">
        <v>28147.47</v>
      </c>
      <c r="R1657" s="33">
        <f>M1657/Q1657</f>
        <v>363.76548229734323</v>
      </c>
    </row>
    <row r="1658" spans="1:18" s="30" customFormat="1" ht="15" customHeight="1">
      <c r="A1658" s="37" t="s">
        <v>356</v>
      </c>
      <c r="B1658" s="26" t="s">
        <v>1841</v>
      </c>
      <c r="C1658" s="39">
        <v>63</v>
      </c>
      <c r="D1658" s="40" t="s">
        <v>2416</v>
      </c>
      <c r="E1658" s="38" t="s">
        <v>4</v>
      </c>
      <c r="F1658" s="38" t="s">
        <v>11</v>
      </c>
      <c r="G1658" s="32">
        <v>14064048</v>
      </c>
      <c r="H1658" s="32">
        <v>0</v>
      </c>
      <c r="I1658" s="52">
        <v>0</v>
      </c>
      <c r="J1658" s="35">
        <f>+G1658-H1658+I1658</f>
        <v>14064048</v>
      </c>
      <c r="K1658" s="28">
        <v>0</v>
      </c>
      <c r="L1658" s="32">
        <v>0</v>
      </c>
      <c r="M1658" s="35">
        <f>+J1658+L1658</f>
        <v>14064048</v>
      </c>
      <c r="N1658" s="28" t="s">
        <v>2295</v>
      </c>
      <c r="O1658" s="29" t="s">
        <v>2417</v>
      </c>
      <c r="P1658" s="36">
        <v>44169</v>
      </c>
      <c r="Q1658" s="31">
        <v>29057.18</v>
      </c>
      <c r="R1658" s="33">
        <f>M1658/Q1658</f>
        <v>484.01283262863086</v>
      </c>
    </row>
    <row r="1659" spans="1:18" s="30" customFormat="1" ht="15" customHeight="1">
      <c r="A1659" s="37" t="s">
        <v>39</v>
      </c>
      <c r="B1659" s="26" t="s">
        <v>1658</v>
      </c>
      <c r="C1659" s="39">
        <v>63</v>
      </c>
      <c r="D1659" s="40" t="s">
        <v>2418</v>
      </c>
      <c r="E1659" s="38" t="s">
        <v>4</v>
      </c>
      <c r="F1659" s="38" t="s">
        <v>11</v>
      </c>
      <c r="G1659" s="32">
        <v>499526834.47273427</v>
      </c>
      <c r="H1659" s="32">
        <v>518447750.70079541</v>
      </c>
      <c r="I1659" s="52">
        <v>0</v>
      </c>
      <c r="J1659" s="35">
        <f>+G1659-H1659+I1659</f>
        <v>-18920916.22806114</v>
      </c>
      <c r="K1659" s="28">
        <v>0</v>
      </c>
      <c r="L1659" s="32">
        <v>0</v>
      </c>
      <c r="M1659" s="35">
        <f>+J1659+L1659</f>
        <v>-18920916.22806114</v>
      </c>
      <c r="N1659" s="28" t="s">
        <v>2381</v>
      </c>
      <c r="O1659" s="29" t="s">
        <v>2382</v>
      </c>
      <c r="P1659" s="36">
        <v>43277</v>
      </c>
      <c r="Q1659" s="31">
        <v>27131.66</v>
      </c>
      <c r="R1659" s="33">
        <f>M1659/Q1659</f>
        <v>-697.37407250647914</v>
      </c>
    </row>
    <row r="1660" spans="1:18" s="30" customFormat="1" ht="15" customHeight="1">
      <c r="A1660" s="37" t="s">
        <v>688</v>
      </c>
      <c r="B1660" s="26" t="s">
        <v>1728</v>
      </c>
      <c r="C1660" s="39">
        <v>63</v>
      </c>
      <c r="D1660" s="40" t="s">
        <v>2419</v>
      </c>
      <c r="E1660" s="38" t="s">
        <v>4</v>
      </c>
      <c r="F1660" s="38" t="s">
        <v>20</v>
      </c>
      <c r="G1660" s="32">
        <v>0</v>
      </c>
      <c r="H1660" s="32">
        <v>4151</v>
      </c>
      <c r="I1660" s="52">
        <v>0</v>
      </c>
      <c r="J1660" s="35">
        <f>+G1660-H1660+I1660</f>
        <v>-4151</v>
      </c>
      <c r="K1660" s="28">
        <v>0</v>
      </c>
      <c r="L1660" s="32">
        <v>0</v>
      </c>
      <c r="M1660" s="35">
        <f>+J1660+L1660</f>
        <v>-4151</v>
      </c>
      <c r="N1660" s="28" t="s">
        <v>2343</v>
      </c>
      <c r="O1660" s="29" t="s">
        <v>2344</v>
      </c>
      <c r="P1660" s="36">
        <v>42810</v>
      </c>
      <c r="Q1660" s="31">
        <v>26446.36</v>
      </c>
      <c r="R1660" s="33">
        <f>M1660/Q1660</f>
        <v>-0.15695921858433448</v>
      </c>
    </row>
    <row r="1661" spans="1:18" s="30" customFormat="1" ht="15" customHeight="1">
      <c r="A1661" s="37" t="s">
        <v>391</v>
      </c>
      <c r="B1661" s="26" t="s">
        <v>392</v>
      </c>
      <c r="C1661" s="39">
        <v>62</v>
      </c>
      <c r="D1661" s="40" t="s">
        <v>2420</v>
      </c>
      <c r="E1661" s="38" t="s">
        <v>4</v>
      </c>
      <c r="F1661" s="38" t="s">
        <v>10</v>
      </c>
      <c r="G1661" s="32">
        <v>25227569</v>
      </c>
      <c r="H1661" s="32">
        <v>0</v>
      </c>
      <c r="I1661" s="52">
        <v>0</v>
      </c>
      <c r="J1661" s="35">
        <f>+G1661-H1661+I1661</f>
        <v>25227569</v>
      </c>
      <c r="K1661" s="28">
        <v>0</v>
      </c>
      <c r="L1661" s="32">
        <v>0</v>
      </c>
      <c r="M1661" s="35">
        <f>+J1661+L1661</f>
        <v>25227569</v>
      </c>
      <c r="N1661" s="28" t="s">
        <v>2026</v>
      </c>
      <c r="O1661" s="29" t="s">
        <v>2027</v>
      </c>
      <c r="P1661" s="36">
        <v>43789</v>
      </c>
      <c r="Q1661" s="31">
        <v>28147.47</v>
      </c>
      <c r="R1661" s="33">
        <f>M1661/Q1661</f>
        <v>896.26417578560347</v>
      </c>
    </row>
    <row r="1662" spans="1:18" s="30" customFormat="1" ht="15" customHeight="1">
      <c r="A1662" s="37" t="s">
        <v>356</v>
      </c>
      <c r="B1662" s="26" t="s">
        <v>1841</v>
      </c>
      <c r="C1662" s="39">
        <v>62</v>
      </c>
      <c r="D1662" s="40" t="s">
        <v>2421</v>
      </c>
      <c r="E1662" s="38" t="s">
        <v>3</v>
      </c>
      <c r="F1662" s="38" t="s">
        <v>10</v>
      </c>
      <c r="G1662" s="32">
        <v>7894298</v>
      </c>
      <c r="H1662" s="32">
        <v>0</v>
      </c>
      <c r="I1662" s="32">
        <v>1945191</v>
      </c>
      <c r="J1662" s="35">
        <f>+G1662-H1662+I1662</f>
        <v>9839489</v>
      </c>
      <c r="K1662" s="28">
        <v>0</v>
      </c>
      <c r="L1662" s="32">
        <v>0</v>
      </c>
      <c r="M1662" s="35">
        <f>+J1662+L1662</f>
        <v>9839489</v>
      </c>
      <c r="N1662" s="28" t="s">
        <v>2422</v>
      </c>
      <c r="O1662" s="29" t="s">
        <v>2423</v>
      </c>
      <c r="P1662" s="36">
        <v>44036</v>
      </c>
      <c r="Q1662" s="31">
        <v>28673.919999999998</v>
      </c>
      <c r="R1662" s="33">
        <f>M1662/Q1662</f>
        <v>343.1511631475571</v>
      </c>
    </row>
    <row r="1663" spans="1:18" s="30" customFormat="1" ht="15" customHeight="1">
      <c r="A1663" s="37" t="s">
        <v>39</v>
      </c>
      <c r="B1663" s="26" t="s">
        <v>1658</v>
      </c>
      <c r="C1663" s="39">
        <v>62</v>
      </c>
      <c r="D1663" s="40" t="s">
        <v>2424</v>
      </c>
      <c r="E1663" s="38" t="s">
        <v>4</v>
      </c>
      <c r="F1663" s="38" t="s">
        <v>11</v>
      </c>
      <c r="G1663" s="32">
        <v>427998615.87721515</v>
      </c>
      <c r="H1663" s="32">
        <v>407242074.08120155</v>
      </c>
      <c r="I1663" s="32">
        <v>366126</v>
      </c>
      <c r="J1663" s="35">
        <f>+G1663-H1663+I1663</f>
        <v>21122667.796013594</v>
      </c>
      <c r="K1663" s="28">
        <v>0</v>
      </c>
      <c r="L1663" s="32">
        <v>0</v>
      </c>
      <c r="M1663" s="35">
        <f>+J1663+L1663</f>
        <v>21122667.796013594</v>
      </c>
      <c r="N1663" s="28" t="s">
        <v>2381</v>
      </c>
      <c r="O1663" s="29" t="s">
        <v>2382</v>
      </c>
      <c r="P1663" s="36">
        <v>43277</v>
      </c>
      <c r="Q1663" s="31">
        <v>27131.66</v>
      </c>
      <c r="R1663" s="33">
        <f>M1663/Q1663</f>
        <v>778.52471231076879</v>
      </c>
    </row>
    <row r="1664" spans="1:18" s="30" customFormat="1" ht="15" customHeight="1">
      <c r="A1664" s="37" t="s">
        <v>391</v>
      </c>
      <c r="B1664" s="26" t="s">
        <v>392</v>
      </c>
      <c r="C1664" s="39">
        <v>61</v>
      </c>
      <c r="D1664" s="40" t="s">
        <v>2425</v>
      </c>
      <c r="E1664" s="38" t="s">
        <v>4</v>
      </c>
      <c r="F1664" s="38" t="s">
        <v>11</v>
      </c>
      <c r="G1664" s="32">
        <v>0</v>
      </c>
      <c r="H1664" s="32">
        <v>49621370</v>
      </c>
      <c r="I1664" s="32">
        <v>78812541</v>
      </c>
      <c r="J1664" s="35">
        <f>+G1664-H1664+I1664</f>
        <v>29191171</v>
      </c>
      <c r="K1664" s="28">
        <v>0</v>
      </c>
      <c r="L1664" s="32">
        <v>0</v>
      </c>
      <c r="M1664" s="35">
        <f>+J1664+L1664</f>
        <v>29191171</v>
      </c>
      <c r="N1664" s="28" t="s">
        <v>2026</v>
      </c>
      <c r="O1664" s="29" t="s">
        <v>2027</v>
      </c>
      <c r="P1664" s="36">
        <v>43789</v>
      </c>
      <c r="Q1664" s="31">
        <v>28147.47</v>
      </c>
      <c r="R1664" s="33">
        <f>M1664/Q1664</f>
        <v>1037.0797446449005</v>
      </c>
    </row>
    <row r="1665" spans="1:18" s="30" customFormat="1" ht="15" customHeight="1">
      <c r="A1665" s="37" t="s">
        <v>293</v>
      </c>
      <c r="B1665" s="26" t="s">
        <v>294</v>
      </c>
      <c r="C1665" s="39">
        <v>61</v>
      </c>
      <c r="D1665" s="40" t="s">
        <v>2426</v>
      </c>
      <c r="E1665" s="38" t="s">
        <v>3</v>
      </c>
      <c r="F1665" s="38" t="s">
        <v>10</v>
      </c>
      <c r="G1665" s="32">
        <v>93158973</v>
      </c>
      <c r="H1665" s="32">
        <v>59693214</v>
      </c>
      <c r="I1665" s="32">
        <v>4944107</v>
      </c>
      <c r="J1665" s="35">
        <f>+G1665-H1665+I1665</f>
        <v>38409866</v>
      </c>
      <c r="K1665" s="28">
        <v>0</v>
      </c>
      <c r="L1665" s="32">
        <v>0</v>
      </c>
      <c r="M1665" s="35">
        <f>+J1665+L1665</f>
        <v>38409866</v>
      </c>
      <c r="N1665" s="28" t="s">
        <v>1626</v>
      </c>
      <c r="O1665" s="29" t="s">
        <v>1627</v>
      </c>
      <c r="P1665" s="36">
        <v>43886</v>
      </c>
      <c r="Q1665" s="31">
        <v>28440.19</v>
      </c>
      <c r="R1665" s="33">
        <f>M1665/Q1665</f>
        <v>1350.548853576576</v>
      </c>
    </row>
    <row r="1666" spans="1:18" s="30" customFormat="1" ht="15" customHeight="1">
      <c r="A1666" s="37" t="s">
        <v>356</v>
      </c>
      <c r="B1666" s="26" t="s">
        <v>1841</v>
      </c>
      <c r="C1666" s="39">
        <v>61</v>
      </c>
      <c r="D1666" s="40" t="s">
        <v>2427</v>
      </c>
      <c r="E1666" s="38" t="s">
        <v>3</v>
      </c>
      <c r="F1666" s="38" t="s">
        <v>11</v>
      </c>
      <c r="G1666" s="32">
        <v>188873</v>
      </c>
      <c r="H1666" s="32">
        <v>0</v>
      </c>
      <c r="I1666" s="32">
        <v>72666</v>
      </c>
      <c r="J1666" s="35">
        <f>+G1666-H1666+I1666</f>
        <v>261539</v>
      </c>
      <c r="K1666" s="28">
        <v>0</v>
      </c>
      <c r="L1666" s="32">
        <v>0</v>
      </c>
      <c r="M1666" s="35">
        <f>+J1666+L1666</f>
        <v>261539</v>
      </c>
      <c r="N1666" s="28" t="s">
        <v>2422</v>
      </c>
      <c r="O1666" s="29" t="s">
        <v>2423</v>
      </c>
      <c r="P1666" s="36">
        <v>44036</v>
      </c>
      <c r="Q1666" s="31">
        <v>28673.919999999998</v>
      </c>
      <c r="R1666" s="33">
        <f>M1666/Q1666</f>
        <v>9.1211456264089463</v>
      </c>
    </row>
    <row r="1667" spans="1:18" s="30" customFormat="1" ht="15" customHeight="1">
      <c r="A1667" s="37" t="s">
        <v>39</v>
      </c>
      <c r="B1667" s="26" t="s">
        <v>2428</v>
      </c>
      <c r="C1667" s="39">
        <v>3</v>
      </c>
      <c r="D1667" s="40" t="s">
        <v>2429</v>
      </c>
      <c r="E1667" s="38" t="s">
        <v>3</v>
      </c>
      <c r="F1667" s="38" t="s">
        <v>10</v>
      </c>
      <c r="G1667" s="32">
        <v>12565042</v>
      </c>
      <c r="H1667" s="32">
        <v>0</v>
      </c>
      <c r="I1667" s="52">
        <v>0</v>
      </c>
      <c r="J1667" s="35">
        <f>+G1667-H1667+I1667</f>
        <v>12565042</v>
      </c>
      <c r="K1667" s="27">
        <v>1</v>
      </c>
      <c r="L1667" s="32">
        <v>13680367</v>
      </c>
      <c r="M1667" s="35">
        <f>+J1667+L1667</f>
        <v>26245409</v>
      </c>
      <c r="N1667" s="28" t="s">
        <v>2430</v>
      </c>
      <c r="O1667" s="29" t="s">
        <v>2431</v>
      </c>
      <c r="P1667" s="36">
        <v>43133</v>
      </c>
      <c r="Q1667" s="31">
        <v>26826.67</v>
      </c>
      <c r="R1667" s="33">
        <f>M1667/Q1667</f>
        <v>978.33271889503999</v>
      </c>
    </row>
    <row r="1668" spans="1:18" s="30" customFormat="1" ht="15" customHeight="1">
      <c r="A1668" s="37" t="s">
        <v>39</v>
      </c>
      <c r="B1668" s="26" t="s">
        <v>1658</v>
      </c>
      <c r="C1668" s="39">
        <v>61</v>
      </c>
      <c r="D1668" s="40" t="s">
        <v>2432</v>
      </c>
      <c r="E1668" s="38" t="s">
        <v>4</v>
      </c>
      <c r="F1668" s="38" t="s">
        <v>11</v>
      </c>
      <c r="G1668" s="32">
        <v>206892311.2803393</v>
      </c>
      <c r="H1668" s="32">
        <v>207998292.56371903</v>
      </c>
      <c r="I1668" s="52">
        <v>0</v>
      </c>
      <c r="J1668" s="35">
        <f>+G1668-H1668+I1668</f>
        <v>-1105981.2833797336</v>
      </c>
      <c r="K1668" s="28">
        <v>0</v>
      </c>
      <c r="L1668" s="32">
        <v>0</v>
      </c>
      <c r="M1668" s="35">
        <f>+J1668+L1668</f>
        <v>-1105981.2833797336</v>
      </c>
      <c r="N1668" s="28" t="s">
        <v>2381</v>
      </c>
      <c r="O1668" s="29" t="s">
        <v>2382</v>
      </c>
      <c r="P1668" s="36">
        <v>43277</v>
      </c>
      <c r="Q1668" s="31">
        <v>27131.66</v>
      </c>
      <c r="R1668" s="33">
        <f>M1668/Q1668</f>
        <v>-40.763494875718386</v>
      </c>
    </row>
    <row r="1669" spans="1:18" s="30" customFormat="1" ht="15" customHeight="1">
      <c r="A1669" s="37" t="s">
        <v>52</v>
      </c>
      <c r="B1669" s="26" t="s">
        <v>555</v>
      </c>
      <c r="C1669" s="39">
        <v>61</v>
      </c>
      <c r="D1669" s="40" t="s">
        <v>2433</v>
      </c>
      <c r="E1669" s="38" t="s">
        <v>3</v>
      </c>
      <c r="F1669" s="38" t="s">
        <v>11</v>
      </c>
      <c r="G1669" s="32">
        <v>11669435</v>
      </c>
      <c r="H1669" s="32">
        <v>793756</v>
      </c>
      <c r="I1669" s="32">
        <v>2379816</v>
      </c>
      <c r="J1669" s="35">
        <f>+G1669-H1669+I1669</f>
        <v>13255495</v>
      </c>
      <c r="K1669" s="28">
        <v>0</v>
      </c>
      <c r="L1669" s="32">
        <v>0</v>
      </c>
      <c r="M1669" s="35">
        <f>+J1669+L1669</f>
        <v>13255495</v>
      </c>
      <c r="N1669" s="28" t="s">
        <v>1160</v>
      </c>
      <c r="O1669" s="29" t="s">
        <v>1161</v>
      </c>
      <c r="P1669" s="36">
        <v>42689</v>
      </c>
      <c r="Q1669" s="31">
        <v>26287.25</v>
      </c>
      <c r="R1669" s="33">
        <f>M1669/Q1669</f>
        <v>504.255675279841</v>
      </c>
    </row>
    <row r="1670" spans="1:18" s="30" customFormat="1" ht="15" customHeight="1">
      <c r="A1670" s="37" t="s">
        <v>688</v>
      </c>
      <c r="B1670" s="26" t="s">
        <v>1728</v>
      </c>
      <c r="C1670" s="39">
        <v>61</v>
      </c>
      <c r="D1670" s="40" t="s">
        <v>2434</v>
      </c>
      <c r="E1670" s="38" t="s">
        <v>4</v>
      </c>
      <c r="F1670" s="38" t="s">
        <v>20</v>
      </c>
      <c r="G1670" s="32">
        <v>0</v>
      </c>
      <c r="H1670" s="32">
        <v>4151</v>
      </c>
      <c r="I1670" s="52">
        <v>0</v>
      </c>
      <c r="J1670" s="35">
        <f>+G1670-H1670+I1670</f>
        <v>-4151</v>
      </c>
      <c r="K1670" s="28">
        <v>0</v>
      </c>
      <c r="L1670" s="32">
        <v>0</v>
      </c>
      <c r="M1670" s="35">
        <f>+J1670+L1670</f>
        <v>-4151</v>
      </c>
      <c r="N1670" s="28" t="s">
        <v>2343</v>
      </c>
      <c r="O1670" s="29" t="s">
        <v>2344</v>
      </c>
      <c r="P1670" s="36">
        <v>42810</v>
      </c>
      <c r="Q1670" s="31">
        <v>26446.36</v>
      </c>
      <c r="R1670" s="33">
        <f>M1670/Q1670</f>
        <v>-0.15695921858433448</v>
      </c>
    </row>
    <row r="1671" spans="1:18" s="30" customFormat="1" ht="15" customHeight="1">
      <c r="A1671" s="37" t="s">
        <v>391</v>
      </c>
      <c r="B1671" s="26" t="s">
        <v>392</v>
      </c>
      <c r="C1671" s="39">
        <v>60</v>
      </c>
      <c r="D1671" s="40" t="s">
        <v>2435</v>
      </c>
      <c r="E1671" s="38" t="s">
        <v>3</v>
      </c>
      <c r="F1671" s="38" t="s">
        <v>21</v>
      </c>
      <c r="G1671" s="32">
        <v>66774719</v>
      </c>
      <c r="H1671" s="32">
        <v>0</v>
      </c>
      <c r="I1671" s="32">
        <v>670630</v>
      </c>
      <c r="J1671" s="35">
        <f>+G1671-H1671+I1671</f>
        <v>67445349</v>
      </c>
      <c r="K1671" s="28">
        <v>0</v>
      </c>
      <c r="L1671" s="32">
        <v>0</v>
      </c>
      <c r="M1671" s="35">
        <f>+J1671+L1671</f>
        <v>67445349</v>
      </c>
      <c r="N1671" s="28" t="s">
        <v>2026</v>
      </c>
      <c r="O1671" s="29" t="s">
        <v>2027</v>
      </c>
      <c r="P1671" s="36">
        <v>43789</v>
      </c>
      <c r="Q1671" s="31">
        <v>28147.47</v>
      </c>
      <c r="R1671" s="33">
        <f>M1671/Q1671</f>
        <v>2396.1424952224834</v>
      </c>
    </row>
    <row r="1672" spans="1:18" s="30" customFormat="1" ht="15" customHeight="1">
      <c r="A1672" s="37" t="s">
        <v>293</v>
      </c>
      <c r="B1672" s="26" t="s">
        <v>294</v>
      </c>
      <c r="C1672" s="39">
        <v>60</v>
      </c>
      <c r="D1672" s="40" t="s">
        <v>2436</v>
      </c>
      <c r="E1672" s="38" t="s">
        <v>3</v>
      </c>
      <c r="F1672" s="38" t="s">
        <v>10</v>
      </c>
      <c r="G1672" s="32">
        <v>5428335</v>
      </c>
      <c r="H1672" s="32">
        <v>4349691</v>
      </c>
      <c r="I1672" s="52">
        <v>0</v>
      </c>
      <c r="J1672" s="35">
        <f>+G1672-H1672+I1672</f>
        <v>1078644</v>
      </c>
      <c r="K1672" s="28">
        <v>0</v>
      </c>
      <c r="L1672" s="32">
        <v>0</v>
      </c>
      <c r="M1672" s="35">
        <f>+J1672+L1672</f>
        <v>1078644</v>
      </c>
      <c r="N1672" s="28" t="s">
        <v>1626</v>
      </c>
      <c r="O1672" s="29" t="s">
        <v>1627</v>
      </c>
      <c r="P1672" s="36">
        <v>43886</v>
      </c>
      <c r="Q1672" s="31">
        <v>28440.19</v>
      </c>
      <c r="R1672" s="33">
        <f>M1672/Q1672</f>
        <v>37.926750840975394</v>
      </c>
    </row>
    <row r="1673" spans="1:18" s="30" customFormat="1" ht="15" customHeight="1">
      <c r="A1673" s="37" t="s">
        <v>356</v>
      </c>
      <c r="B1673" s="26" t="s">
        <v>1540</v>
      </c>
      <c r="C1673" s="39">
        <v>60</v>
      </c>
      <c r="D1673" s="40" t="s">
        <v>2437</v>
      </c>
      <c r="E1673" s="38" t="s">
        <v>3</v>
      </c>
      <c r="F1673" s="38" t="s">
        <v>13</v>
      </c>
      <c r="G1673" s="32">
        <v>89529300.870178491</v>
      </c>
      <c r="H1673" s="32">
        <v>84831713.788501769</v>
      </c>
      <c r="I1673" s="32">
        <v>100023997</v>
      </c>
      <c r="J1673" s="35">
        <f>+G1673-H1673+I1673</f>
        <v>104721584.08167672</v>
      </c>
      <c r="K1673" s="28">
        <v>0</v>
      </c>
      <c r="L1673" s="32">
        <v>0</v>
      </c>
      <c r="M1673" s="35">
        <f>+J1673+L1673</f>
        <v>104721584.08167672</v>
      </c>
      <c r="N1673" s="28" t="s">
        <v>2203</v>
      </c>
      <c r="O1673" s="29" t="s">
        <v>2204</v>
      </c>
      <c r="P1673" s="36">
        <v>42984</v>
      </c>
      <c r="Q1673" s="31">
        <v>26614.39</v>
      </c>
      <c r="R1673" s="33">
        <f>M1673/Q1673</f>
        <v>3934.7730337489129</v>
      </c>
    </row>
    <row r="1674" spans="1:18" s="30" customFormat="1" ht="15" customHeight="1">
      <c r="A1674" s="37" t="s">
        <v>39</v>
      </c>
      <c r="B1674" s="26" t="s">
        <v>1658</v>
      </c>
      <c r="C1674" s="39">
        <v>60</v>
      </c>
      <c r="D1674" s="40" t="s">
        <v>2438</v>
      </c>
      <c r="E1674" s="38" t="s">
        <v>4</v>
      </c>
      <c r="F1674" s="38" t="s">
        <v>11</v>
      </c>
      <c r="G1674" s="32">
        <v>175002583.70929846</v>
      </c>
      <c r="H1674" s="32">
        <v>167087166.07732964</v>
      </c>
      <c r="I1674" s="52">
        <v>0</v>
      </c>
      <c r="J1674" s="35">
        <f>+G1674-H1674+I1674</f>
        <v>7915417.6319688261</v>
      </c>
      <c r="K1674" s="28">
        <v>0</v>
      </c>
      <c r="L1674" s="32">
        <v>0</v>
      </c>
      <c r="M1674" s="35">
        <f>+J1674+L1674</f>
        <v>7915417.6319688261</v>
      </c>
      <c r="N1674" s="28" t="s">
        <v>2381</v>
      </c>
      <c r="O1674" s="29" t="s">
        <v>2382</v>
      </c>
      <c r="P1674" s="36">
        <v>43277</v>
      </c>
      <c r="Q1674" s="31">
        <v>27131.66</v>
      </c>
      <c r="R1674" s="33">
        <f>M1674/Q1674</f>
        <v>291.7410004389273</v>
      </c>
    </row>
    <row r="1675" spans="1:18" s="30" customFormat="1" ht="15" customHeight="1">
      <c r="A1675" s="37" t="s">
        <v>166</v>
      </c>
      <c r="B1675" s="26" t="s">
        <v>167</v>
      </c>
      <c r="C1675" s="39" t="s">
        <v>2439</v>
      </c>
      <c r="D1675" s="40" t="s">
        <v>2440</v>
      </c>
      <c r="E1675" s="38" t="s">
        <v>4</v>
      </c>
      <c r="F1675" s="38" t="s">
        <v>10</v>
      </c>
      <c r="G1675" s="32">
        <v>12823808</v>
      </c>
      <c r="H1675" s="32">
        <v>732874757</v>
      </c>
      <c r="I1675" s="32">
        <v>983026813</v>
      </c>
      <c r="J1675" s="35">
        <f>+G1675-H1675+I1675</f>
        <v>262975864</v>
      </c>
      <c r="K1675" s="27">
        <v>119</v>
      </c>
      <c r="L1675" s="32">
        <v>0</v>
      </c>
      <c r="M1675" s="35">
        <f>+J1675+L1675</f>
        <v>262975864</v>
      </c>
      <c r="N1675" s="28" t="s">
        <v>171</v>
      </c>
      <c r="O1675" s="29" t="s">
        <v>172</v>
      </c>
      <c r="P1675" s="36">
        <v>44341</v>
      </c>
      <c r="Q1675" s="31">
        <v>29513.759999999998</v>
      </c>
      <c r="R1675" s="33">
        <v>8910</v>
      </c>
    </row>
    <row r="1676" spans="1:18" s="30" customFormat="1" ht="15" customHeight="1">
      <c r="A1676" s="37" t="s">
        <v>52</v>
      </c>
      <c r="B1676" s="26" t="s">
        <v>555</v>
      </c>
      <c r="C1676" s="39">
        <v>60</v>
      </c>
      <c r="D1676" s="40" t="s">
        <v>2441</v>
      </c>
      <c r="E1676" s="38" t="s">
        <v>3</v>
      </c>
      <c r="F1676" s="38" t="s">
        <v>11</v>
      </c>
      <c r="G1676" s="32">
        <v>11564593</v>
      </c>
      <c r="H1676" s="32">
        <v>2234067</v>
      </c>
      <c r="I1676" s="32">
        <v>5034166</v>
      </c>
      <c r="J1676" s="35">
        <f>+G1676-H1676+I1676</f>
        <v>14364692</v>
      </c>
      <c r="K1676" s="28">
        <v>0</v>
      </c>
      <c r="L1676" s="32">
        <v>0</v>
      </c>
      <c r="M1676" s="35">
        <f>+J1676+L1676</f>
        <v>14364692</v>
      </c>
      <c r="N1676" s="28" t="s">
        <v>1160</v>
      </c>
      <c r="O1676" s="29" t="s">
        <v>1161</v>
      </c>
      <c r="P1676" s="36">
        <v>42689</v>
      </c>
      <c r="Q1676" s="31">
        <v>26287.25</v>
      </c>
      <c r="R1676" s="33">
        <f>M1676/Q1676</f>
        <v>546.45092202493606</v>
      </c>
    </row>
    <row r="1677" spans="1:18" s="30" customFormat="1" ht="15" customHeight="1">
      <c r="A1677" s="37" t="s">
        <v>688</v>
      </c>
      <c r="B1677" s="26" t="s">
        <v>1728</v>
      </c>
      <c r="C1677" s="39">
        <v>60</v>
      </c>
      <c r="D1677" s="40" t="s">
        <v>2442</v>
      </c>
      <c r="E1677" s="38" t="s">
        <v>4</v>
      </c>
      <c r="F1677" s="38" t="s">
        <v>12</v>
      </c>
      <c r="G1677" s="32">
        <v>110969</v>
      </c>
      <c r="H1677" s="32">
        <v>0</v>
      </c>
      <c r="I1677" s="52">
        <v>0</v>
      </c>
      <c r="J1677" s="35">
        <f>+G1677-H1677+I1677</f>
        <v>110969</v>
      </c>
      <c r="K1677" s="28">
        <v>0</v>
      </c>
      <c r="L1677" s="32">
        <v>0</v>
      </c>
      <c r="M1677" s="35">
        <f>+J1677+L1677</f>
        <v>110969</v>
      </c>
      <c r="N1677" s="28" t="s">
        <v>2343</v>
      </c>
      <c r="O1677" s="29" t="s">
        <v>2344</v>
      </c>
      <c r="P1677" s="36">
        <v>42810</v>
      </c>
      <c r="Q1677" s="31">
        <v>26446.36</v>
      </c>
      <c r="R1677" s="33">
        <f>M1677/Q1677</f>
        <v>4.1960027769417039</v>
      </c>
    </row>
    <row r="1678" spans="1:18" s="30" customFormat="1" ht="15" customHeight="1">
      <c r="A1678" s="37" t="s">
        <v>356</v>
      </c>
      <c r="B1678" s="26" t="s">
        <v>1841</v>
      </c>
      <c r="C1678" s="39">
        <v>59</v>
      </c>
      <c r="D1678" s="40" t="s">
        <v>2443</v>
      </c>
      <c r="E1678" s="38" t="s">
        <v>3</v>
      </c>
      <c r="F1678" s="38" t="s">
        <v>11</v>
      </c>
      <c r="G1678" s="32">
        <v>2992023</v>
      </c>
      <c r="H1678" s="32">
        <v>1301883</v>
      </c>
      <c r="I1678" s="52">
        <v>0</v>
      </c>
      <c r="J1678" s="35">
        <f>+G1678-H1678+I1678</f>
        <v>1690140</v>
      </c>
      <c r="K1678" s="28">
        <v>0</v>
      </c>
      <c r="L1678" s="32">
        <v>0</v>
      </c>
      <c r="M1678" s="35">
        <f>+J1678+L1678</f>
        <v>1690140</v>
      </c>
      <c r="N1678" s="28" t="s">
        <v>2422</v>
      </c>
      <c r="O1678" s="29" t="s">
        <v>2423</v>
      </c>
      <c r="P1678" s="36">
        <v>44036</v>
      </c>
      <c r="Q1678" s="31">
        <v>28673.919999999998</v>
      </c>
      <c r="R1678" s="33">
        <f>M1678/Q1678</f>
        <v>58.943458027364244</v>
      </c>
    </row>
    <row r="1679" spans="1:18" s="30" customFormat="1" ht="15" customHeight="1">
      <c r="A1679" s="37" t="s">
        <v>356</v>
      </c>
      <c r="B1679" s="26" t="s">
        <v>1540</v>
      </c>
      <c r="C1679" s="39">
        <v>59</v>
      </c>
      <c r="D1679" s="40" t="s">
        <v>2444</v>
      </c>
      <c r="E1679" s="38" t="s">
        <v>3</v>
      </c>
      <c r="F1679" s="38" t="s">
        <v>10</v>
      </c>
      <c r="G1679" s="32">
        <v>3505088</v>
      </c>
      <c r="H1679" s="32">
        <v>0</v>
      </c>
      <c r="I1679" s="52">
        <v>0</v>
      </c>
      <c r="J1679" s="35">
        <f>+G1679-H1679+I1679</f>
        <v>3505088</v>
      </c>
      <c r="K1679" s="28">
        <v>0</v>
      </c>
      <c r="L1679" s="32">
        <v>0</v>
      </c>
      <c r="M1679" s="35">
        <f>+J1679+L1679</f>
        <v>3505088</v>
      </c>
      <c r="N1679" s="28" t="s">
        <v>2203</v>
      </c>
      <c r="O1679" s="29" t="s">
        <v>2204</v>
      </c>
      <c r="P1679" s="36">
        <v>42984</v>
      </c>
      <c r="Q1679" s="31">
        <v>26614.39</v>
      </c>
      <c r="R1679" s="33">
        <f>M1679/Q1679</f>
        <v>131.69897938671522</v>
      </c>
    </row>
    <row r="1680" spans="1:18" s="30" customFormat="1" ht="15" customHeight="1">
      <c r="A1680" s="37" t="s">
        <v>39</v>
      </c>
      <c r="B1680" s="26" t="s">
        <v>1658</v>
      </c>
      <c r="C1680" s="39">
        <v>59</v>
      </c>
      <c r="D1680" s="40" t="s">
        <v>2445</v>
      </c>
      <c r="E1680" s="38" t="s">
        <v>4</v>
      </c>
      <c r="F1680" s="38" t="s">
        <v>11</v>
      </c>
      <c r="G1680" s="32">
        <v>479797794.58824289</v>
      </c>
      <c r="H1680" s="32">
        <v>611584971.25320375</v>
      </c>
      <c r="I1680" s="52">
        <v>0</v>
      </c>
      <c r="J1680" s="35">
        <f>+G1680-H1680+I1680</f>
        <v>-131787176.66496086</v>
      </c>
      <c r="K1680" s="28">
        <v>0</v>
      </c>
      <c r="L1680" s="32">
        <v>0</v>
      </c>
      <c r="M1680" s="35">
        <f>+J1680+L1680</f>
        <v>-131787176.66496086</v>
      </c>
      <c r="N1680" s="28" t="s">
        <v>2381</v>
      </c>
      <c r="O1680" s="29" t="s">
        <v>2382</v>
      </c>
      <c r="P1680" s="36">
        <v>43277</v>
      </c>
      <c r="Q1680" s="31">
        <v>27131.66</v>
      </c>
      <c r="R1680" s="33">
        <f>M1680/Q1680</f>
        <v>-4857.3208076822748</v>
      </c>
    </row>
    <row r="1681" spans="1:18" s="30" customFormat="1" ht="15" customHeight="1">
      <c r="A1681" s="37" t="s">
        <v>52</v>
      </c>
      <c r="B1681" s="26" t="s">
        <v>555</v>
      </c>
      <c r="C1681" s="39">
        <v>59</v>
      </c>
      <c r="D1681" s="40" t="s">
        <v>2446</v>
      </c>
      <c r="E1681" s="38" t="s">
        <v>3</v>
      </c>
      <c r="F1681" s="38" t="s">
        <v>11</v>
      </c>
      <c r="G1681" s="32">
        <v>8607535</v>
      </c>
      <c r="H1681" s="32">
        <v>1820518</v>
      </c>
      <c r="I1681" s="32">
        <v>15371567</v>
      </c>
      <c r="J1681" s="35">
        <f>+G1681-H1681+I1681</f>
        <v>22158584</v>
      </c>
      <c r="K1681" s="28">
        <v>0</v>
      </c>
      <c r="L1681" s="32">
        <v>0</v>
      </c>
      <c r="M1681" s="35">
        <f>+J1681+L1681</f>
        <v>22158584</v>
      </c>
      <c r="N1681" s="28" t="s">
        <v>1160</v>
      </c>
      <c r="O1681" s="29" t="s">
        <v>1161</v>
      </c>
      <c r="P1681" s="36">
        <v>42689</v>
      </c>
      <c r="Q1681" s="31">
        <v>26287.25</v>
      </c>
      <c r="R1681" s="33">
        <f>M1681/Q1681</f>
        <v>842.94036082131072</v>
      </c>
    </row>
    <row r="1682" spans="1:18" s="30" customFormat="1" ht="15" customHeight="1">
      <c r="A1682" s="37" t="s">
        <v>688</v>
      </c>
      <c r="B1682" s="26" t="s">
        <v>1728</v>
      </c>
      <c r="C1682" s="39">
        <v>59</v>
      </c>
      <c r="D1682" s="40" t="s">
        <v>2447</v>
      </c>
      <c r="E1682" s="38" t="s">
        <v>4</v>
      </c>
      <c r="F1682" s="38" t="s">
        <v>20</v>
      </c>
      <c r="G1682" s="32">
        <v>6322</v>
      </c>
      <c r="H1682" s="32">
        <v>0</v>
      </c>
      <c r="I1682" s="52">
        <v>0</v>
      </c>
      <c r="J1682" s="35">
        <f>+G1682-H1682+I1682</f>
        <v>6322</v>
      </c>
      <c r="K1682" s="28">
        <v>0</v>
      </c>
      <c r="L1682" s="32">
        <v>0</v>
      </c>
      <c r="M1682" s="35">
        <f>+J1682+L1682</f>
        <v>6322</v>
      </c>
      <c r="N1682" s="28" t="s">
        <v>2343</v>
      </c>
      <c r="O1682" s="29" t="s">
        <v>2344</v>
      </c>
      <c r="P1682" s="36">
        <v>42810</v>
      </c>
      <c r="Q1682" s="31">
        <v>26446.36</v>
      </c>
      <c r="R1682" s="33">
        <f>M1682/Q1682</f>
        <v>0.23904991083839136</v>
      </c>
    </row>
    <row r="1683" spans="1:18" s="30" customFormat="1" ht="15" customHeight="1">
      <c r="A1683" s="37" t="s">
        <v>391</v>
      </c>
      <c r="B1683" s="26" t="s">
        <v>392</v>
      </c>
      <c r="C1683" s="39">
        <v>58</v>
      </c>
      <c r="D1683" s="40" t="s">
        <v>2448</v>
      </c>
      <c r="E1683" s="38" t="s">
        <v>4</v>
      </c>
      <c r="F1683" s="38" t="s">
        <v>10</v>
      </c>
      <c r="G1683" s="32">
        <v>3670242</v>
      </c>
      <c r="H1683" s="32">
        <v>0</v>
      </c>
      <c r="I1683" s="32">
        <v>94157039.999999985</v>
      </c>
      <c r="J1683" s="35">
        <f>+G1683-H1683+I1683</f>
        <v>97827281.999999985</v>
      </c>
      <c r="K1683" s="28">
        <v>0</v>
      </c>
      <c r="L1683" s="32">
        <v>0</v>
      </c>
      <c r="M1683" s="35">
        <f>+J1683+L1683</f>
        <v>97827281.999999985</v>
      </c>
      <c r="N1683" s="28" t="s">
        <v>2449</v>
      </c>
      <c r="O1683" s="29" t="s">
        <v>2450</v>
      </c>
      <c r="P1683" s="36">
        <v>43427</v>
      </c>
      <c r="Q1683" s="31">
        <v>27507.17</v>
      </c>
      <c r="R1683" s="33">
        <f>M1683/Q1683</f>
        <v>3556.4284512001777</v>
      </c>
    </row>
    <row r="1684" spans="1:18" s="30" customFormat="1" ht="15" customHeight="1">
      <c r="A1684" s="37" t="s">
        <v>293</v>
      </c>
      <c r="B1684" s="26" t="s">
        <v>294</v>
      </c>
      <c r="C1684" s="39">
        <v>58</v>
      </c>
      <c r="D1684" s="40" t="s">
        <v>2451</v>
      </c>
      <c r="E1684" s="38" t="s">
        <v>3</v>
      </c>
      <c r="F1684" s="38" t="s">
        <v>10</v>
      </c>
      <c r="G1684" s="32">
        <v>2281441</v>
      </c>
      <c r="H1684" s="32">
        <v>1473567</v>
      </c>
      <c r="I1684" s="52">
        <v>0</v>
      </c>
      <c r="J1684" s="35">
        <f>+G1684-H1684+I1684</f>
        <v>807874</v>
      </c>
      <c r="K1684" s="28">
        <v>0</v>
      </c>
      <c r="L1684" s="32">
        <v>0</v>
      </c>
      <c r="M1684" s="35">
        <f>+J1684+L1684</f>
        <v>807874</v>
      </c>
      <c r="N1684" s="28" t="s">
        <v>1626</v>
      </c>
      <c r="O1684" s="29" t="s">
        <v>1627</v>
      </c>
      <c r="P1684" s="36">
        <v>43886</v>
      </c>
      <c r="Q1684" s="31">
        <v>28440.19</v>
      </c>
      <c r="R1684" s="33">
        <f>M1684/Q1684</f>
        <v>28.406069017119787</v>
      </c>
    </row>
    <row r="1685" spans="1:18" s="30" customFormat="1" ht="15" customHeight="1">
      <c r="A1685" s="37" t="s">
        <v>356</v>
      </c>
      <c r="B1685" s="26" t="s">
        <v>1841</v>
      </c>
      <c r="C1685" s="39">
        <v>58</v>
      </c>
      <c r="D1685" s="40" t="s">
        <v>2452</v>
      </c>
      <c r="E1685" s="38" t="s">
        <v>4</v>
      </c>
      <c r="F1685" s="38" t="s">
        <v>11</v>
      </c>
      <c r="G1685" s="32">
        <v>6621799</v>
      </c>
      <c r="H1685" s="32">
        <v>0</v>
      </c>
      <c r="I1685" s="32">
        <v>583877</v>
      </c>
      <c r="J1685" s="35">
        <f>+G1685-H1685+I1685</f>
        <v>7205676</v>
      </c>
      <c r="K1685" s="28">
        <v>0</v>
      </c>
      <c r="L1685" s="32">
        <v>0</v>
      </c>
      <c r="M1685" s="35">
        <f>+J1685+L1685</f>
        <v>7205676</v>
      </c>
      <c r="N1685" s="28" t="s">
        <v>2422</v>
      </c>
      <c r="O1685" s="29" t="s">
        <v>2423</v>
      </c>
      <c r="P1685" s="36">
        <v>44036</v>
      </c>
      <c r="Q1685" s="31">
        <v>28673.919999999998</v>
      </c>
      <c r="R1685" s="33">
        <f>M1685/Q1685</f>
        <v>251.2972066602683</v>
      </c>
    </row>
    <row r="1686" spans="1:18" s="30" customFormat="1" ht="15" customHeight="1">
      <c r="A1686" s="37" t="s">
        <v>627</v>
      </c>
      <c r="B1686" s="26" t="s">
        <v>1347</v>
      </c>
      <c r="C1686" s="39">
        <v>3</v>
      </c>
      <c r="D1686" s="40" t="s">
        <v>2453</v>
      </c>
      <c r="E1686" s="38" t="s">
        <v>198</v>
      </c>
      <c r="F1686" s="38" t="s">
        <v>10</v>
      </c>
      <c r="G1686" s="32">
        <v>13283057</v>
      </c>
      <c r="H1686" s="32">
        <v>1157201</v>
      </c>
      <c r="I1686" s="32">
        <v>256653</v>
      </c>
      <c r="J1686" s="35">
        <f>+G1686-H1686+I1686</f>
        <v>12382509</v>
      </c>
      <c r="K1686" s="27">
        <v>33</v>
      </c>
      <c r="L1686" s="32">
        <v>0</v>
      </c>
      <c r="M1686" s="35">
        <f>+J1686+L1686</f>
        <v>12382509</v>
      </c>
      <c r="N1686" s="28" t="s">
        <v>1349</v>
      </c>
      <c r="O1686" s="29" t="s">
        <v>1350</v>
      </c>
      <c r="P1686" s="36">
        <v>44833</v>
      </c>
      <c r="Q1686" s="31">
        <v>33806.17</v>
      </c>
      <c r="R1686" s="33">
        <f>M1686/Q1686</f>
        <v>366.27955784402673</v>
      </c>
    </row>
    <row r="1687" spans="1:18" s="30" customFormat="1" ht="15" customHeight="1">
      <c r="A1687" s="37" t="s">
        <v>356</v>
      </c>
      <c r="B1687" s="26" t="s">
        <v>1540</v>
      </c>
      <c r="C1687" s="39">
        <v>58</v>
      </c>
      <c r="D1687" s="40" t="s">
        <v>2454</v>
      </c>
      <c r="E1687" s="38" t="s">
        <v>4</v>
      </c>
      <c r="F1687" s="38" t="s">
        <v>11</v>
      </c>
      <c r="G1687" s="32">
        <v>31491032.595481362</v>
      </c>
      <c r="H1687" s="32">
        <v>0</v>
      </c>
      <c r="I1687" s="52">
        <v>0</v>
      </c>
      <c r="J1687" s="35">
        <f>+G1687-H1687+I1687</f>
        <v>31491032.595481362</v>
      </c>
      <c r="K1687" s="28">
        <v>0</v>
      </c>
      <c r="L1687" s="32">
        <v>0</v>
      </c>
      <c r="M1687" s="35">
        <f>+J1687+L1687</f>
        <v>31491032.595481362</v>
      </c>
      <c r="N1687" s="28" t="s">
        <v>2203</v>
      </c>
      <c r="O1687" s="29" t="s">
        <v>2204</v>
      </c>
      <c r="P1687" s="36">
        <v>42984</v>
      </c>
      <c r="Q1687" s="31">
        <v>26614.39</v>
      </c>
      <c r="R1687" s="33">
        <f>M1687/Q1687</f>
        <v>1183.2333033175423</v>
      </c>
    </row>
    <row r="1688" spans="1:18" s="30" customFormat="1" ht="15" customHeight="1">
      <c r="A1688" s="37" t="s">
        <v>39</v>
      </c>
      <c r="B1688" s="26" t="s">
        <v>1658</v>
      </c>
      <c r="C1688" s="39">
        <v>58</v>
      </c>
      <c r="D1688" s="40" t="s">
        <v>2455</v>
      </c>
      <c r="E1688" s="38" t="s">
        <v>4</v>
      </c>
      <c r="F1688" s="38" t="s">
        <v>11</v>
      </c>
      <c r="G1688" s="32">
        <v>136934001.13733399</v>
      </c>
      <c r="H1688" s="32">
        <v>150223690.05171907</v>
      </c>
      <c r="I1688" s="52">
        <v>0</v>
      </c>
      <c r="J1688" s="35">
        <f>+G1688-H1688+I1688</f>
        <v>-13289688.91438508</v>
      </c>
      <c r="K1688" s="28">
        <v>0</v>
      </c>
      <c r="L1688" s="32">
        <v>0</v>
      </c>
      <c r="M1688" s="35">
        <f>+J1688+L1688</f>
        <v>-13289688.91438508</v>
      </c>
      <c r="N1688" s="28" t="s">
        <v>2381</v>
      </c>
      <c r="O1688" s="29" t="s">
        <v>2382</v>
      </c>
      <c r="P1688" s="36">
        <v>43277</v>
      </c>
      <c r="Q1688" s="31">
        <v>27131.66</v>
      </c>
      <c r="R1688" s="33">
        <f>M1688/Q1688</f>
        <v>-489.82218243871108</v>
      </c>
    </row>
    <row r="1689" spans="1:18" s="30" customFormat="1" ht="15" customHeight="1">
      <c r="A1689" s="37" t="s">
        <v>52</v>
      </c>
      <c r="B1689" s="26" t="s">
        <v>555</v>
      </c>
      <c r="C1689" s="39">
        <v>58</v>
      </c>
      <c r="D1689" s="40" t="s">
        <v>2456</v>
      </c>
      <c r="E1689" s="38" t="s">
        <v>3</v>
      </c>
      <c r="F1689" s="38" t="s">
        <v>11</v>
      </c>
      <c r="G1689" s="32">
        <v>10411181</v>
      </c>
      <c r="H1689" s="32">
        <v>5212989</v>
      </c>
      <c r="I1689" s="32">
        <v>590017</v>
      </c>
      <c r="J1689" s="35">
        <f>+G1689-H1689+I1689</f>
        <v>5788209</v>
      </c>
      <c r="K1689" s="28">
        <v>0</v>
      </c>
      <c r="L1689" s="32">
        <v>0</v>
      </c>
      <c r="M1689" s="35">
        <f>+J1689+L1689</f>
        <v>5788209</v>
      </c>
      <c r="N1689" s="28" t="s">
        <v>1160</v>
      </c>
      <c r="O1689" s="29" t="s">
        <v>1161</v>
      </c>
      <c r="P1689" s="36">
        <v>42689</v>
      </c>
      <c r="Q1689" s="31">
        <v>26287.25</v>
      </c>
      <c r="R1689" s="33">
        <f>M1689/Q1689</f>
        <v>220.19073885628964</v>
      </c>
    </row>
    <row r="1690" spans="1:18" s="30" customFormat="1" ht="15" customHeight="1">
      <c r="A1690" s="37" t="s">
        <v>688</v>
      </c>
      <c r="B1690" s="26" t="s">
        <v>1728</v>
      </c>
      <c r="C1690" s="39">
        <v>58</v>
      </c>
      <c r="D1690" s="40" t="s">
        <v>2457</v>
      </c>
      <c r="E1690" s="38" t="s">
        <v>4</v>
      </c>
      <c r="F1690" s="38" t="s">
        <v>12</v>
      </c>
      <c r="G1690" s="32">
        <v>70673</v>
      </c>
      <c r="H1690" s="32">
        <v>0</v>
      </c>
      <c r="I1690" s="52">
        <v>0</v>
      </c>
      <c r="J1690" s="35">
        <f>+G1690-H1690+I1690</f>
        <v>70673</v>
      </c>
      <c r="K1690" s="28">
        <v>0</v>
      </c>
      <c r="L1690" s="32">
        <v>0</v>
      </c>
      <c r="M1690" s="35">
        <f>+J1690+L1690</f>
        <v>70673</v>
      </c>
      <c r="N1690" s="28" t="s">
        <v>2343</v>
      </c>
      <c r="O1690" s="29" t="s">
        <v>2344</v>
      </c>
      <c r="P1690" s="36">
        <v>42810</v>
      </c>
      <c r="Q1690" s="31">
        <v>26446.36</v>
      </c>
      <c r="R1690" s="33">
        <f>M1690/Q1690</f>
        <v>2.6723148289594483</v>
      </c>
    </row>
    <row r="1691" spans="1:18" s="30" customFormat="1" ht="15" customHeight="1">
      <c r="A1691" s="37" t="s">
        <v>391</v>
      </c>
      <c r="B1691" s="26" t="s">
        <v>392</v>
      </c>
      <c r="C1691" s="39">
        <v>57</v>
      </c>
      <c r="D1691" s="40" t="s">
        <v>2458</v>
      </c>
      <c r="E1691" s="38" t="s">
        <v>4</v>
      </c>
      <c r="F1691" s="38" t="s">
        <v>13</v>
      </c>
      <c r="G1691" s="32">
        <v>89570427</v>
      </c>
      <c r="H1691" s="32">
        <v>10911279.999999996</v>
      </c>
      <c r="I1691" s="32">
        <v>104760</v>
      </c>
      <c r="J1691" s="35">
        <f>+G1691-H1691+I1691</f>
        <v>78763907</v>
      </c>
      <c r="K1691" s="28">
        <v>0</v>
      </c>
      <c r="L1691" s="32">
        <v>0</v>
      </c>
      <c r="M1691" s="35">
        <f>+J1691+L1691</f>
        <v>78763907</v>
      </c>
      <c r="N1691" s="28" t="s">
        <v>2449</v>
      </c>
      <c r="O1691" s="29" t="s">
        <v>2450</v>
      </c>
      <c r="P1691" s="36">
        <v>43427</v>
      </c>
      <c r="Q1691" s="31">
        <v>27507.17</v>
      </c>
      <c r="R1691" s="33">
        <f>M1691/Q1691</f>
        <v>2863.3955074258824</v>
      </c>
    </row>
    <row r="1692" spans="1:18" s="30" customFormat="1" ht="15" customHeight="1">
      <c r="A1692" s="37" t="s">
        <v>874</v>
      </c>
      <c r="B1692" s="26" t="s">
        <v>875</v>
      </c>
      <c r="C1692" s="39">
        <v>57</v>
      </c>
      <c r="D1692" s="40" t="s">
        <v>2459</v>
      </c>
      <c r="E1692" s="38" t="s">
        <v>3</v>
      </c>
      <c r="F1692" s="38" t="s">
        <v>15</v>
      </c>
      <c r="G1692" s="32">
        <v>24604002</v>
      </c>
      <c r="H1692" s="32">
        <v>3639174</v>
      </c>
      <c r="I1692" s="32">
        <v>6037689</v>
      </c>
      <c r="J1692" s="35">
        <f>+G1692-H1692+I1692</f>
        <v>27002517</v>
      </c>
      <c r="K1692" s="28">
        <v>0</v>
      </c>
      <c r="L1692" s="32">
        <v>0</v>
      </c>
      <c r="M1692" s="35">
        <f>+J1692+L1692</f>
        <v>27002517</v>
      </c>
      <c r="N1692" s="28" t="s">
        <v>1179</v>
      </c>
      <c r="O1692" s="29" t="s">
        <v>1180</v>
      </c>
      <c r="P1692" s="36">
        <v>44454</v>
      </c>
      <c r="Q1692" s="31">
        <v>30028</v>
      </c>
      <c r="R1692" s="33">
        <v>899.23</v>
      </c>
    </row>
    <row r="1693" spans="1:18" s="30" customFormat="1" ht="15" customHeight="1">
      <c r="A1693" s="37" t="s">
        <v>688</v>
      </c>
      <c r="B1693" s="26" t="s">
        <v>798</v>
      </c>
      <c r="C1693" s="39">
        <v>1</v>
      </c>
      <c r="D1693" s="40" t="s">
        <v>2460</v>
      </c>
      <c r="E1693" s="38" t="s">
        <v>4</v>
      </c>
      <c r="F1693" s="38" t="s">
        <v>12</v>
      </c>
      <c r="G1693" s="32">
        <v>13605571</v>
      </c>
      <c r="H1693" s="32">
        <v>5479545</v>
      </c>
      <c r="I1693" s="32">
        <v>6739397</v>
      </c>
      <c r="J1693" s="35">
        <f>+G1693-H1693+I1693</f>
        <v>14865423</v>
      </c>
      <c r="K1693" s="27">
        <v>60</v>
      </c>
      <c r="L1693" s="32">
        <v>0</v>
      </c>
      <c r="M1693" s="35">
        <f>+J1693+L1693</f>
        <v>14865423</v>
      </c>
      <c r="N1693" s="28" t="s">
        <v>1696</v>
      </c>
      <c r="O1693" s="29" t="s">
        <v>1697</v>
      </c>
      <c r="P1693" s="36">
        <v>44693</v>
      </c>
      <c r="Q1693" s="31">
        <v>32402.26</v>
      </c>
      <c r="R1693" s="33">
        <f>M1693/Q1693</f>
        <v>458.77735071565996</v>
      </c>
    </row>
    <row r="1694" spans="1:18" s="30" customFormat="1" ht="15" customHeight="1">
      <c r="A1694" s="37" t="s">
        <v>356</v>
      </c>
      <c r="B1694" s="26" t="s">
        <v>1540</v>
      </c>
      <c r="C1694" s="39">
        <v>57</v>
      </c>
      <c r="D1694" s="40" t="s">
        <v>2461</v>
      </c>
      <c r="E1694" s="38" t="s">
        <v>3</v>
      </c>
      <c r="F1694" s="38" t="s">
        <v>10</v>
      </c>
      <c r="G1694" s="32">
        <v>19304588.051727965</v>
      </c>
      <c r="H1694" s="32">
        <v>0</v>
      </c>
      <c r="I1694" s="52">
        <v>0</v>
      </c>
      <c r="J1694" s="35">
        <f>+G1694-H1694+I1694</f>
        <v>19304588.051727965</v>
      </c>
      <c r="K1694" s="28">
        <v>0</v>
      </c>
      <c r="L1694" s="32">
        <v>0</v>
      </c>
      <c r="M1694" s="35">
        <f>+J1694+L1694</f>
        <v>19304588.051727965</v>
      </c>
      <c r="N1694" s="28" t="s">
        <v>2462</v>
      </c>
      <c r="O1694" s="29" t="s">
        <v>2463</v>
      </c>
      <c r="P1694" s="36">
        <v>42775</v>
      </c>
      <c r="Q1694" s="31">
        <v>26302.92</v>
      </c>
      <c r="R1694" s="33">
        <f>M1694/Q1694</f>
        <v>733.93326869138355</v>
      </c>
    </row>
    <row r="1695" spans="1:18" s="30" customFormat="1" ht="15" customHeight="1">
      <c r="A1695" s="37" t="s">
        <v>39</v>
      </c>
      <c r="B1695" s="26" t="s">
        <v>1658</v>
      </c>
      <c r="C1695" s="39">
        <v>57</v>
      </c>
      <c r="D1695" s="40" t="s">
        <v>2464</v>
      </c>
      <c r="E1695" s="38" t="s">
        <v>4</v>
      </c>
      <c r="F1695" s="38" t="s">
        <v>11</v>
      </c>
      <c r="G1695" s="32">
        <v>218533988</v>
      </c>
      <c r="H1695" s="32">
        <v>289673675</v>
      </c>
      <c r="I1695" s="32">
        <v>3459581</v>
      </c>
      <c r="J1695" s="35">
        <f>+G1695-H1695+I1695</f>
        <v>-67680106</v>
      </c>
      <c r="K1695" s="28">
        <v>0</v>
      </c>
      <c r="L1695" s="32">
        <v>0</v>
      </c>
      <c r="M1695" s="35">
        <f>+J1695+L1695</f>
        <v>-67680106</v>
      </c>
      <c r="N1695" s="28" t="s">
        <v>2151</v>
      </c>
      <c r="O1695" s="29" t="s">
        <v>2152</v>
      </c>
      <c r="P1695" s="36">
        <v>43448</v>
      </c>
      <c r="Q1695" s="31">
        <v>27565.79</v>
      </c>
      <c r="R1695" s="33">
        <f>M1695/Q1695</f>
        <v>-2455.2209822392174</v>
      </c>
    </row>
    <row r="1696" spans="1:18" s="30" customFormat="1" ht="15" customHeight="1">
      <c r="A1696" s="37" t="s">
        <v>688</v>
      </c>
      <c r="B1696" s="26" t="s">
        <v>1728</v>
      </c>
      <c r="C1696" s="39">
        <v>57</v>
      </c>
      <c r="D1696" s="40" t="s">
        <v>2465</v>
      </c>
      <c r="E1696" s="38" t="s">
        <v>4</v>
      </c>
      <c r="F1696" s="38" t="s">
        <v>12</v>
      </c>
      <c r="G1696" s="32">
        <v>53939.56</v>
      </c>
      <c r="H1696" s="32">
        <v>19040</v>
      </c>
      <c r="I1696" s="52">
        <v>0</v>
      </c>
      <c r="J1696" s="35">
        <f>+G1696-H1696+I1696</f>
        <v>34899.56</v>
      </c>
      <c r="K1696" s="28">
        <v>0</v>
      </c>
      <c r="L1696" s="32">
        <v>0</v>
      </c>
      <c r="M1696" s="35">
        <f>+J1696+L1696</f>
        <v>34899.56</v>
      </c>
      <c r="N1696" s="28" t="s">
        <v>2343</v>
      </c>
      <c r="O1696" s="29" t="s">
        <v>2344</v>
      </c>
      <c r="P1696" s="36">
        <v>42810</v>
      </c>
      <c r="Q1696" s="31">
        <v>26446.36</v>
      </c>
      <c r="R1696" s="33">
        <f>M1696/Q1696</f>
        <v>1.3196356700884355</v>
      </c>
    </row>
    <row r="1697" spans="1:18" s="30" customFormat="1" ht="15" customHeight="1">
      <c r="A1697" s="37" t="s">
        <v>293</v>
      </c>
      <c r="B1697" s="26" t="s">
        <v>294</v>
      </c>
      <c r="C1697" s="39">
        <v>567</v>
      </c>
      <c r="D1697" s="40" t="s">
        <v>2466</v>
      </c>
      <c r="E1697" s="38" t="s">
        <v>3</v>
      </c>
      <c r="F1697" s="38" t="s">
        <v>678</v>
      </c>
      <c r="G1697" s="32">
        <v>13736573</v>
      </c>
      <c r="H1697" s="32">
        <v>2738686</v>
      </c>
      <c r="I1697" s="32">
        <v>6112202</v>
      </c>
      <c r="J1697" s="35">
        <f>+G1697-H1697+I1697</f>
        <v>17110089</v>
      </c>
      <c r="K1697" s="27" t="s">
        <v>401</v>
      </c>
      <c r="L1697" s="32">
        <v>0</v>
      </c>
      <c r="M1697" s="35">
        <f>+J1697+L1697</f>
        <v>17110089</v>
      </c>
      <c r="N1697" s="55" t="s">
        <v>402</v>
      </c>
      <c r="O1697" s="56" t="s">
        <v>403</v>
      </c>
      <c r="P1697" s="56">
        <v>44524</v>
      </c>
      <c r="Q1697" s="49">
        <v>30683.439999999999</v>
      </c>
      <c r="R1697" s="57">
        <f>+M1697/Q1697</f>
        <v>557.63268394938768</v>
      </c>
    </row>
    <row r="1698" spans="1:18" s="30" customFormat="1" ht="15" customHeight="1">
      <c r="A1698" s="37" t="s">
        <v>391</v>
      </c>
      <c r="B1698" s="26" t="s">
        <v>392</v>
      </c>
      <c r="C1698" s="39">
        <v>56</v>
      </c>
      <c r="D1698" s="40" t="s">
        <v>2467</v>
      </c>
      <c r="E1698" s="38" t="s">
        <v>4</v>
      </c>
      <c r="F1698" s="38" t="s">
        <v>17</v>
      </c>
      <c r="G1698" s="32">
        <v>0</v>
      </c>
      <c r="H1698" s="32">
        <v>9353273</v>
      </c>
      <c r="I1698" s="32">
        <v>47151200</v>
      </c>
      <c r="J1698" s="35">
        <f>+G1698-H1698+I1698</f>
        <v>37797927</v>
      </c>
      <c r="K1698" s="28">
        <v>0</v>
      </c>
      <c r="L1698" s="32">
        <v>0</v>
      </c>
      <c r="M1698" s="35">
        <f>+J1698+L1698</f>
        <v>37797927</v>
      </c>
      <c r="N1698" s="28" t="s">
        <v>2449</v>
      </c>
      <c r="O1698" s="29" t="s">
        <v>2450</v>
      </c>
      <c r="P1698" s="36">
        <v>43427</v>
      </c>
      <c r="Q1698" s="31">
        <v>27507.17</v>
      </c>
      <c r="R1698" s="33">
        <f>M1698/Q1698</f>
        <v>1374.1118043041142</v>
      </c>
    </row>
    <row r="1699" spans="1:18" s="30" customFormat="1" ht="15" customHeight="1">
      <c r="A1699" s="37" t="s">
        <v>356</v>
      </c>
      <c r="B1699" s="26" t="s">
        <v>1841</v>
      </c>
      <c r="C1699" s="39">
        <v>56</v>
      </c>
      <c r="D1699" s="40" t="s">
        <v>2468</v>
      </c>
      <c r="E1699" s="38" t="s">
        <v>3</v>
      </c>
      <c r="F1699" s="38" t="s">
        <v>11</v>
      </c>
      <c r="G1699" s="32">
        <v>7485002</v>
      </c>
      <c r="H1699" s="32">
        <v>1261400</v>
      </c>
      <c r="I1699" s="52">
        <v>0</v>
      </c>
      <c r="J1699" s="35">
        <f>+G1699-H1699+I1699</f>
        <v>6223602</v>
      </c>
      <c r="K1699" s="28">
        <v>0</v>
      </c>
      <c r="L1699" s="32">
        <v>0</v>
      </c>
      <c r="M1699" s="35">
        <f>+J1699+L1699</f>
        <v>6223602</v>
      </c>
      <c r="N1699" s="28" t="s">
        <v>2422</v>
      </c>
      <c r="O1699" s="29" t="s">
        <v>2423</v>
      </c>
      <c r="P1699" s="36">
        <v>44036</v>
      </c>
      <c r="Q1699" s="31">
        <v>28673.919999999998</v>
      </c>
      <c r="R1699" s="33">
        <f>M1699/Q1699</f>
        <v>217.04747728946722</v>
      </c>
    </row>
    <row r="1700" spans="1:18" s="30" customFormat="1" ht="15" customHeight="1">
      <c r="A1700" s="37" t="s">
        <v>356</v>
      </c>
      <c r="B1700" s="26" t="s">
        <v>1540</v>
      </c>
      <c r="C1700" s="39">
        <v>56</v>
      </c>
      <c r="D1700" s="40" t="s">
        <v>2469</v>
      </c>
      <c r="E1700" s="38" t="s">
        <v>3</v>
      </c>
      <c r="F1700" s="38" t="s">
        <v>12</v>
      </c>
      <c r="G1700" s="32">
        <v>33823471.870144755</v>
      </c>
      <c r="H1700" s="32">
        <v>0</v>
      </c>
      <c r="I1700" s="52">
        <v>0</v>
      </c>
      <c r="J1700" s="35">
        <f>+G1700-H1700+I1700</f>
        <v>33823471.870144755</v>
      </c>
      <c r="K1700" s="28">
        <v>0</v>
      </c>
      <c r="L1700" s="32">
        <v>0</v>
      </c>
      <c r="M1700" s="35">
        <f>+J1700+L1700</f>
        <v>33823471.870144755</v>
      </c>
      <c r="N1700" s="28" t="s">
        <v>2462</v>
      </c>
      <c r="O1700" s="29" t="s">
        <v>2463</v>
      </c>
      <c r="P1700" s="36">
        <v>42775</v>
      </c>
      <c r="Q1700" s="31">
        <v>26302.92</v>
      </c>
      <c r="R1700" s="33">
        <f>M1700/Q1700</f>
        <v>1285.9207977724434</v>
      </c>
    </row>
    <row r="1701" spans="1:18" s="30" customFormat="1" ht="15" customHeight="1">
      <c r="A1701" s="37" t="s">
        <v>39</v>
      </c>
      <c r="B1701" s="26" t="s">
        <v>1658</v>
      </c>
      <c r="C1701" s="39">
        <v>56</v>
      </c>
      <c r="D1701" s="40" t="s">
        <v>2470</v>
      </c>
      <c r="E1701" s="38" t="s">
        <v>4</v>
      </c>
      <c r="F1701" s="38" t="s">
        <v>11</v>
      </c>
      <c r="G1701" s="32">
        <v>0</v>
      </c>
      <c r="H1701" s="32">
        <v>19076236</v>
      </c>
      <c r="I1701" s="52">
        <v>0</v>
      </c>
      <c r="J1701" s="35">
        <f>+G1701-H1701+I1701</f>
        <v>-19076236</v>
      </c>
      <c r="K1701" s="28">
        <v>0</v>
      </c>
      <c r="L1701" s="32">
        <v>0</v>
      </c>
      <c r="M1701" s="35">
        <f>+J1701+L1701</f>
        <v>-19076236</v>
      </c>
      <c r="N1701" s="28" t="s">
        <v>2381</v>
      </c>
      <c r="O1701" s="29" t="s">
        <v>2407</v>
      </c>
      <c r="P1701" s="36">
        <v>43277</v>
      </c>
      <c r="Q1701" s="31">
        <v>27147.919999999998</v>
      </c>
      <c r="R1701" s="33">
        <f>M1701/Q1701</f>
        <v>-702.6776268679148</v>
      </c>
    </row>
    <row r="1702" spans="1:18" s="30" customFormat="1" ht="15" customHeight="1">
      <c r="A1702" s="37" t="s">
        <v>52</v>
      </c>
      <c r="B1702" s="26" t="s">
        <v>555</v>
      </c>
      <c r="C1702" s="39">
        <v>56</v>
      </c>
      <c r="D1702" s="40" t="s">
        <v>2471</v>
      </c>
      <c r="E1702" s="38" t="s">
        <v>3</v>
      </c>
      <c r="F1702" s="38" t="s">
        <v>11</v>
      </c>
      <c r="G1702" s="32">
        <v>31110122</v>
      </c>
      <c r="H1702" s="32">
        <v>10690727</v>
      </c>
      <c r="I1702" s="32">
        <v>1218207</v>
      </c>
      <c r="J1702" s="35">
        <f>+G1702-H1702+I1702</f>
        <v>21637602</v>
      </c>
      <c r="K1702" s="28">
        <v>0</v>
      </c>
      <c r="L1702" s="32">
        <v>0</v>
      </c>
      <c r="M1702" s="35">
        <f>+J1702+L1702</f>
        <v>21637602</v>
      </c>
      <c r="N1702" s="28" t="s">
        <v>1160</v>
      </c>
      <c r="O1702" s="29" t="s">
        <v>1161</v>
      </c>
      <c r="P1702" s="36">
        <v>42689</v>
      </c>
      <c r="Q1702" s="31">
        <v>26287.25</v>
      </c>
      <c r="R1702" s="33">
        <f>M1702/Q1702</f>
        <v>823.12155132240912</v>
      </c>
    </row>
    <row r="1703" spans="1:18" s="30" customFormat="1" ht="15" customHeight="1">
      <c r="A1703" s="37" t="s">
        <v>688</v>
      </c>
      <c r="B1703" s="26" t="s">
        <v>1728</v>
      </c>
      <c r="C1703" s="39">
        <v>56</v>
      </c>
      <c r="D1703" s="40" t="s">
        <v>2472</v>
      </c>
      <c r="E1703" s="38" t="s">
        <v>4</v>
      </c>
      <c r="F1703" s="38" t="s">
        <v>20</v>
      </c>
      <c r="G1703" s="32">
        <v>12643</v>
      </c>
      <c r="H1703" s="32">
        <v>0</v>
      </c>
      <c r="I1703" s="52">
        <v>0</v>
      </c>
      <c r="J1703" s="35">
        <f>+G1703-H1703+I1703</f>
        <v>12643</v>
      </c>
      <c r="K1703" s="28">
        <v>0</v>
      </c>
      <c r="L1703" s="32">
        <v>0</v>
      </c>
      <c r="M1703" s="35">
        <f>+J1703+L1703</f>
        <v>12643</v>
      </c>
      <c r="N1703" s="28" t="s">
        <v>2343</v>
      </c>
      <c r="O1703" s="29" t="s">
        <v>2344</v>
      </c>
      <c r="P1703" s="36">
        <v>42810</v>
      </c>
      <c r="Q1703" s="31">
        <v>26446.36</v>
      </c>
      <c r="R1703" s="33">
        <f>M1703/Q1703</f>
        <v>0.47806200928974724</v>
      </c>
    </row>
    <row r="1704" spans="1:18" s="30" customFormat="1" ht="15" customHeight="1">
      <c r="A1704" s="37" t="s">
        <v>391</v>
      </c>
      <c r="B1704" s="26" t="s">
        <v>392</v>
      </c>
      <c r="C1704" s="39">
        <v>55</v>
      </c>
      <c r="D1704" s="40" t="s">
        <v>2473</v>
      </c>
      <c r="E1704" s="38" t="s">
        <v>4</v>
      </c>
      <c r="F1704" s="38" t="s">
        <v>11</v>
      </c>
      <c r="G1704" s="32">
        <v>3876602</v>
      </c>
      <c r="H1704" s="32">
        <v>4696759</v>
      </c>
      <c r="I1704" s="32">
        <v>2190316</v>
      </c>
      <c r="J1704" s="35">
        <f>+G1704-H1704+I1704</f>
        <v>1370159</v>
      </c>
      <c r="K1704" s="28">
        <v>0</v>
      </c>
      <c r="L1704" s="32">
        <v>0</v>
      </c>
      <c r="M1704" s="35">
        <f>+J1704+L1704</f>
        <v>1370159</v>
      </c>
      <c r="N1704" s="28" t="s">
        <v>2449</v>
      </c>
      <c r="O1704" s="29" t="s">
        <v>2450</v>
      </c>
      <c r="P1704" s="36">
        <v>43427</v>
      </c>
      <c r="Q1704" s="31">
        <v>27507.17</v>
      </c>
      <c r="R1704" s="33">
        <f>M1704/Q1704</f>
        <v>49.810976556294236</v>
      </c>
    </row>
    <row r="1705" spans="1:18" s="30" customFormat="1" ht="15" customHeight="1">
      <c r="A1705" s="37" t="s">
        <v>874</v>
      </c>
      <c r="B1705" s="26" t="s">
        <v>875</v>
      </c>
      <c r="C1705" s="39">
        <v>55</v>
      </c>
      <c r="D1705" s="40" t="s">
        <v>2474</v>
      </c>
      <c r="E1705" s="38" t="s">
        <v>3</v>
      </c>
      <c r="F1705" s="38" t="s">
        <v>11</v>
      </c>
      <c r="G1705" s="32">
        <v>0</v>
      </c>
      <c r="H1705" s="32">
        <v>0</v>
      </c>
      <c r="I1705" s="32">
        <v>65479948</v>
      </c>
      <c r="J1705" s="35">
        <f>+G1705-H1705+I1705</f>
        <v>65479948</v>
      </c>
      <c r="K1705" s="28">
        <v>0</v>
      </c>
      <c r="L1705" s="32">
        <v>0</v>
      </c>
      <c r="M1705" s="35">
        <f>+J1705+L1705</f>
        <v>65479948</v>
      </c>
      <c r="N1705" s="28" t="s">
        <v>1512</v>
      </c>
      <c r="O1705" s="29" t="s">
        <v>1513</v>
      </c>
      <c r="P1705" s="36">
        <v>44972</v>
      </c>
      <c r="Q1705" s="31">
        <v>35378.559999999998</v>
      </c>
      <c r="R1705" s="33">
        <f>M1705/Q1705</f>
        <v>1850.837004106442</v>
      </c>
    </row>
    <row r="1706" spans="1:18" s="30" customFormat="1" ht="15" customHeight="1">
      <c r="A1706" s="37" t="s">
        <v>356</v>
      </c>
      <c r="B1706" s="26" t="s">
        <v>1841</v>
      </c>
      <c r="C1706" s="39">
        <v>55</v>
      </c>
      <c r="D1706" s="40" t="s">
        <v>2475</v>
      </c>
      <c r="E1706" s="38" t="s">
        <v>4</v>
      </c>
      <c r="F1706" s="38" t="s">
        <v>11</v>
      </c>
      <c r="G1706" s="32">
        <v>6269861</v>
      </c>
      <c r="H1706" s="32">
        <v>4563494</v>
      </c>
      <c r="I1706" s="32">
        <v>174093</v>
      </c>
      <c r="J1706" s="35">
        <f>+G1706-H1706+I1706</f>
        <v>1880460</v>
      </c>
      <c r="K1706" s="28">
        <v>0</v>
      </c>
      <c r="L1706" s="32">
        <v>0</v>
      </c>
      <c r="M1706" s="35">
        <f>+J1706+L1706</f>
        <v>1880460</v>
      </c>
      <c r="N1706" s="28" t="s">
        <v>2422</v>
      </c>
      <c r="O1706" s="29" t="s">
        <v>2423</v>
      </c>
      <c r="P1706" s="36">
        <v>44036</v>
      </c>
      <c r="Q1706" s="31">
        <v>28673.919999999998</v>
      </c>
      <c r="R1706" s="33">
        <f>M1706/Q1706</f>
        <v>65.580848380688792</v>
      </c>
    </row>
    <row r="1707" spans="1:18" s="30" customFormat="1" ht="15" customHeight="1">
      <c r="A1707" s="37" t="s">
        <v>391</v>
      </c>
      <c r="B1707" s="26" t="s">
        <v>392</v>
      </c>
      <c r="C1707" s="39">
        <v>119</v>
      </c>
      <c r="D1707" s="40" t="s">
        <v>2476</v>
      </c>
      <c r="E1707" s="38" t="s">
        <v>3</v>
      </c>
      <c r="F1707" s="38" t="s">
        <v>21</v>
      </c>
      <c r="G1707" s="32">
        <v>14284948</v>
      </c>
      <c r="H1707" s="32">
        <v>500112</v>
      </c>
      <c r="I1707" s="32">
        <v>74229</v>
      </c>
      <c r="J1707" s="35">
        <f>+G1707-H1707+I1707</f>
        <v>13859065</v>
      </c>
      <c r="K1707" s="27">
        <v>54</v>
      </c>
      <c r="L1707" s="32">
        <v>0</v>
      </c>
      <c r="M1707" s="35">
        <f>+J1707+L1707</f>
        <v>13859065</v>
      </c>
      <c r="N1707" s="28" t="s">
        <v>481</v>
      </c>
      <c r="O1707" s="29" t="s">
        <v>482</v>
      </c>
      <c r="P1707" s="36">
        <v>44130</v>
      </c>
      <c r="Q1707" s="31">
        <v>28810.82</v>
      </c>
      <c r="R1707" s="33">
        <f>M1707/Q1707</f>
        <v>481.03681186443151</v>
      </c>
    </row>
    <row r="1708" spans="1:18" s="30" customFormat="1" ht="15" customHeight="1">
      <c r="A1708" s="37" t="s">
        <v>356</v>
      </c>
      <c r="B1708" s="26" t="s">
        <v>1540</v>
      </c>
      <c r="C1708" s="39">
        <v>55</v>
      </c>
      <c r="D1708" s="40" t="s">
        <v>2477</v>
      </c>
      <c r="E1708" s="38" t="s">
        <v>4</v>
      </c>
      <c r="F1708" s="38" t="s">
        <v>10</v>
      </c>
      <c r="G1708" s="32">
        <v>36325005</v>
      </c>
      <c r="H1708" s="32">
        <v>0</v>
      </c>
      <c r="I1708" s="52">
        <v>0</v>
      </c>
      <c r="J1708" s="35">
        <f>+G1708-H1708+I1708</f>
        <v>36325005</v>
      </c>
      <c r="K1708" s="28">
        <v>0</v>
      </c>
      <c r="L1708" s="32">
        <v>0</v>
      </c>
      <c r="M1708" s="35">
        <f>+J1708+L1708</f>
        <v>36325005</v>
      </c>
      <c r="N1708" s="28" t="s">
        <v>2462</v>
      </c>
      <c r="O1708" s="29" t="s">
        <v>2463</v>
      </c>
      <c r="P1708" s="36">
        <v>42775</v>
      </c>
      <c r="Q1708" s="31">
        <v>26302.92</v>
      </c>
      <c r="R1708" s="33">
        <f>M1708/Q1708</f>
        <v>1381.0255667431602</v>
      </c>
    </row>
    <row r="1709" spans="1:18" s="30" customFormat="1" ht="15" customHeight="1">
      <c r="A1709" s="37" t="s">
        <v>166</v>
      </c>
      <c r="B1709" s="26" t="s">
        <v>167</v>
      </c>
      <c r="C1709" s="39" t="s">
        <v>2478</v>
      </c>
      <c r="D1709" s="40" t="s">
        <v>2479</v>
      </c>
      <c r="E1709" s="38" t="s">
        <v>3</v>
      </c>
      <c r="F1709" s="38" t="s">
        <v>10</v>
      </c>
      <c r="G1709" s="32">
        <v>14882077</v>
      </c>
      <c r="H1709" s="32">
        <v>0</v>
      </c>
      <c r="I1709" s="52">
        <v>0</v>
      </c>
      <c r="J1709" s="35">
        <f>+G1709-H1709+I1709</f>
        <v>14882077</v>
      </c>
      <c r="K1709" s="27" t="s">
        <v>170</v>
      </c>
      <c r="L1709" s="32">
        <v>0</v>
      </c>
      <c r="M1709" s="35">
        <f>+J1709+L1709</f>
        <v>14882077</v>
      </c>
      <c r="N1709" s="28" t="s">
        <v>171</v>
      </c>
      <c r="O1709" s="29" t="s">
        <v>172</v>
      </c>
      <c r="P1709" s="36">
        <v>44341</v>
      </c>
      <c r="Q1709" s="31">
        <v>29513.759999999998</v>
      </c>
      <c r="R1709" s="33">
        <v>504</v>
      </c>
    </row>
    <row r="1710" spans="1:18" s="30" customFormat="1" ht="15" customHeight="1">
      <c r="A1710" s="37" t="s">
        <v>39</v>
      </c>
      <c r="B1710" s="26" t="s">
        <v>1658</v>
      </c>
      <c r="C1710" s="39">
        <v>55</v>
      </c>
      <c r="D1710" s="40" t="s">
        <v>2480</v>
      </c>
      <c r="E1710" s="38" t="s">
        <v>4</v>
      </c>
      <c r="F1710" s="38" t="s">
        <v>11</v>
      </c>
      <c r="G1710" s="32">
        <v>270657588.10363233</v>
      </c>
      <c r="H1710" s="32">
        <v>374065906.05980456</v>
      </c>
      <c r="I1710" s="32">
        <v>303432.15000000002</v>
      </c>
      <c r="J1710" s="35">
        <f>+G1710-H1710+I1710</f>
        <v>-103104885.80617222</v>
      </c>
      <c r="K1710" s="28">
        <v>0</v>
      </c>
      <c r="L1710" s="32">
        <v>0</v>
      </c>
      <c r="M1710" s="35">
        <f>+J1710+L1710</f>
        <v>-103104885.80617222</v>
      </c>
      <c r="N1710" s="28" t="s">
        <v>2381</v>
      </c>
      <c r="O1710" s="29" t="s">
        <v>2382</v>
      </c>
      <c r="P1710" s="36">
        <v>43277</v>
      </c>
      <c r="Q1710" s="31">
        <v>27131.66</v>
      </c>
      <c r="R1710" s="33">
        <f>M1710/Q1710</f>
        <v>-3800.1687256206301</v>
      </c>
    </row>
    <row r="1711" spans="1:18" s="30" customFormat="1" ht="15" customHeight="1">
      <c r="A1711" s="37" t="s">
        <v>52</v>
      </c>
      <c r="B1711" s="26" t="s">
        <v>555</v>
      </c>
      <c r="C1711" s="39">
        <v>55</v>
      </c>
      <c r="D1711" s="40" t="s">
        <v>2481</v>
      </c>
      <c r="E1711" s="38" t="s">
        <v>3</v>
      </c>
      <c r="F1711" s="38" t="s">
        <v>11</v>
      </c>
      <c r="G1711" s="32">
        <v>9169152</v>
      </c>
      <c r="H1711" s="32">
        <v>4622919</v>
      </c>
      <c r="I1711" s="32">
        <v>369218</v>
      </c>
      <c r="J1711" s="35">
        <f>+G1711-H1711+I1711</f>
        <v>4915451</v>
      </c>
      <c r="K1711" s="28">
        <v>0</v>
      </c>
      <c r="L1711" s="32">
        <v>0</v>
      </c>
      <c r="M1711" s="35">
        <f>+J1711+L1711</f>
        <v>4915451</v>
      </c>
      <c r="N1711" s="28" t="s">
        <v>1160</v>
      </c>
      <c r="O1711" s="29" t="s">
        <v>1161</v>
      </c>
      <c r="P1711" s="36">
        <v>42689</v>
      </c>
      <c r="Q1711" s="31">
        <v>26287.25</v>
      </c>
      <c r="R1711" s="33">
        <f>M1711/Q1711</f>
        <v>186.98992857754234</v>
      </c>
    </row>
    <row r="1712" spans="1:18" s="30" customFormat="1" ht="15" customHeight="1">
      <c r="A1712" s="37" t="s">
        <v>293</v>
      </c>
      <c r="B1712" s="26" t="s">
        <v>294</v>
      </c>
      <c r="C1712" s="39">
        <v>590</v>
      </c>
      <c r="D1712" s="40" t="s">
        <v>2482</v>
      </c>
      <c r="E1712" s="38" t="s">
        <v>3</v>
      </c>
      <c r="F1712" s="38" t="s">
        <v>12</v>
      </c>
      <c r="G1712" s="32">
        <v>14967261</v>
      </c>
      <c r="H1712" s="32">
        <v>0</v>
      </c>
      <c r="I1712" s="32">
        <v>8616793</v>
      </c>
      <c r="J1712" s="35">
        <f>+G1712-H1712+I1712</f>
        <v>23584054</v>
      </c>
      <c r="K1712" s="27" t="s">
        <v>401</v>
      </c>
      <c r="L1712" s="32">
        <v>0</v>
      </c>
      <c r="M1712" s="35">
        <f>+J1712+L1712</f>
        <v>23584054</v>
      </c>
      <c r="N1712" s="55" t="s">
        <v>402</v>
      </c>
      <c r="O1712" s="56" t="s">
        <v>403</v>
      </c>
      <c r="P1712" s="56">
        <v>44524</v>
      </c>
      <c r="Q1712" s="49">
        <v>30683.439999999999</v>
      </c>
      <c r="R1712" s="57">
        <f>+M1712/Q1712</f>
        <v>768.62483476428986</v>
      </c>
    </row>
    <row r="1713" spans="1:18" s="30" customFormat="1" ht="15" customHeight="1">
      <c r="A1713" s="37" t="s">
        <v>688</v>
      </c>
      <c r="B1713" s="26" t="s">
        <v>1728</v>
      </c>
      <c r="C1713" s="39">
        <v>55</v>
      </c>
      <c r="D1713" s="40" t="s">
        <v>2483</v>
      </c>
      <c r="E1713" s="38" t="s">
        <v>4</v>
      </c>
      <c r="F1713" s="38" t="s">
        <v>12</v>
      </c>
      <c r="G1713" s="32">
        <v>41126.400000000001</v>
      </c>
      <c r="H1713" s="32">
        <v>19040</v>
      </c>
      <c r="I1713" s="52">
        <v>0</v>
      </c>
      <c r="J1713" s="35">
        <f>+G1713-H1713+I1713</f>
        <v>22086.400000000001</v>
      </c>
      <c r="K1713" s="28">
        <v>0</v>
      </c>
      <c r="L1713" s="32">
        <v>0</v>
      </c>
      <c r="M1713" s="35">
        <f>+J1713+L1713</f>
        <v>22086.400000000001</v>
      </c>
      <c r="N1713" s="28" t="s">
        <v>2343</v>
      </c>
      <c r="O1713" s="29" t="s">
        <v>2344</v>
      </c>
      <c r="P1713" s="36">
        <v>42810</v>
      </c>
      <c r="Q1713" s="31">
        <v>26446.36</v>
      </c>
      <c r="R1713" s="33">
        <f>M1713/Q1713</f>
        <v>0.83513950502072876</v>
      </c>
    </row>
    <row r="1714" spans="1:18" s="30" customFormat="1" ht="15" customHeight="1">
      <c r="A1714" s="37" t="s">
        <v>391</v>
      </c>
      <c r="B1714" s="26" t="s">
        <v>392</v>
      </c>
      <c r="C1714" s="39">
        <v>54</v>
      </c>
      <c r="D1714" s="40" t="s">
        <v>2484</v>
      </c>
      <c r="E1714" s="38" t="s">
        <v>4</v>
      </c>
      <c r="F1714" s="38" t="s">
        <v>13</v>
      </c>
      <c r="G1714" s="32">
        <v>1189061</v>
      </c>
      <c r="H1714" s="32">
        <v>0</v>
      </c>
      <c r="I1714" s="32">
        <v>358975</v>
      </c>
      <c r="J1714" s="35">
        <f>+G1714-H1714+I1714</f>
        <v>1548036</v>
      </c>
      <c r="K1714" s="28">
        <v>0</v>
      </c>
      <c r="L1714" s="32">
        <v>0</v>
      </c>
      <c r="M1714" s="35">
        <f>+J1714+L1714</f>
        <v>1548036</v>
      </c>
      <c r="N1714" s="28" t="s">
        <v>2449</v>
      </c>
      <c r="O1714" s="29" t="s">
        <v>2450</v>
      </c>
      <c r="P1714" s="36">
        <v>43427</v>
      </c>
      <c r="Q1714" s="31">
        <v>27507.17</v>
      </c>
      <c r="R1714" s="33">
        <f>M1714/Q1714</f>
        <v>56.277545090970833</v>
      </c>
    </row>
    <row r="1715" spans="1:18" s="30" customFormat="1" ht="15" customHeight="1">
      <c r="A1715" s="37" t="s">
        <v>874</v>
      </c>
      <c r="B1715" s="26" t="s">
        <v>875</v>
      </c>
      <c r="C1715" s="39">
        <v>54</v>
      </c>
      <c r="D1715" s="40" t="s">
        <v>2485</v>
      </c>
      <c r="E1715" s="38" t="s">
        <v>3</v>
      </c>
      <c r="F1715" s="38" t="s">
        <v>10</v>
      </c>
      <c r="G1715" s="32">
        <v>6495933</v>
      </c>
      <c r="H1715" s="32">
        <v>1507681</v>
      </c>
      <c r="I1715" s="32">
        <v>600782</v>
      </c>
      <c r="J1715" s="35">
        <f>+G1715-H1715+I1715</f>
        <v>5589034</v>
      </c>
      <c r="K1715" s="28">
        <v>0</v>
      </c>
      <c r="L1715" s="32">
        <v>0</v>
      </c>
      <c r="M1715" s="35">
        <f>+J1715+L1715</f>
        <v>5589034</v>
      </c>
      <c r="N1715" s="28" t="s">
        <v>2048</v>
      </c>
      <c r="O1715" s="29" t="s">
        <v>2049</v>
      </c>
      <c r="P1715" s="36">
        <v>44379</v>
      </c>
      <c r="Q1715" s="31">
        <v>29716</v>
      </c>
      <c r="R1715" s="33">
        <v>188.08</v>
      </c>
    </row>
    <row r="1716" spans="1:18" s="30" customFormat="1" ht="15" customHeight="1">
      <c r="A1716" s="37" t="s">
        <v>356</v>
      </c>
      <c r="B1716" s="26" t="s">
        <v>1841</v>
      </c>
      <c r="C1716" s="39">
        <v>54</v>
      </c>
      <c r="D1716" s="40" t="s">
        <v>2486</v>
      </c>
      <c r="E1716" s="38" t="s">
        <v>3</v>
      </c>
      <c r="F1716" s="38" t="s">
        <v>10</v>
      </c>
      <c r="G1716" s="32">
        <v>340822</v>
      </c>
      <c r="H1716" s="32">
        <v>0</v>
      </c>
      <c r="I1716" s="32">
        <v>797711</v>
      </c>
      <c r="J1716" s="35">
        <f>+G1716-H1716+I1716</f>
        <v>1138533</v>
      </c>
      <c r="K1716" s="28">
        <v>0</v>
      </c>
      <c r="L1716" s="32">
        <v>0</v>
      </c>
      <c r="M1716" s="35">
        <f>+J1716+L1716</f>
        <v>1138533</v>
      </c>
      <c r="N1716" s="28" t="s">
        <v>2422</v>
      </c>
      <c r="O1716" s="29" t="s">
        <v>2423</v>
      </c>
      <c r="P1716" s="36">
        <v>44036</v>
      </c>
      <c r="Q1716" s="31">
        <v>28673.919999999998</v>
      </c>
      <c r="R1716" s="33">
        <f>M1716/Q1716</f>
        <v>39.706220844586305</v>
      </c>
    </row>
    <row r="1717" spans="1:18" s="30" customFormat="1" ht="15" customHeight="1">
      <c r="A1717" s="37" t="s">
        <v>356</v>
      </c>
      <c r="B1717" s="26" t="s">
        <v>1540</v>
      </c>
      <c r="C1717" s="39">
        <v>54</v>
      </c>
      <c r="D1717" s="40" t="s">
        <v>2487</v>
      </c>
      <c r="E1717" s="38" t="s">
        <v>4</v>
      </c>
      <c r="F1717" s="38" t="s">
        <v>12</v>
      </c>
      <c r="G1717" s="32">
        <v>0</v>
      </c>
      <c r="H1717" s="32">
        <v>0</v>
      </c>
      <c r="I1717" s="32">
        <v>2548723.9</v>
      </c>
      <c r="J1717" s="35">
        <f>+G1717-H1717+I1717</f>
        <v>2548723.9</v>
      </c>
      <c r="K1717" s="28">
        <v>0</v>
      </c>
      <c r="L1717" s="32">
        <v>0</v>
      </c>
      <c r="M1717" s="35">
        <f>+J1717+L1717</f>
        <v>2548723.9</v>
      </c>
      <c r="N1717" s="28" t="s">
        <v>2462</v>
      </c>
      <c r="O1717" s="29" t="s">
        <v>2463</v>
      </c>
      <c r="P1717" s="36">
        <v>42775</v>
      </c>
      <c r="Q1717" s="31">
        <v>26302.92</v>
      </c>
      <c r="R1717" s="33">
        <f>M1717/Q1717</f>
        <v>96.898895635921789</v>
      </c>
    </row>
    <row r="1718" spans="1:18" s="30" customFormat="1" ht="15" customHeight="1">
      <c r="A1718" s="37" t="s">
        <v>391</v>
      </c>
      <c r="B1718" s="26" t="s">
        <v>392</v>
      </c>
      <c r="C1718" s="39">
        <v>179</v>
      </c>
      <c r="D1718" s="40" t="s">
        <v>2488</v>
      </c>
      <c r="E1718" s="38" t="s">
        <v>3</v>
      </c>
      <c r="F1718" s="38" t="s">
        <v>21</v>
      </c>
      <c r="G1718" s="32">
        <v>15452973</v>
      </c>
      <c r="H1718" s="32">
        <v>5851525</v>
      </c>
      <c r="I1718" s="32">
        <v>17231119</v>
      </c>
      <c r="J1718" s="35">
        <f>+G1718-H1718+I1718</f>
        <v>26832567</v>
      </c>
      <c r="K1718" s="27">
        <v>62</v>
      </c>
      <c r="L1718" s="32">
        <v>0</v>
      </c>
      <c r="M1718" s="35">
        <f>+J1718+L1718</f>
        <v>26832567</v>
      </c>
      <c r="N1718" s="28" t="s">
        <v>2489</v>
      </c>
      <c r="O1718" s="29" t="s">
        <v>2490</v>
      </c>
      <c r="P1718" s="36">
        <v>44552</v>
      </c>
      <c r="Q1718" s="31">
        <v>30947</v>
      </c>
      <c r="R1718" s="33">
        <v>867.05</v>
      </c>
    </row>
    <row r="1719" spans="1:18" s="30" customFormat="1" ht="15" customHeight="1">
      <c r="A1719" s="37" t="s">
        <v>39</v>
      </c>
      <c r="B1719" s="26" t="s">
        <v>1658</v>
      </c>
      <c r="C1719" s="39">
        <v>54</v>
      </c>
      <c r="D1719" s="40" t="s">
        <v>2491</v>
      </c>
      <c r="E1719" s="38" t="s">
        <v>4</v>
      </c>
      <c r="F1719" s="38" t="s">
        <v>11</v>
      </c>
      <c r="G1719" s="32">
        <v>353622039.40909559</v>
      </c>
      <c r="H1719" s="32">
        <v>355544982.19320667</v>
      </c>
      <c r="I1719" s="32">
        <v>23695.279999999999</v>
      </c>
      <c r="J1719" s="35">
        <f>+G1719-H1719+I1719</f>
        <v>-1899247.5041110825</v>
      </c>
      <c r="K1719" s="28">
        <v>0</v>
      </c>
      <c r="L1719" s="32">
        <v>0</v>
      </c>
      <c r="M1719" s="35">
        <f>+J1719+L1719</f>
        <v>-1899247.5041110825</v>
      </c>
      <c r="N1719" s="28" t="s">
        <v>2381</v>
      </c>
      <c r="O1719" s="29" t="s">
        <v>2382</v>
      </c>
      <c r="P1719" s="36">
        <v>43277</v>
      </c>
      <c r="Q1719" s="31">
        <v>27131.66</v>
      </c>
      <c r="R1719" s="33">
        <f>M1719/Q1719</f>
        <v>-70.001153785322487</v>
      </c>
    </row>
    <row r="1720" spans="1:18" s="30" customFormat="1" ht="15" customHeight="1">
      <c r="A1720" s="37" t="s">
        <v>52</v>
      </c>
      <c r="B1720" s="26" t="s">
        <v>555</v>
      </c>
      <c r="C1720" s="39">
        <v>54</v>
      </c>
      <c r="D1720" s="40" t="s">
        <v>2492</v>
      </c>
      <c r="E1720" s="38" t="s">
        <v>3</v>
      </c>
      <c r="F1720" s="38" t="s">
        <v>11</v>
      </c>
      <c r="G1720" s="32">
        <v>27293641</v>
      </c>
      <c r="H1720" s="32">
        <v>8523004</v>
      </c>
      <c r="I1720" s="32">
        <v>1971208</v>
      </c>
      <c r="J1720" s="35">
        <f>+G1720-H1720+I1720</f>
        <v>20741845</v>
      </c>
      <c r="K1720" s="28">
        <v>0</v>
      </c>
      <c r="L1720" s="32">
        <v>0</v>
      </c>
      <c r="M1720" s="35">
        <f>+J1720+L1720</f>
        <v>20741845</v>
      </c>
      <c r="N1720" s="28" t="s">
        <v>1160</v>
      </c>
      <c r="O1720" s="29" t="s">
        <v>1161</v>
      </c>
      <c r="P1720" s="36">
        <v>42689</v>
      </c>
      <c r="Q1720" s="31">
        <v>26287.25</v>
      </c>
      <c r="R1720" s="33">
        <f>M1720/Q1720</f>
        <v>789.04583020285497</v>
      </c>
    </row>
    <row r="1721" spans="1:18" s="30" customFormat="1" ht="15" customHeight="1">
      <c r="A1721" s="37" t="s">
        <v>688</v>
      </c>
      <c r="B1721" s="26" t="s">
        <v>1728</v>
      </c>
      <c r="C1721" s="39">
        <v>54</v>
      </c>
      <c r="D1721" s="40" t="s">
        <v>2493</v>
      </c>
      <c r="E1721" s="38" t="s">
        <v>4</v>
      </c>
      <c r="F1721" s="38" t="s">
        <v>12</v>
      </c>
      <c r="G1721" s="32">
        <v>61221</v>
      </c>
      <c r="H1721" s="32">
        <v>12490.24</v>
      </c>
      <c r="I1721" s="52">
        <v>0</v>
      </c>
      <c r="J1721" s="35">
        <f>+G1721-H1721+I1721</f>
        <v>48730.76</v>
      </c>
      <c r="K1721" s="28">
        <v>0</v>
      </c>
      <c r="L1721" s="32">
        <v>0</v>
      </c>
      <c r="M1721" s="35">
        <f>+J1721+L1721</f>
        <v>48730.76</v>
      </c>
      <c r="N1721" s="28" t="s">
        <v>2343</v>
      </c>
      <c r="O1721" s="29" t="s">
        <v>2344</v>
      </c>
      <c r="P1721" s="36">
        <v>42810</v>
      </c>
      <c r="Q1721" s="31">
        <v>26446.36</v>
      </c>
      <c r="R1721" s="33">
        <f>M1721/Q1721</f>
        <v>1.8426263576537565</v>
      </c>
    </row>
    <row r="1722" spans="1:18" s="30" customFormat="1" ht="15" customHeight="1">
      <c r="A1722" s="37" t="s">
        <v>356</v>
      </c>
      <c r="B1722" s="26" t="s">
        <v>1841</v>
      </c>
      <c r="C1722" s="39">
        <v>53</v>
      </c>
      <c r="D1722" s="40" t="s">
        <v>2494</v>
      </c>
      <c r="E1722" s="38" t="s">
        <v>3</v>
      </c>
      <c r="F1722" s="38" t="s">
        <v>18</v>
      </c>
      <c r="G1722" s="32">
        <v>450995</v>
      </c>
      <c r="H1722" s="32">
        <v>0</v>
      </c>
      <c r="I1722" s="32">
        <v>911727</v>
      </c>
      <c r="J1722" s="35">
        <f>+G1722-H1722+I1722</f>
        <v>1362722</v>
      </c>
      <c r="K1722" s="28">
        <v>0</v>
      </c>
      <c r="L1722" s="32">
        <v>0</v>
      </c>
      <c r="M1722" s="35">
        <f>+J1722+L1722</f>
        <v>1362722</v>
      </c>
      <c r="N1722" s="28" t="s">
        <v>2422</v>
      </c>
      <c r="O1722" s="29" t="s">
        <v>2423</v>
      </c>
      <c r="P1722" s="36">
        <v>44036</v>
      </c>
      <c r="Q1722" s="31">
        <v>28673.919999999998</v>
      </c>
      <c r="R1722" s="33">
        <f>M1722/Q1722</f>
        <v>47.524789076624337</v>
      </c>
    </row>
    <row r="1723" spans="1:18" s="30" customFormat="1" ht="15" customHeight="1">
      <c r="A1723" s="37" t="s">
        <v>356</v>
      </c>
      <c r="B1723" s="26" t="s">
        <v>1540</v>
      </c>
      <c r="C1723" s="39">
        <v>53</v>
      </c>
      <c r="D1723" s="40" t="s">
        <v>2495</v>
      </c>
      <c r="E1723" s="38" t="s">
        <v>3</v>
      </c>
      <c r="F1723" s="38" t="s">
        <v>10</v>
      </c>
      <c r="G1723" s="32">
        <v>877286.78645223135</v>
      </c>
      <c r="H1723" s="32">
        <v>0</v>
      </c>
      <c r="I1723" s="32">
        <v>2869999.648</v>
      </c>
      <c r="J1723" s="35">
        <f>+G1723-H1723+I1723</f>
        <v>3747286.4344522315</v>
      </c>
      <c r="K1723" s="28">
        <v>0</v>
      </c>
      <c r="L1723" s="32">
        <v>0</v>
      </c>
      <c r="M1723" s="35">
        <f>+J1723+L1723</f>
        <v>3747286.4344522315</v>
      </c>
      <c r="N1723" s="28" t="s">
        <v>2462</v>
      </c>
      <c r="O1723" s="29" t="s">
        <v>2463</v>
      </c>
      <c r="P1723" s="36">
        <v>42775</v>
      </c>
      <c r="Q1723" s="31">
        <v>26302.92</v>
      </c>
      <c r="R1723" s="33">
        <f>M1723/Q1723</f>
        <v>142.46655635390411</v>
      </c>
    </row>
    <row r="1724" spans="1:18" s="30" customFormat="1" ht="15" customHeight="1">
      <c r="A1724" s="37" t="s">
        <v>39</v>
      </c>
      <c r="B1724" s="26" t="s">
        <v>1658</v>
      </c>
      <c r="C1724" s="39">
        <v>53</v>
      </c>
      <c r="D1724" s="40" t="s">
        <v>2496</v>
      </c>
      <c r="E1724" s="38" t="s">
        <v>4</v>
      </c>
      <c r="F1724" s="38" t="s">
        <v>11</v>
      </c>
      <c r="G1724" s="32">
        <v>675116973</v>
      </c>
      <c r="H1724" s="32">
        <v>591979773</v>
      </c>
      <c r="I1724" s="32">
        <v>24224546</v>
      </c>
      <c r="J1724" s="35">
        <f>+G1724-H1724+I1724</f>
        <v>107361746</v>
      </c>
      <c r="K1724" s="28">
        <v>0</v>
      </c>
      <c r="L1724" s="32">
        <v>0</v>
      </c>
      <c r="M1724" s="35">
        <f>+J1724+L1724</f>
        <v>107361746</v>
      </c>
      <c r="N1724" s="28" t="s">
        <v>2151</v>
      </c>
      <c r="O1724" s="29" t="s">
        <v>2152</v>
      </c>
      <c r="P1724" s="36">
        <v>43448</v>
      </c>
      <c r="Q1724" s="31">
        <v>27565.79</v>
      </c>
      <c r="R1724" s="33">
        <f>M1724/Q1724</f>
        <v>3894.7458425824179</v>
      </c>
    </row>
    <row r="1725" spans="1:18" s="30" customFormat="1" ht="15" customHeight="1">
      <c r="A1725" s="37" t="s">
        <v>52</v>
      </c>
      <c r="B1725" s="26" t="s">
        <v>555</v>
      </c>
      <c r="C1725" s="39">
        <v>53</v>
      </c>
      <c r="D1725" s="40" t="s">
        <v>2497</v>
      </c>
      <c r="E1725" s="38" t="s">
        <v>3</v>
      </c>
      <c r="F1725" s="38" t="s">
        <v>11</v>
      </c>
      <c r="G1725" s="32">
        <v>21399625</v>
      </c>
      <c r="H1725" s="32">
        <v>16130329</v>
      </c>
      <c r="I1725" s="32">
        <v>2441280</v>
      </c>
      <c r="J1725" s="35">
        <f>+G1725-H1725+I1725</f>
        <v>7710576</v>
      </c>
      <c r="K1725" s="28">
        <v>0</v>
      </c>
      <c r="L1725" s="32">
        <v>0</v>
      </c>
      <c r="M1725" s="35">
        <f>+J1725+L1725</f>
        <v>7710576</v>
      </c>
      <c r="N1725" s="28" t="s">
        <v>1160</v>
      </c>
      <c r="O1725" s="29" t="s">
        <v>1161</v>
      </c>
      <c r="P1725" s="36">
        <v>42689</v>
      </c>
      <c r="Q1725" s="31">
        <v>26287.25</v>
      </c>
      <c r="R1725" s="33">
        <f>M1725/Q1725</f>
        <v>293.31999353298653</v>
      </c>
    </row>
    <row r="1726" spans="1:18" s="30" customFormat="1" ht="15" customHeight="1">
      <c r="A1726" s="37" t="s">
        <v>52</v>
      </c>
      <c r="B1726" s="26" t="s">
        <v>53</v>
      </c>
      <c r="C1726" s="39" t="s">
        <v>2498</v>
      </c>
      <c r="D1726" s="40" t="s">
        <v>2499</v>
      </c>
      <c r="E1726" s="38" t="s">
        <v>6</v>
      </c>
      <c r="F1726" s="38" t="s">
        <v>12</v>
      </c>
      <c r="G1726" s="32">
        <v>15822353.049999999</v>
      </c>
      <c r="H1726" s="32">
        <v>3783873.94</v>
      </c>
      <c r="I1726" s="32">
        <v>10452693.439999999</v>
      </c>
      <c r="J1726" s="35">
        <f>+G1726-H1726+I1726</f>
        <v>22491172.549999997</v>
      </c>
      <c r="K1726" s="27">
        <v>60</v>
      </c>
      <c r="L1726" s="32">
        <v>0</v>
      </c>
      <c r="M1726" s="35">
        <f>+J1726+L1726</f>
        <v>22491172.549999997</v>
      </c>
      <c r="N1726" s="28" t="s">
        <v>56</v>
      </c>
      <c r="O1726" s="29" t="s">
        <v>57</v>
      </c>
      <c r="P1726" s="36">
        <v>42884</v>
      </c>
      <c r="Q1726" s="31">
        <v>26627.55</v>
      </c>
      <c r="R1726" s="33">
        <f>M1726/Q1726</f>
        <v>844.65797829691417</v>
      </c>
    </row>
    <row r="1727" spans="1:18" s="30" customFormat="1" ht="15" customHeight="1">
      <c r="A1727" s="37" t="s">
        <v>688</v>
      </c>
      <c r="B1727" s="26" t="s">
        <v>1728</v>
      </c>
      <c r="C1727" s="39">
        <v>53</v>
      </c>
      <c r="D1727" s="40" t="s">
        <v>2500</v>
      </c>
      <c r="E1727" s="38" t="s">
        <v>4</v>
      </c>
      <c r="F1727" s="38" t="s">
        <v>12</v>
      </c>
      <c r="G1727" s="32">
        <v>70057</v>
      </c>
      <c r="H1727" s="32">
        <v>0</v>
      </c>
      <c r="I1727" s="52">
        <v>0</v>
      </c>
      <c r="J1727" s="35">
        <f>+G1727-H1727+I1727</f>
        <v>70057</v>
      </c>
      <c r="K1727" s="28">
        <v>0</v>
      </c>
      <c r="L1727" s="32">
        <v>0</v>
      </c>
      <c r="M1727" s="35">
        <f>+J1727+L1727</f>
        <v>70057</v>
      </c>
      <c r="N1727" s="28" t="s">
        <v>2343</v>
      </c>
      <c r="O1727" s="29" t="s">
        <v>2344</v>
      </c>
      <c r="P1727" s="36">
        <v>42810</v>
      </c>
      <c r="Q1727" s="31">
        <v>26446.36</v>
      </c>
      <c r="R1727" s="33">
        <f>M1727/Q1727</f>
        <v>2.6490223985455841</v>
      </c>
    </row>
    <row r="1728" spans="1:18" s="30" customFormat="1" ht="15" customHeight="1">
      <c r="A1728" s="37" t="s">
        <v>391</v>
      </c>
      <c r="B1728" s="26" t="s">
        <v>392</v>
      </c>
      <c r="C1728" s="39">
        <v>52</v>
      </c>
      <c r="D1728" s="40" t="s">
        <v>2501</v>
      </c>
      <c r="E1728" s="38" t="s">
        <v>3</v>
      </c>
      <c r="F1728" s="38" t="s">
        <v>10</v>
      </c>
      <c r="G1728" s="32">
        <v>55074729</v>
      </c>
      <c r="H1728" s="32">
        <v>7501157</v>
      </c>
      <c r="I1728" s="32">
        <v>31758029.000000011</v>
      </c>
      <c r="J1728" s="35">
        <f>+G1728-H1728+I1728</f>
        <v>79331601.000000015</v>
      </c>
      <c r="K1728" s="28">
        <v>0</v>
      </c>
      <c r="L1728" s="32">
        <v>0</v>
      </c>
      <c r="M1728" s="35">
        <f>+J1728+L1728</f>
        <v>79331601.000000015</v>
      </c>
      <c r="N1728" s="28" t="s">
        <v>2449</v>
      </c>
      <c r="O1728" s="29" t="s">
        <v>2450</v>
      </c>
      <c r="P1728" s="36">
        <v>43427</v>
      </c>
      <c r="Q1728" s="31">
        <v>27507.17</v>
      </c>
      <c r="R1728" s="33">
        <f>M1728/Q1728</f>
        <v>2884.0335447085258</v>
      </c>
    </row>
    <row r="1729" spans="1:18" s="30" customFormat="1" ht="15" customHeight="1">
      <c r="A1729" s="37" t="s">
        <v>293</v>
      </c>
      <c r="B1729" s="26" t="s">
        <v>294</v>
      </c>
      <c r="C1729" s="39">
        <v>52</v>
      </c>
      <c r="D1729" s="40" t="s">
        <v>2502</v>
      </c>
      <c r="E1729" s="38" t="s">
        <v>3</v>
      </c>
      <c r="F1729" s="38" t="s">
        <v>10</v>
      </c>
      <c r="G1729" s="32">
        <v>514821</v>
      </c>
      <c r="H1729" s="32">
        <v>0</v>
      </c>
      <c r="I1729" s="32">
        <v>202145</v>
      </c>
      <c r="J1729" s="35">
        <f>+G1729-H1729+I1729</f>
        <v>716966</v>
      </c>
      <c r="K1729" s="28">
        <v>0</v>
      </c>
      <c r="L1729" s="32">
        <v>0</v>
      </c>
      <c r="M1729" s="35">
        <f>+J1729+L1729</f>
        <v>716966</v>
      </c>
      <c r="N1729" s="28" t="s">
        <v>1830</v>
      </c>
      <c r="O1729" s="29" t="s">
        <v>1831</v>
      </c>
      <c r="P1729" s="36">
        <v>43878</v>
      </c>
      <c r="Q1729" s="31">
        <v>28393.3</v>
      </c>
      <c r="R1729" s="33">
        <f>M1729/Q1729</f>
        <v>25.251238848601606</v>
      </c>
    </row>
    <row r="1730" spans="1:18" s="30" customFormat="1" ht="15" customHeight="1">
      <c r="A1730" s="37" t="s">
        <v>356</v>
      </c>
      <c r="B1730" s="26" t="s">
        <v>1841</v>
      </c>
      <c r="C1730" s="39">
        <v>52</v>
      </c>
      <c r="D1730" s="40" t="s">
        <v>2503</v>
      </c>
      <c r="E1730" s="38" t="s">
        <v>3</v>
      </c>
      <c r="F1730" s="38" t="s">
        <v>12</v>
      </c>
      <c r="G1730" s="32">
        <v>46678763</v>
      </c>
      <c r="H1730" s="32">
        <v>33604881</v>
      </c>
      <c r="I1730" s="52">
        <v>0</v>
      </c>
      <c r="J1730" s="35">
        <f>+G1730-H1730+I1730</f>
        <v>13073882</v>
      </c>
      <c r="K1730" s="28">
        <v>0</v>
      </c>
      <c r="L1730" s="32">
        <v>0</v>
      </c>
      <c r="M1730" s="35">
        <f>+J1730+L1730</f>
        <v>13073882</v>
      </c>
      <c r="N1730" s="28" t="s">
        <v>2422</v>
      </c>
      <c r="O1730" s="29" t="s">
        <v>2423</v>
      </c>
      <c r="P1730" s="36">
        <v>44036</v>
      </c>
      <c r="Q1730" s="31">
        <v>28673.919999999998</v>
      </c>
      <c r="R1730" s="33">
        <f>M1730/Q1730</f>
        <v>455.95028513715602</v>
      </c>
    </row>
    <row r="1731" spans="1:18" s="30" customFormat="1" ht="15" customHeight="1">
      <c r="A1731" s="37" t="s">
        <v>356</v>
      </c>
      <c r="B1731" s="26" t="s">
        <v>1540</v>
      </c>
      <c r="C1731" s="39">
        <v>52</v>
      </c>
      <c r="D1731" s="40" t="s">
        <v>2504</v>
      </c>
      <c r="E1731" s="38" t="s">
        <v>3</v>
      </c>
      <c r="F1731" s="38" t="s">
        <v>12</v>
      </c>
      <c r="G1731" s="32">
        <v>0</v>
      </c>
      <c r="H1731" s="32">
        <v>0</v>
      </c>
      <c r="I1731" s="32">
        <v>7620702.04</v>
      </c>
      <c r="J1731" s="35">
        <f>+G1731-H1731+I1731</f>
        <v>7620702.04</v>
      </c>
      <c r="K1731" s="28">
        <v>0</v>
      </c>
      <c r="L1731" s="32">
        <v>0</v>
      </c>
      <c r="M1731" s="35">
        <f>+J1731+L1731</f>
        <v>7620702.04</v>
      </c>
      <c r="N1731" s="28" t="s">
        <v>2462</v>
      </c>
      <c r="O1731" s="29" t="s">
        <v>2463</v>
      </c>
      <c r="P1731" s="36">
        <v>42775</v>
      </c>
      <c r="Q1731" s="31">
        <v>26302.92</v>
      </c>
      <c r="R1731" s="33">
        <f>M1731/Q1731</f>
        <v>289.72836628024572</v>
      </c>
    </row>
    <row r="1732" spans="1:18" s="30" customFormat="1" ht="15" customHeight="1">
      <c r="A1732" s="37" t="s">
        <v>39</v>
      </c>
      <c r="B1732" s="26" t="s">
        <v>1658</v>
      </c>
      <c r="C1732" s="39">
        <v>52</v>
      </c>
      <c r="D1732" s="40" t="s">
        <v>2505</v>
      </c>
      <c r="E1732" s="38" t="s">
        <v>4</v>
      </c>
      <c r="F1732" s="38" t="s">
        <v>11</v>
      </c>
      <c r="G1732" s="32">
        <v>523361060.1639868</v>
      </c>
      <c r="H1732" s="32">
        <v>527773244.49499094</v>
      </c>
      <c r="I1732" s="32">
        <v>1089656.82</v>
      </c>
      <c r="J1732" s="35">
        <f>+G1732-H1732+I1732</f>
        <v>-3322527.5110041425</v>
      </c>
      <c r="K1732" s="28">
        <v>0</v>
      </c>
      <c r="L1732" s="32">
        <v>0</v>
      </c>
      <c r="M1732" s="35">
        <f>+J1732+L1732</f>
        <v>-3322527.5110041425</v>
      </c>
      <c r="N1732" s="28" t="s">
        <v>2381</v>
      </c>
      <c r="O1732" s="29" t="s">
        <v>2382</v>
      </c>
      <c r="P1732" s="36">
        <v>43277</v>
      </c>
      <c r="Q1732" s="31">
        <v>27131.66</v>
      </c>
      <c r="R1732" s="33">
        <f>M1732/Q1732</f>
        <v>-122.45942603600895</v>
      </c>
    </row>
    <row r="1733" spans="1:18" s="30" customFormat="1" ht="15" customHeight="1">
      <c r="A1733" s="37" t="s">
        <v>688</v>
      </c>
      <c r="B1733" s="26" t="s">
        <v>736</v>
      </c>
      <c r="C1733" s="39">
        <v>1</v>
      </c>
      <c r="D1733" s="40" t="s">
        <v>2506</v>
      </c>
      <c r="E1733" s="38" t="s">
        <v>3</v>
      </c>
      <c r="F1733" s="38" t="s">
        <v>9</v>
      </c>
      <c r="G1733" s="32">
        <v>16360522.475849999</v>
      </c>
      <c r="H1733" s="32">
        <v>47482307.066249996</v>
      </c>
      <c r="I1733" s="32">
        <v>7819271.09712</v>
      </c>
      <c r="J1733" s="35">
        <f>+G1733-H1733+I1733</f>
        <v>-23302513.493279994</v>
      </c>
      <c r="K1733" s="27" t="s">
        <v>2507</v>
      </c>
      <c r="L1733" s="32">
        <v>0</v>
      </c>
      <c r="M1733" s="35">
        <f>+J1733+L1733</f>
        <v>-23302513.493279994</v>
      </c>
      <c r="N1733" s="28" t="s">
        <v>2508</v>
      </c>
      <c r="O1733" s="29" t="s">
        <v>2509</v>
      </c>
      <c r="P1733" s="36">
        <v>43427</v>
      </c>
      <c r="Q1733" s="31">
        <v>27507.17</v>
      </c>
      <c r="R1733" s="33">
        <f>M1733/Q1733</f>
        <v>-847.14325367822266</v>
      </c>
    </row>
    <row r="1734" spans="1:18" s="30" customFormat="1" ht="15" customHeight="1">
      <c r="A1734" s="37" t="s">
        <v>52</v>
      </c>
      <c r="B1734" s="26" t="s">
        <v>555</v>
      </c>
      <c r="C1734" s="39">
        <v>52</v>
      </c>
      <c r="D1734" s="40" t="s">
        <v>2510</v>
      </c>
      <c r="E1734" s="38" t="s">
        <v>3</v>
      </c>
      <c r="F1734" s="38" t="s">
        <v>11</v>
      </c>
      <c r="G1734" s="32">
        <v>18337103</v>
      </c>
      <c r="H1734" s="32">
        <v>6370090</v>
      </c>
      <c r="I1734" s="32">
        <v>881183</v>
      </c>
      <c r="J1734" s="35">
        <f>+G1734-H1734+I1734</f>
        <v>12848196</v>
      </c>
      <c r="K1734" s="28">
        <v>0</v>
      </c>
      <c r="L1734" s="32">
        <v>0</v>
      </c>
      <c r="M1734" s="35">
        <f>+J1734+L1734</f>
        <v>12848196</v>
      </c>
      <c r="N1734" s="28" t="s">
        <v>1160</v>
      </c>
      <c r="O1734" s="29" t="s">
        <v>1161</v>
      </c>
      <c r="P1734" s="36">
        <v>42689</v>
      </c>
      <c r="Q1734" s="31">
        <v>26287.25</v>
      </c>
      <c r="R1734" s="33">
        <f>M1734/Q1734</f>
        <v>488.76150985744039</v>
      </c>
    </row>
    <row r="1735" spans="1:18" s="30" customFormat="1" ht="15" customHeight="1">
      <c r="A1735" s="37" t="s">
        <v>52</v>
      </c>
      <c r="B1735" s="26" t="s">
        <v>195</v>
      </c>
      <c r="C1735" s="39">
        <v>52</v>
      </c>
      <c r="D1735" s="40" t="s">
        <v>2511</v>
      </c>
      <c r="E1735" s="38" t="s">
        <v>3</v>
      </c>
      <c r="F1735" s="38" t="s">
        <v>12</v>
      </c>
      <c r="G1735" s="32">
        <v>10301581</v>
      </c>
      <c r="H1735" s="32">
        <v>92542</v>
      </c>
      <c r="I1735" s="52">
        <v>0</v>
      </c>
      <c r="J1735" s="35">
        <f>+G1735-H1735+I1735</f>
        <v>10209039</v>
      </c>
      <c r="K1735" s="28">
        <v>0</v>
      </c>
      <c r="L1735" s="32">
        <v>0</v>
      </c>
      <c r="M1735" s="35">
        <f>+J1735+L1735</f>
        <v>10209039</v>
      </c>
      <c r="N1735" s="28" t="s">
        <v>2512</v>
      </c>
      <c r="O1735" s="29" t="s">
        <v>2513</v>
      </c>
      <c r="P1735" s="36">
        <v>44301</v>
      </c>
      <c r="Q1735" s="31">
        <v>29662.41</v>
      </c>
      <c r="R1735" s="33">
        <f>M1735/Q1735</f>
        <v>344.17429332276106</v>
      </c>
    </row>
    <row r="1736" spans="1:18" s="30" customFormat="1" ht="15" customHeight="1">
      <c r="A1736" s="37" t="s">
        <v>391</v>
      </c>
      <c r="B1736" s="26" t="s">
        <v>392</v>
      </c>
      <c r="C1736" s="39">
        <v>51</v>
      </c>
      <c r="D1736" s="40" t="s">
        <v>2514</v>
      </c>
      <c r="E1736" s="38" t="s">
        <v>3</v>
      </c>
      <c r="F1736" s="38" t="s">
        <v>10</v>
      </c>
      <c r="G1736" s="32">
        <v>182299344</v>
      </c>
      <c r="H1736" s="32">
        <v>110143441</v>
      </c>
      <c r="I1736" s="52">
        <v>0</v>
      </c>
      <c r="J1736" s="35">
        <f>+G1736-H1736+I1736</f>
        <v>72155903</v>
      </c>
      <c r="K1736" s="28">
        <v>0</v>
      </c>
      <c r="L1736" s="32">
        <v>0</v>
      </c>
      <c r="M1736" s="35">
        <f>+J1736+L1736</f>
        <v>72155903</v>
      </c>
      <c r="N1736" s="28" t="s">
        <v>2449</v>
      </c>
      <c r="O1736" s="29" t="s">
        <v>2450</v>
      </c>
      <c r="P1736" s="36">
        <v>43427</v>
      </c>
      <c r="Q1736" s="31">
        <v>27507.17</v>
      </c>
      <c r="R1736" s="33">
        <f>M1736/Q1736</f>
        <v>2623.167086981322</v>
      </c>
    </row>
    <row r="1737" spans="1:18" s="30" customFormat="1" ht="15" customHeight="1">
      <c r="A1737" s="37" t="s">
        <v>293</v>
      </c>
      <c r="B1737" s="26" t="s">
        <v>294</v>
      </c>
      <c r="C1737" s="39">
        <v>51</v>
      </c>
      <c r="D1737" s="40" t="s">
        <v>2515</v>
      </c>
      <c r="E1737" s="38" t="s">
        <v>3</v>
      </c>
      <c r="F1737" s="38" t="s">
        <v>13</v>
      </c>
      <c r="G1737" s="32">
        <v>1713557</v>
      </c>
      <c r="H1737" s="32">
        <v>0</v>
      </c>
      <c r="I1737" s="32">
        <v>326928</v>
      </c>
      <c r="J1737" s="35">
        <f>+G1737-H1737+I1737</f>
        <v>2040485</v>
      </c>
      <c r="K1737" s="28">
        <v>0</v>
      </c>
      <c r="L1737" s="32">
        <v>0</v>
      </c>
      <c r="M1737" s="35">
        <f>+J1737+L1737</f>
        <v>2040485</v>
      </c>
      <c r="N1737" s="28" t="s">
        <v>1830</v>
      </c>
      <c r="O1737" s="29" t="s">
        <v>1831</v>
      </c>
      <c r="P1737" s="36">
        <v>43878</v>
      </c>
      <c r="Q1737" s="31">
        <v>28393.3</v>
      </c>
      <c r="R1737" s="33">
        <f>M1737/Q1737</f>
        <v>71.865017451300133</v>
      </c>
    </row>
    <row r="1738" spans="1:18" s="30" customFormat="1" ht="15" customHeight="1">
      <c r="A1738" s="37" t="s">
        <v>874</v>
      </c>
      <c r="B1738" s="26" t="s">
        <v>875</v>
      </c>
      <c r="C1738" s="39">
        <v>51</v>
      </c>
      <c r="D1738" s="40" t="s">
        <v>2516</v>
      </c>
      <c r="E1738" s="38" t="s">
        <v>3</v>
      </c>
      <c r="F1738" s="38" t="s">
        <v>10</v>
      </c>
      <c r="G1738" s="32">
        <v>1902409</v>
      </c>
      <c r="H1738" s="32">
        <v>499236</v>
      </c>
      <c r="I1738" s="32">
        <v>3098898</v>
      </c>
      <c r="J1738" s="35">
        <f>+G1738-H1738+I1738</f>
        <v>4502071</v>
      </c>
      <c r="K1738" s="28">
        <v>0</v>
      </c>
      <c r="L1738" s="32">
        <v>0</v>
      </c>
      <c r="M1738" s="35">
        <f>+J1738+L1738</f>
        <v>4502071</v>
      </c>
      <c r="N1738" s="28" t="s">
        <v>1179</v>
      </c>
      <c r="O1738" s="29" t="s">
        <v>1180</v>
      </c>
      <c r="P1738" s="36">
        <v>44454</v>
      </c>
      <c r="Q1738" s="31">
        <v>30028</v>
      </c>
      <c r="R1738" s="33">
        <v>149.93</v>
      </c>
    </row>
    <row r="1739" spans="1:18" s="30" customFormat="1" ht="15" customHeight="1">
      <c r="A1739" s="37" t="s">
        <v>293</v>
      </c>
      <c r="B1739" s="26" t="s">
        <v>294</v>
      </c>
      <c r="C1739" s="39">
        <v>367</v>
      </c>
      <c r="D1739" s="40" t="s">
        <v>2517</v>
      </c>
      <c r="E1739" s="38" t="s">
        <v>3</v>
      </c>
      <c r="F1739" s="38" t="s">
        <v>15</v>
      </c>
      <c r="G1739" s="32">
        <v>16833613</v>
      </c>
      <c r="H1739" s="32">
        <v>0</v>
      </c>
      <c r="I1739" s="32">
        <v>21615832</v>
      </c>
      <c r="J1739" s="35">
        <f>+G1739-H1739+I1739</f>
        <v>38449445</v>
      </c>
      <c r="K1739" s="27" t="s">
        <v>297</v>
      </c>
      <c r="L1739" s="32">
        <v>0</v>
      </c>
      <c r="M1739" s="35">
        <f>+J1739+L1739</f>
        <v>38449445</v>
      </c>
      <c r="N1739" s="28" t="s">
        <v>459</v>
      </c>
      <c r="O1739" s="29" t="s">
        <v>460</v>
      </c>
      <c r="P1739" s="36" t="s">
        <v>461</v>
      </c>
      <c r="Q1739" s="31">
        <v>30762.799999999999</v>
      </c>
      <c r="R1739" s="33">
        <f>+M1739/Q1739</f>
        <v>1249.8681849506547</v>
      </c>
    </row>
    <row r="1740" spans="1:18" s="30" customFormat="1" ht="15" customHeight="1">
      <c r="A1740" s="37" t="s">
        <v>356</v>
      </c>
      <c r="B1740" s="26" t="s">
        <v>1841</v>
      </c>
      <c r="C1740" s="39">
        <v>51</v>
      </c>
      <c r="D1740" s="40" t="s">
        <v>2518</v>
      </c>
      <c r="E1740" s="38" t="s">
        <v>3</v>
      </c>
      <c r="F1740" s="38" t="s">
        <v>12</v>
      </c>
      <c r="G1740" s="32">
        <v>6929150</v>
      </c>
      <c r="H1740" s="32">
        <v>4313034</v>
      </c>
      <c r="I1740" s="52">
        <v>0</v>
      </c>
      <c r="J1740" s="35">
        <f>+G1740-H1740+I1740</f>
        <v>2616116</v>
      </c>
      <c r="K1740" s="28">
        <v>0</v>
      </c>
      <c r="L1740" s="32">
        <v>0</v>
      </c>
      <c r="M1740" s="35">
        <f>+J1740+L1740</f>
        <v>2616116</v>
      </c>
      <c r="N1740" s="28" t="s">
        <v>2422</v>
      </c>
      <c r="O1740" s="29" t="s">
        <v>2423</v>
      </c>
      <c r="P1740" s="36">
        <v>44036</v>
      </c>
      <c r="Q1740" s="31">
        <v>28673.919999999998</v>
      </c>
      <c r="R1740" s="33">
        <f>M1740/Q1740</f>
        <v>91.236775439144708</v>
      </c>
    </row>
    <row r="1741" spans="1:18" s="30" customFormat="1" ht="15" customHeight="1">
      <c r="A1741" s="37" t="s">
        <v>356</v>
      </c>
      <c r="B1741" s="26" t="s">
        <v>1540</v>
      </c>
      <c r="C1741" s="39">
        <v>51</v>
      </c>
      <c r="D1741" s="40" t="s">
        <v>2519</v>
      </c>
      <c r="E1741" s="38" t="s">
        <v>3</v>
      </c>
      <c r="F1741" s="38" t="s">
        <v>11</v>
      </c>
      <c r="G1741" s="32">
        <v>0</v>
      </c>
      <c r="H1741" s="32">
        <v>0</v>
      </c>
      <c r="I1741" s="32">
        <v>27469210</v>
      </c>
      <c r="J1741" s="35">
        <f>+G1741-H1741+I1741</f>
        <v>27469210</v>
      </c>
      <c r="K1741" s="28">
        <v>0</v>
      </c>
      <c r="L1741" s="32">
        <v>0</v>
      </c>
      <c r="M1741" s="35">
        <f>+J1741+L1741</f>
        <v>27469210</v>
      </c>
      <c r="N1741" s="28" t="s">
        <v>2462</v>
      </c>
      <c r="O1741" s="29" t="s">
        <v>2463</v>
      </c>
      <c r="P1741" s="36">
        <v>42775</v>
      </c>
      <c r="Q1741" s="31">
        <v>26302.92</v>
      </c>
      <c r="R1741" s="33">
        <f>M1741/Q1741</f>
        <v>1044.3407043780692</v>
      </c>
    </row>
    <row r="1742" spans="1:18" s="30" customFormat="1" ht="15" customHeight="1">
      <c r="A1742" s="37" t="s">
        <v>391</v>
      </c>
      <c r="B1742" s="26" t="s">
        <v>392</v>
      </c>
      <c r="C1742" s="39">
        <v>165</v>
      </c>
      <c r="D1742" s="40" t="s">
        <v>2520</v>
      </c>
      <c r="E1742" s="38" t="s">
        <v>4</v>
      </c>
      <c r="F1742" s="38" t="s">
        <v>21</v>
      </c>
      <c r="G1742" s="32">
        <v>17011866</v>
      </c>
      <c r="H1742" s="32">
        <v>14295344</v>
      </c>
      <c r="I1742" s="32">
        <v>983242</v>
      </c>
      <c r="J1742" s="35">
        <f>+G1742-H1742+I1742</f>
        <v>3699764</v>
      </c>
      <c r="K1742" s="27"/>
      <c r="L1742" s="32">
        <v>0</v>
      </c>
      <c r="M1742" s="35">
        <f>+J1742+L1742</f>
        <v>3699764</v>
      </c>
      <c r="N1742" s="28" t="s">
        <v>765</v>
      </c>
      <c r="O1742" s="29" t="s">
        <v>766</v>
      </c>
      <c r="P1742" s="36">
        <v>44140</v>
      </c>
      <c r="Q1742" s="31">
        <v>28866.47</v>
      </c>
      <c r="R1742" s="33">
        <f>M1742/Q1742</f>
        <v>128.16821731233503</v>
      </c>
    </row>
    <row r="1743" spans="1:18" s="30" customFormat="1" ht="15" customHeight="1">
      <c r="A1743" s="37" t="s">
        <v>39</v>
      </c>
      <c r="B1743" s="26" t="s">
        <v>1658</v>
      </c>
      <c r="C1743" s="39">
        <v>51</v>
      </c>
      <c r="D1743" s="40" t="s">
        <v>2521</v>
      </c>
      <c r="E1743" s="38" t="s">
        <v>3</v>
      </c>
      <c r="F1743" s="38" t="s">
        <v>10</v>
      </c>
      <c r="G1743" s="32">
        <v>17887696.380000003</v>
      </c>
      <c r="H1743" s="32">
        <v>6639517.5600000005</v>
      </c>
      <c r="I1743" s="32">
        <v>265921</v>
      </c>
      <c r="J1743" s="35">
        <f>+G1743-H1743+I1743</f>
        <v>11514099.820000002</v>
      </c>
      <c r="K1743" s="28">
        <v>0</v>
      </c>
      <c r="L1743" s="32">
        <v>0</v>
      </c>
      <c r="M1743" s="35">
        <f>+J1743+L1743</f>
        <v>11514099.820000002</v>
      </c>
      <c r="N1743" s="28" t="s">
        <v>2381</v>
      </c>
      <c r="O1743" s="29" t="s">
        <v>2407</v>
      </c>
      <c r="P1743" s="36">
        <v>43277</v>
      </c>
      <c r="Q1743" s="31">
        <v>27147.919999999998</v>
      </c>
      <c r="R1743" s="33">
        <f>M1743/Q1743</f>
        <v>424.12456718599447</v>
      </c>
    </row>
    <row r="1744" spans="1:18" s="30" customFormat="1" ht="15" customHeight="1">
      <c r="A1744" s="37" t="s">
        <v>688</v>
      </c>
      <c r="B1744" s="26" t="s">
        <v>1728</v>
      </c>
      <c r="C1744" s="39">
        <v>51</v>
      </c>
      <c r="D1744" s="40" t="s">
        <v>2522</v>
      </c>
      <c r="E1744" s="38" t="s">
        <v>4</v>
      </c>
      <c r="F1744" s="38" t="s">
        <v>12</v>
      </c>
      <c r="G1744" s="32">
        <v>82914</v>
      </c>
      <c r="H1744" s="32">
        <v>0</v>
      </c>
      <c r="I1744" s="52">
        <v>0</v>
      </c>
      <c r="J1744" s="35">
        <f>+G1744-H1744+I1744</f>
        <v>82914</v>
      </c>
      <c r="K1744" s="28">
        <v>0</v>
      </c>
      <c r="L1744" s="32">
        <v>0</v>
      </c>
      <c r="M1744" s="35">
        <f>+J1744+L1744</f>
        <v>82914</v>
      </c>
      <c r="N1744" s="28" t="s">
        <v>2343</v>
      </c>
      <c r="O1744" s="29" t="s">
        <v>2344</v>
      </c>
      <c r="P1744" s="36">
        <v>42810</v>
      </c>
      <c r="Q1744" s="31">
        <v>26446.36</v>
      </c>
      <c r="R1744" s="33">
        <f>M1744/Q1744</f>
        <v>3.1351762586609273</v>
      </c>
    </row>
    <row r="1745" spans="1:18" s="30" customFormat="1" ht="15" customHeight="1">
      <c r="A1745" s="37" t="s">
        <v>391</v>
      </c>
      <c r="B1745" s="26" t="s">
        <v>392</v>
      </c>
      <c r="C1745" s="39">
        <v>50</v>
      </c>
      <c r="D1745" s="40" t="s">
        <v>2523</v>
      </c>
      <c r="E1745" s="38" t="s">
        <v>3</v>
      </c>
      <c r="F1745" s="38" t="s">
        <v>13</v>
      </c>
      <c r="G1745" s="32">
        <v>15855623</v>
      </c>
      <c r="H1745" s="32">
        <v>0</v>
      </c>
      <c r="I1745" s="32">
        <v>3758970</v>
      </c>
      <c r="J1745" s="35">
        <f>+G1745-H1745+I1745</f>
        <v>19614593</v>
      </c>
      <c r="K1745" s="28">
        <v>0</v>
      </c>
      <c r="L1745" s="32">
        <v>0</v>
      </c>
      <c r="M1745" s="35">
        <f>+J1745+L1745</f>
        <v>19614593</v>
      </c>
      <c r="N1745" s="28" t="s">
        <v>2449</v>
      </c>
      <c r="O1745" s="29" t="s">
        <v>2450</v>
      </c>
      <c r="P1745" s="36">
        <v>43427</v>
      </c>
      <c r="Q1745" s="31">
        <v>27507.17</v>
      </c>
      <c r="R1745" s="33">
        <f>M1745/Q1745</f>
        <v>713.07200995231426</v>
      </c>
    </row>
    <row r="1746" spans="1:18" s="30" customFormat="1" ht="15" customHeight="1">
      <c r="A1746" s="37" t="s">
        <v>293</v>
      </c>
      <c r="B1746" s="26" t="s">
        <v>294</v>
      </c>
      <c r="C1746" s="39">
        <v>50</v>
      </c>
      <c r="D1746" s="40" t="s">
        <v>2524</v>
      </c>
      <c r="E1746" s="38" t="s">
        <v>3</v>
      </c>
      <c r="F1746" s="38" t="s">
        <v>13</v>
      </c>
      <c r="G1746" s="32">
        <v>7032345</v>
      </c>
      <c r="H1746" s="32">
        <v>0</v>
      </c>
      <c r="I1746" s="52">
        <v>0</v>
      </c>
      <c r="J1746" s="35">
        <f>+G1746-H1746+I1746</f>
        <v>7032345</v>
      </c>
      <c r="K1746" s="28">
        <v>0</v>
      </c>
      <c r="L1746" s="32">
        <v>0</v>
      </c>
      <c r="M1746" s="35">
        <f>+J1746+L1746</f>
        <v>7032345</v>
      </c>
      <c r="N1746" s="28" t="s">
        <v>1830</v>
      </c>
      <c r="O1746" s="29" t="s">
        <v>1831</v>
      </c>
      <c r="P1746" s="36">
        <v>43878</v>
      </c>
      <c r="Q1746" s="31">
        <v>28393.3</v>
      </c>
      <c r="R1746" s="33">
        <f>M1746/Q1746</f>
        <v>247.67621234587034</v>
      </c>
    </row>
    <row r="1747" spans="1:18" s="30" customFormat="1" ht="15" customHeight="1">
      <c r="A1747" s="37" t="s">
        <v>356</v>
      </c>
      <c r="B1747" s="26" t="s">
        <v>1841</v>
      </c>
      <c r="C1747" s="39">
        <v>50</v>
      </c>
      <c r="D1747" s="40" t="s">
        <v>2525</v>
      </c>
      <c r="E1747" s="38" t="s">
        <v>3</v>
      </c>
      <c r="F1747" s="38" t="s">
        <v>11</v>
      </c>
      <c r="G1747" s="32">
        <v>0</v>
      </c>
      <c r="H1747" s="32">
        <v>25225959</v>
      </c>
      <c r="I1747" s="52">
        <v>0</v>
      </c>
      <c r="J1747" s="35">
        <f>+G1747-H1747+I1747</f>
        <v>-25225959</v>
      </c>
      <c r="K1747" s="28">
        <v>0</v>
      </c>
      <c r="L1747" s="32">
        <v>0</v>
      </c>
      <c r="M1747" s="35">
        <f>+J1747+L1747</f>
        <v>-25225959</v>
      </c>
      <c r="N1747" s="28" t="s">
        <v>2422</v>
      </c>
      <c r="O1747" s="29" t="s">
        <v>2423</v>
      </c>
      <c r="P1747" s="36">
        <v>44036</v>
      </c>
      <c r="Q1747" s="31">
        <v>28673.919999999998</v>
      </c>
      <c r="R1747" s="33">
        <f>M1747/Q1747</f>
        <v>-879.75271605696048</v>
      </c>
    </row>
    <row r="1748" spans="1:18" s="30" customFormat="1" ht="15" customHeight="1">
      <c r="A1748" s="37" t="s">
        <v>356</v>
      </c>
      <c r="B1748" s="26" t="s">
        <v>1540</v>
      </c>
      <c r="C1748" s="39">
        <v>50</v>
      </c>
      <c r="D1748" s="40" t="s">
        <v>2526</v>
      </c>
      <c r="E1748" s="38" t="s">
        <v>3</v>
      </c>
      <c r="F1748" s="38" t="s">
        <v>11</v>
      </c>
      <c r="G1748" s="32">
        <v>0</v>
      </c>
      <c r="H1748" s="32">
        <v>23387051.990525715</v>
      </c>
      <c r="I1748" s="52">
        <v>0</v>
      </c>
      <c r="J1748" s="35">
        <f>+G1748-H1748+I1748</f>
        <v>-23387051.990525715</v>
      </c>
      <c r="K1748" s="28">
        <v>0</v>
      </c>
      <c r="L1748" s="32">
        <v>0</v>
      </c>
      <c r="M1748" s="35">
        <f>+J1748+L1748</f>
        <v>-23387051.990525715</v>
      </c>
      <c r="N1748" s="28" t="s">
        <v>2462</v>
      </c>
      <c r="O1748" s="29" t="s">
        <v>2463</v>
      </c>
      <c r="P1748" s="36">
        <v>42775</v>
      </c>
      <c r="Q1748" s="31">
        <v>26302.92</v>
      </c>
      <c r="R1748" s="33">
        <f>M1748/Q1748</f>
        <v>-889.14280203588487</v>
      </c>
    </row>
    <row r="1749" spans="1:18" s="30" customFormat="1" ht="15" customHeight="1">
      <c r="A1749" s="37" t="s">
        <v>52</v>
      </c>
      <c r="B1749" s="26" t="s">
        <v>555</v>
      </c>
      <c r="C1749" s="39">
        <v>50</v>
      </c>
      <c r="D1749" s="40" t="s">
        <v>2527</v>
      </c>
      <c r="E1749" s="38" t="s">
        <v>4</v>
      </c>
      <c r="F1749" s="38" t="s">
        <v>12</v>
      </c>
      <c r="G1749" s="32">
        <v>12507885</v>
      </c>
      <c r="H1749" s="32">
        <v>9690661</v>
      </c>
      <c r="I1749" s="32">
        <v>682948</v>
      </c>
      <c r="J1749" s="35">
        <f>+G1749-H1749+I1749</f>
        <v>3500172</v>
      </c>
      <c r="K1749" s="28">
        <v>0</v>
      </c>
      <c r="L1749" s="32">
        <v>0</v>
      </c>
      <c r="M1749" s="35">
        <f>+J1749+L1749</f>
        <v>3500172</v>
      </c>
      <c r="N1749" s="28" t="s">
        <v>1160</v>
      </c>
      <c r="O1749" s="29" t="s">
        <v>1161</v>
      </c>
      <c r="P1749" s="36">
        <v>42689</v>
      </c>
      <c r="Q1749" s="31">
        <v>26287.25</v>
      </c>
      <c r="R1749" s="33">
        <f>M1749/Q1749</f>
        <v>133.15093819246974</v>
      </c>
    </row>
    <row r="1750" spans="1:18" s="30" customFormat="1" ht="15" customHeight="1">
      <c r="A1750" s="37" t="s">
        <v>688</v>
      </c>
      <c r="B1750" s="26" t="s">
        <v>1728</v>
      </c>
      <c r="C1750" s="39">
        <v>50</v>
      </c>
      <c r="D1750" s="40" t="s">
        <v>2528</v>
      </c>
      <c r="E1750" s="38" t="s">
        <v>4</v>
      </c>
      <c r="F1750" s="38" t="s">
        <v>12</v>
      </c>
      <c r="G1750" s="32">
        <v>4020314.28</v>
      </c>
      <c r="H1750" s="32">
        <v>1389920</v>
      </c>
      <c r="I1750" s="52">
        <v>0</v>
      </c>
      <c r="J1750" s="35">
        <f>+G1750-H1750+I1750</f>
        <v>2630394.2799999998</v>
      </c>
      <c r="K1750" s="28">
        <v>0</v>
      </c>
      <c r="L1750" s="32">
        <v>0</v>
      </c>
      <c r="M1750" s="35">
        <f>+J1750+L1750</f>
        <v>2630394.2799999998</v>
      </c>
      <c r="N1750" s="28" t="s">
        <v>2343</v>
      </c>
      <c r="O1750" s="29" t="s">
        <v>2344</v>
      </c>
      <c r="P1750" s="36">
        <v>42810</v>
      </c>
      <c r="Q1750" s="31">
        <v>26446.36</v>
      </c>
      <c r="R1750" s="33">
        <f>M1750/Q1750</f>
        <v>99.461486571308853</v>
      </c>
    </row>
    <row r="1751" spans="1:18" s="30" customFormat="1" ht="15" customHeight="1">
      <c r="A1751" s="37" t="s">
        <v>874</v>
      </c>
      <c r="B1751" s="26" t="s">
        <v>875</v>
      </c>
      <c r="C1751" s="39">
        <v>49</v>
      </c>
      <c r="D1751" s="40" t="s">
        <v>2529</v>
      </c>
      <c r="E1751" s="38" t="s">
        <v>3</v>
      </c>
      <c r="F1751" s="38" t="s">
        <v>10</v>
      </c>
      <c r="G1751" s="32">
        <v>5930818</v>
      </c>
      <c r="H1751" s="32"/>
      <c r="I1751" s="32"/>
      <c r="J1751" s="35">
        <f>+G1751-H1751+I1751</f>
        <v>5930818</v>
      </c>
      <c r="K1751" s="28">
        <v>0</v>
      </c>
      <c r="L1751" s="32">
        <v>0</v>
      </c>
      <c r="M1751" s="35">
        <f>+J1751+L1751</f>
        <v>5930818</v>
      </c>
      <c r="N1751" s="28" t="s">
        <v>1179</v>
      </c>
      <c r="O1751" s="29" t="s">
        <v>1180</v>
      </c>
      <c r="P1751" s="36">
        <v>44454</v>
      </c>
      <c r="Q1751" s="31">
        <v>30028</v>
      </c>
      <c r="R1751" s="33">
        <v>197.51</v>
      </c>
    </row>
    <row r="1752" spans="1:18" s="30" customFormat="1" ht="15" customHeight="1">
      <c r="A1752" s="37" t="s">
        <v>356</v>
      </c>
      <c r="B1752" s="26" t="s">
        <v>1540</v>
      </c>
      <c r="C1752" s="39">
        <v>49</v>
      </c>
      <c r="D1752" s="40" t="s">
        <v>2530</v>
      </c>
      <c r="E1752" s="38" t="s">
        <v>3</v>
      </c>
      <c r="F1752" s="38" t="s">
        <v>12</v>
      </c>
      <c r="G1752" s="32">
        <v>0</v>
      </c>
      <c r="H1752" s="32">
        <v>0</v>
      </c>
      <c r="I1752" s="32">
        <v>134731560.27250934</v>
      </c>
      <c r="J1752" s="35">
        <f>+G1752-H1752+I1752</f>
        <v>134731560.27250934</v>
      </c>
      <c r="K1752" s="28">
        <v>0</v>
      </c>
      <c r="L1752" s="32">
        <v>0</v>
      </c>
      <c r="M1752" s="35">
        <f>+J1752+L1752</f>
        <v>134731560.27250934</v>
      </c>
      <c r="N1752" s="28" t="s">
        <v>2462</v>
      </c>
      <c r="O1752" s="29" t="s">
        <v>2463</v>
      </c>
      <c r="P1752" s="36">
        <v>42775</v>
      </c>
      <c r="Q1752" s="31">
        <v>26302.92</v>
      </c>
      <c r="R1752" s="33">
        <f>M1752/Q1752</f>
        <v>5122.3043020512305</v>
      </c>
    </row>
    <row r="1753" spans="1:18" s="30" customFormat="1" ht="15" customHeight="1">
      <c r="A1753" s="37" t="s">
        <v>39</v>
      </c>
      <c r="B1753" s="26" t="s">
        <v>1658</v>
      </c>
      <c r="C1753" s="39">
        <v>49</v>
      </c>
      <c r="D1753" s="40" t="s">
        <v>2531</v>
      </c>
      <c r="E1753" s="38" t="s">
        <v>3</v>
      </c>
      <c r="F1753" s="38" t="s">
        <v>10</v>
      </c>
      <c r="G1753" s="32">
        <v>55431357</v>
      </c>
      <c r="H1753" s="32">
        <v>2063065</v>
      </c>
      <c r="I1753" s="52">
        <v>0</v>
      </c>
      <c r="J1753" s="35">
        <f>+G1753-H1753+I1753</f>
        <v>53368292</v>
      </c>
      <c r="K1753" s="28">
        <v>0</v>
      </c>
      <c r="L1753" s="32">
        <v>0</v>
      </c>
      <c r="M1753" s="35">
        <f>+J1753+L1753</f>
        <v>53368292</v>
      </c>
      <c r="N1753" s="28" t="s">
        <v>2381</v>
      </c>
      <c r="O1753" s="29" t="s">
        <v>2407</v>
      </c>
      <c r="P1753" s="36">
        <v>43277</v>
      </c>
      <c r="Q1753" s="31">
        <v>27147.919999999998</v>
      </c>
      <c r="R1753" s="33">
        <f>M1753/Q1753</f>
        <v>1965.8335518890583</v>
      </c>
    </row>
    <row r="1754" spans="1:18" s="30" customFormat="1" ht="15" customHeight="1">
      <c r="A1754" s="37" t="s">
        <v>52</v>
      </c>
      <c r="B1754" s="26" t="s">
        <v>555</v>
      </c>
      <c r="C1754" s="39">
        <v>49</v>
      </c>
      <c r="D1754" s="40" t="s">
        <v>2532</v>
      </c>
      <c r="E1754" s="38" t="s">
        <v>4</v>
      </c>
      <c r="F1754" s="38" t="s">
        <v>12</v>
      </c>
      <c r="G1754" s="32">
        <v>4399317</v>
      </c>
      <c r="H1754" s="32">
        <v>1801145</v>
      </c>
      <c r="I1754" s="32">
        <v>1700884</v>
      </c>
      <c r="J1754" s="35">
        <f>+G1754-H1754+I1754</f>
        <v>4299056</v>
      </c>
      <c r="K1754" s="28">
        <v>0</v>
      </c>
      <c r="L1754" s="32">
        <v>0</v>
      </c>
      <c r="M1754" s="35">
        <f>+J1754+L1754</f>
        <v>4299056</v>
      </c>
      <c r="N1754" s="28" t="s">
        <v>1160</v>
      </c>
      <c r="O1754" s="29" t="s">
        <v>1161</v>
      </c>
      <c r="P1754" s="36">
        <v>42689</v>
      </c>
      <c r="Q1754" s="31">
        <v>26287.25</v>
      </c>
      <c r="R1754" s="33">
        <f>M1754/Q1754</f>
        <v>163.54148874454347</v>
      </c>
    </row>
    <row r="1755" spans="1:18" s="30" customFormat="1" ht="15" customHeight="1">
      <c r="A1755" s="37" t="s">
        <v>166</v>
      </c>
      <c r="B1755" s="26" t="s">
        <v>167</v>
      </c>
      <c r="C1755" s="39" t="s">
        <v>2533</v>
      </c>
      <c r="D1755" s="40" t="s">
        <v>2534</v>
      </c>
      <c r="E1755" s="38" t="s">
        <v>3</v>
      </c>
      <c r="F1755" s="38" t="s">
        <v>10</v>
      </c>
      <c r="G1755" s="32">
        <v>18067292</v>
      </c>
      <c r="H1755" s="32">
        <v>0</v>
      </c>
      <c r="I1755" s="52">
        <v>0</v>
      </c>
      <c r="J1755" s="35">
        <f>+G1755-H1755+I1755</f>
        <v>18067292</v>
      </c>
      <c r="K1755" s="27" t="s">
        <v>170</v>
      </c>
      <c r="L1755" s="32">
        <v>0</v>
      </c>
      <c r="M1755" s="35">
        <f>+J1755+L1755</f>
        <v>18067292</v>
      </c>
      <c r="N1755" s="28" t="s">
        <v>171</v>
      </c>
      <c r="O1755" s="29" t="s">
        <v>642</v>
      </c>
      <c r="P1755" s="36">
        <v>44341</v>
      </c>
      <c r="Q1755" s="31">
        <v>29513.759999999998</v>
      </c>
      <c r="R1755" s="33">
        <v>612</v>
      </c>
    </row>
    <row r="1756" spans="1:18" s="30" customFormat="1" ht="15" customHeight="1">
      <c r="A1756" s="37" t="s">
        <v>688</v>
      </c>
      <c r="B1756" s="26" t="s">
        <v>1728</v>
      </c>
      <c r="C1756" s="39">
        <v>49</v>
      </c>
      <c r="D1756" s="40" t="s">
        <v>2535</v>
      </c>
      <c r="E1756" s="38" t="s">
        <v>4</v>
      </c>
      <c r="F1756" s="38" t="s">
        <v>12</v>
      </c>
      <c r="G1756" s="32">
        <v>53074.38</v>
      </c>
      <c r="H1756" s="32">
        <v>24980.48</v>
      </c>
      <c r="I1756" s="32">
        <v>41126.400000000001</v>
      </c>
      <c r="J1756" s="35">
        <f>+G1756-H1756+I1756</f>
        <v>69220.3</v>
      </c>
      <c r="K1756" s="28">
        <v>0</v>
      </c>
      <c r="L1756" s="32">
        <v>0</v>
      </c>
      <c r="M1756" s="35">
        <f>+J1756+L1756</f>
        <v>69220.3</v>
      </c>
      <c r="N1756" s="28" t="s">
        <v>2343</v>
      </c>
      <c r="O1756" s="29" t="s">
        <v>2344</v>
      </c>
      <c r="P1756" s="36">
        <v>42810</v>
      </c>
      <c r="Q1756" s="31">
        <v>26446.36</v>
      </c>
      <c r="R1756" s="33">
        <f>M1756/Q1756</f>
        <v>2.617384774312987</v>
      </c>
    </row>
    <row r="1757" spans="1:18" s="30" customFormat="1" ht="15" customHeight="1">
      <c r="A1757" s="37" t="s">
        <v>391</v>
      </c>
      <c r="B1757" s="26" t="s">
        <v>392</v>
      </c>
      <c r="C1757" s="39">
        <v>48</v>
      </c>
      <c r="D1757" s="40" t="s">
        <v>2536</v>
      </c>
      <c r="E1757" s="38" t="s">
        <v>4</v>
      </c>
      <c r="F1757" s="38" t="s">
        <v>10</v>
      </c>
      <c r="G1757" s="32">
        <v>0</v>
      </c>
      <c r="H1757" s="32">
        <v>515513</v>
      </c>
      <c r="I1757" s="52">
        <v>0</v>
      </c>
      <c r="J1757" s="35">
        <f>+G1757-H1757+I1757</f>
        <v>-515513</v>
      </c>
      <c r="K1757" s="28">
        <v>0</v>
      </c>
      <c r="L1757" s="32">
        <v>0</v>
      </c>
      <c r="M1757" s="35">
        <f>+J1757+L1757</f>
        <v>-515513</v>
      </c>
      <c r="N1757" s="28" t="s">
        <v>2449</v>
      </c>
      <c r="O1757" s="29" t="s">
        <v>2450</v>
      </c>
      <c r="P1757" s="36">
        <v>43427</v>
      </c>
      <c r="Q1757" s="31">
        <v>27507.17</v>
      </c>
      <c r="R1757" s="33">
        <f>M1757/Q1757</f>
        <v>-18.741040972226514</v>
      </c>
    </row>
    <row r="1758" spans="1:18" s="30" customFormat="1" ht="15" customHeight="1">
      <c r="A1758" s="37" t="s">
        <v>874</v>
      </c>
      <c r="B1758" s="26" t="s">
        <v>875</v>
      </c>
      <c r="C1758" s="39">
        <v>48</v>
      </c>
      <c r="D1758" s="40" t="s">
        <v>2537</v>
      </c>
      <c r="E1758" s="38" t="s">
        <v>3</v>
      </c>
      <c r="F1758" s="38" t="s">
        <v>10</v>
      </c>
      <c r="G1758" s="32">
        <v>1226909</v>
      </c>
      <c r="H1758" s="32"/>
      <c r="I1758" s="32"/>
      <c r="J1758" s="35">
        <f>+G1758-H1758+I1758</f>
        <v>1226909</v>
      </c>
      <c r="K1758" s="28">
        <v>0</v>
      </c>
      <c r="L1758" s="32">
        <v>0</v>
      </c>
      <c r="M1758" s="35">
        <f>+J1758+L1758</f>
        <v>1226909</v>
      </c>
      <c r="N1758" s="28" t="s">
        <v>1179</v>
      </c>
      <c r="O1758" s="29" t="s">
        <v>1180</v>
      </c>
      <c r="P1758" s="36">
        <v>44454</v>
      </c>
      <c r="Q1758" s="31">
        <v>30028</v>
      </c>
      <c r="R1758" s="33">
        <v>40.86</v>
      </c>
    </row>
    <row r="1759" spans="1:18" s="30" customFormat="1" ht="15" customHeight="1">
      <c r="A1759" s="37" t="s">
        <v>356</v>
      </c>
      <c r="B1759" s="26" t="s">
        <v>1540</v>
      </c>
      <c r="C1759" s="39">
        <v>48</v>
      </c>
      <c r="D1759" s="40" t="s">
        <v>2538</v>
      </c>
      <c r="E1759" s="38" t="s">
        <v>3</v>
      </c>
      <c r="F1759" s="38" t="s">
        <v>16</v>
      </c>
      <c r="G1759" s="32">
        <v>21533722.706175625</v>
      </c>
      <c r="H1759" s="32">
        <v>0</v>
      </c>
      <c r="I1759" s="32">
        <v>267286716</v>
      </c>
      <c r="J1759" s="35">
        <f>+G1759-H1759+I1759</f>
        <v>288820438.70617563</v>
      </c>
      <c r="K1759" s="28">
        <v>0</v>
      </c>
      <c r="L1759" s="32">
        <v>0</v>
      </c>
      <c r="M1759" s="35">
        <f>+J1759+L1759</f>
        <v>288820438.70617563</v>
      </c>
      <c r="N1759" s="28" t="s">
        <v>2462</v>
      </c>
      <c r="O1759" s="29" t="s">
        <v>2463</v>
      </c>
      <c r="P1759" s="36">
        <v>42775</v>
      </c>
      <c r="Q1759" s="31">
        <v>26302.92</v>
      </c>
      <c r="R1759" s="33">
        <f>M1759/Q1759</f>
        <v>10980.546597342638</v>
      </c>
    </row>
    <row r="1760" spans="1:18" s="30" customFormat="1" ht="15" customHeight="1">
      <c r="A1760" s="37" t="s">
        <v>39</v>
      </c>
      <c r="B1760" s="26" t="s">
        <v>1658</v>
      </c>
      <c r="C1760" s="39">
        <v>48</v>
      </c>
      <c r="D1760" s="40" t="s">
        <v>2539</v>
      </c>
      <c r="E1760" s="38" t="s">
        <v>4</v>
      </c>
      <c r="F1760" s="38" t="s">
        <v>11</v>
      </c>
      <c r="G1760" s="32">
        <v>118853066.59981029</v>
      </c>
      <c r="H1760" s="32">
        <v>163992452.1953088</v>
      </c>
      <c r="I1760" s="52">
        <v>0</v>
      </c>
      <c r="J1760" s="35">
        <f>+G1760-H1760+I1760</f>
        <v>-45139385.595498517</v>
      </c>
      <c r="K1760" s="28">
        <v>0</v>
      </c>
      <c r="L1760" s="32">
        <v>0</v>
      </c>
      <c r="M1760" s="35">
        <f>+J1760+L1760</f>
        <v>-45139385.595498517</v>
      </c>
      <c r="N1760" s="28" t="s">
        <v>2381</v>
      </c>
      <c r="O1760" s="29" t="s">
        <v>2382</v>
      </c>
      <c r="P1760" s="36">
        <v>43277</v>
      </c>
      <c r="Q1760" s="31">
        <v>27131.66</v>
      </c>
      <c r="R1760" s="33">
        <f>M1760/Q1760</f>
        <v>-1663.7163223886234</v>
      </c>
    </row>
    <row r="1761" spans="1:18" s="30" customFormat="1" ht="15" customHeight="1">
      <c r="A1761" s="37" t="s">
        <v>52</v>
      </c>
      <c r="B1761" s="26" t="s">
        <v>555</v>
      </c>
      <c r="C1761" s="39">
        <v>48</v>
      </c>
      <c r="D1761" s="40" t="s">
        <v>2540</v>
      </c>
      <c r="E1761" s="38" t="s">
        <v>4</v>
      </c>
      <c r="F1761" s="38" t="s">
        <v>12</v>
      </c>
      <c r="G1761" s="32">
        <v>6043921</v>
      </c>
      <c r="H1761" s="32">
        <v>2526531</v>
      </c>
      <c r="I1761" s="32">
        <v>314116</v>
      </c>
      <c r="J1761" s="35">
        <f>+G1761-H1761+I1761</f>
        <v>3831506</v>
      </c>
      <c r="K1761" s="28">
        <v>0</v>
      </c>
      <c r="L1761" s="32">
        <v>0</v>
      </c>
      <c r="M1761" s="35">
        <f>+J1761+L1761</f>
        <v>3831506</v>
      </c>
      <c r="N1761" s="28" t="s">
        <v>1160</v>
      </c>
      <c r="O1761" s="29" t="s">
        <v>1161</v>
      </c>
      <c r="P1761" s="36">
        <v>42689</v>
      </c>
      <c r="Q1761" s="31">
        <v>26287.25</v>
      </c>
      <c r="R1761" s="33">
        <f>M1761/Q1761</f>
        <v>145.75529962244053</v>
      </c>
    </row>
    <row r="1762" spans="1:18" s="30" customFormat="1" ht="15" customHeight="1">
      <c r="A1762" s="37" t="s">
        <v>688</v>
      </c>
      <c r="B1762" s="26" t="s">
        <v>1728</v>
      </c>
      <c r="C1762" s="39">
        <v>48</v>
      </c>
      <c r="D1762" s="40" t="s">
        <v>2541</v>
      </c>
      <c r="E1762" s="38" t="s">
        <v>4</v>
      </c>
      <c r="F1762" s="38" t="s">
        <v>12</v>
      </c>
      <c r="G1762" s="32">
        <v>12642.56</v>
      </c>
      <c r="H1762" s="32">
        <v>697646.92</v>
      </c>
      <c r="I1762" s="52">
        <v>0</v>
      </c>
      <c r="J1762" s="35">
        <f>+G1762-H1762+I1762</f>
        <v>-685004.36</v>
      </c>
      <c r="K1762" s="28">
        <v>0</v>
      </c>
      <c r="L1762" s="32">
        <v>0</v>
      </c>
      <c r="M1762" s="35">
        <f>+J1762+L1762</f>
        <v>-685004.36</v>
      </c>
      <c r="N1762" s="28" t="s">
        <v>2343</v>
      </c>
      <c r="O1762" s="29" t="s">
        <v>2344</v>
      </c>
      <c r="P1762" s="36">
        <v>42810</v>
      </c>
      <c r="Q1762" s="31">
        <v>26446.36</v>
      </c>
      <c r="R1762" s="33">
        <f>M1762/Q1762</f>
        <v>-25.901649981320681</v>
      </c>
    </row>
    <row r="1763" spans="1:18" s="30" customFormat="1" ht="15" customHeight="1">
      <c r="A1763" s="37" t="s">
        <v>293</v>
      </c>
      <c r="B1763" s="26" t="s">
        <v>294</v>
      </c>
      <c r="C1763" s="39">
        <v>47</v>
      </c>
      <c r="D1763" s="40" t="s">
        <v>2542</v>
      </c>
      <c r="E1763" s="38" t="s">
        <v>3</v>
      </c>
      <c r="F1763" s="38" t="s">
        <v>10</v>
      </c>
      <c r="G1763" s="32">
        <v>21267518</v>
      </c>
      <c r="H1763" s="32">
        <v>4360696</v>
      </c>
      <c r="I1763" s="52">
        <v>0</v>
      </c>
      <c r="J1763" s="35">
        <f>+G1763-H1763+I1763</f>
        <v>16906822</v>
      </c>
      <c r="K1763" s="28">
        <v>0</v>
      </c>
      <c r="L1763" s="32">
        <v>0</v>
      </c>
      <c r="M1763" s="35">
        <f>+J1763+L1763</f>
        <v>16906822</v>
      </c>
      <c r="N1763" s="28" t="s">
        <v>1830</v>
      </c>
      <c r="O1763" s="29" t="s">
        <v>1831</v>
      </c>
      <c r="P1763" s="36">
        <v>43878</v>
      </c>
      <c r="Q1763" s="31">
        <v>28393.3</v>
      </c>
      <c r="R1763" s="33">
        <f>M1763/Q1763</f>
        <v>595.45110994495178</v>
      </c>
    </row>
    <row r="1764" spans="1:18" s="30" customFormat="1" ht="15" customHeight="1">
      <c r="A1764" s="37" t="s">
        <v>874</v>
      </c>
      <c r="B1764" s="26" t="s">
        <v>875</v>
      </c>
      <c r="C1764" s="39">
        <v>47</v>
      </c>
      <c r="D1764" s="40" t="s">
        <v>2543</v>
      </c>
      <c r="E1764" s="38" t="s">
        <v>3</v>
      </c>
      <c r="F1764" s="38" t="s">
        <v>10</v>
      </c>
      <c r="G1764" s="32">
        <v>48328251</v>
      </c>
      <c r="H1764" s="32">
        <v>43180467</v>
      </c>
      <c r="I1764" s="52">
        <v>0</v>
      </c>
      <c r="J1764" s="35">
        <f>+G1764-H1764+I1764</f>
        <v>5147784</v>
      </c>
      <c r="K1764" s="28">
        <v>0</v>
      </c>
      <c r="L1764" s="32">
        <v>0</v>
      </c>
      <c r="M1764" s="35">
        <f>+J1764+L1764</f>
        <v>5147784</v>
      </c>
      <c r="N1764" s="28" t="s">
        <v>2048</v>
      </c>
      <c r="O1764" s="29" t="s">
        <v>2049</v>
      </c>
      <c r="P1764" s="36">
        <v>44379</v>
      </c>
      <c r="Q1764" s="31">
        <v>29716</v>
      </c>
      <c r="R1764" s="33">
        <v>173.23</v>
      </c>
    </row>
    <row r="1765" spans="1:18" s="30" customFormat="1" ht="15" customHeight="1">
      <c r="A1765" s="37" t="s">
        <v>356</v>
      </c>
      <c r="B1765" s="26" t="s">
        <v>1540</v>
      </c>
      <c r="C1765" s="39">
        <v>47</v>
      </c>
      <c r="D1765" s="40" t="s">
        <v>2544</v>
      </c>
      <c r="E1765" s="38" t="s">
        <v>3</v>
      </c>
      <c r="F1765" s="38" t="s">
        <v>13</v>
      </c>
      <c r="G1765" s="32">
        <v>0</v>
      </c>
      <c r="H1765" s="32">
        <v>303794952.28747213</v>
      </c>
      <c r="I1765" s="52">
        <v>0</v>
      </c>
      <c r="J1765" s="35">
        <f>+G1765-H1765+I1765</f>
        <v>-303794952.28747213</v>
      </c>
      <c r="K1765" s="28">
        <v>0</v>
      </c>
      <c r="L1765" s="32">
        <v>0</v>
      </c>
      <c r="M1765" s="35">
        <f>+J1765+L1765</f>
        <v>-303794952.28747213</v>
      </c>
      <c r="N1765" s="28" t="s">
        <v>2462</v>
      </c>
      <c r="O1765" s="29" t="s">
        <v>2463</v>
      </c>
      <c r="P1765" s="36">
        <v>42775</v>
      </c>
      <c r="Q1765" s="31">
        <v>26302.92</v>
      </c>
      <c r="R1765" s="33">
        <f>M1765/Q1765</f>
        <v>-11549.856528760767</v>
      </c>
    </row>
    <row r="1766" spans="1:18" s="30" customFormat="1" ht="15" customHeight="1">
      <c r="A1766" s="37" t="s">
        <v>39</v>
      </c>
      <c r="B1766" s="26" t="s">
        <v>1658</v>
      </c>
      <c r="C1766" s="39">
        <v>47</v>
      </c>
      <c r="D1766" s="40" t="s">
        <v>2545</v>
      </c>
      <c r="E1766" s="38" t="s">
        <v>4</v>
      </c>
      <c r="F1766" s="38" t="s">
        <v>11</v>
      </c>
      <c r="G1766" s="32">
        <v>0</v>
      </c>
      <c r="H1766" s="32">
        <v>15609825</v>
      </c>
      <c r="I1766" s="52">
        <v>0</v>
      </c>
      <c r="J1766" s="35">
        <f>+G1766-H1766+I1766</f>
        <v>-15609825</v>
      </c>
      <c r="K1766" s="28">
        <v>0</v>
      </c>
      <c r="L1766" s="32">
        <v>0</v>
      </c>
      <c r="M1766" s="35">
        <f>+J1766+L1766</f>
        <v>-15609825</v>
      </c>
      <c r="N1766" s="28" t="s">
        <v>2381</v>
      </c>
      <c r="O1766" s="29" t="s">
        <v>2407</v>
      </c>
      <c r="P1766" s="36">
        <v>43277</v>
      </c>
      <c r="Q1766" s="31">
        <v>27147.919999999998</v>
      </c>
      <c r="R1766" s="33">
        <f>M1766/Q1766</f>
        <v>-574.99156473129437</v>
      </c>
    </row>
    <row r="1767" spans="1:18" s="30" customFormat="1" ht="15" customHeight="1">
      <c r="A1767" s="37" t="s">
        <v>52</v>
      </c>
      <c r="B1767" s="26" t="s">
        <v>555</v>
      </c>
      <c r="C1767" s="39">
        <v>47</v>
      </c>
      <c r="D1767" s="40" t="s">
        <v>2546</v>
      </c>
      <c r="E1767" s="38" t="s">
        <v>4</v>
      </c>
      <c r="F1767" s="38" t="s">
        <v>12</v>
      </c>
      <c r="G1767" s="32">
        <v>35967003</v>
      </c>
      <c r="H1767" s="32">
        <v>29382207</v>
      </c>
      <c r="I1767" s="32">
        <v>2948864</v>
      </c>
      <c r="J1767" s="35">
        <f>+G1767-H1767+I1767</f>
        <v>9533660</v>
      </c>
      <c r="K1767" s="28">
        <v>0</v>
      </c>
      <c r="L1767" s="32">
        <v>0</v>
      </c>
      <c r="M1767" s="35">
        <f>+J1767+L1767</f>
        <v>9533660</v>
      </c>
      <c r="N1767" s="28" t="s">
        <v>1160</v>
      </c>
      <c r="O1767" s="29" t="s">
        <v>1161</v>
      </c>
      <c r="P1767" s="36">
        <v>42689</v>
      </c>
      <c r="Q1767" s="31">
        <v>26287.25</v>
      </c>
      <c r="R1767" s="33">
        <f>M1767/Q1767</f>
        <v>362.67239821586509</v>
      </c>
    </row>
    <row r="1768" spans="1:18" s="30" customFormat="1" ht="15" customHeight="1">
      <c r="A1768" s="37" t="s">
        <v>52</v>
      </c>
      <c r="B1768" s="26" t="s">
        <v>195</v>
      </c>
      <c r="C1768" s="39">
        <v>47</v>
      </c>
      <c r="D1768" s="40" t="s">
        <v>2547</v>
      </c>
      <c r="E1768" s="38" t="s">
        <v>3</v>
      </c>
      <c r="F1768" s="38" t="s">
        <v>10</v>
      </c>
      <c r="G1768" s="32">
        <v>724703</v>
      </c>
      <c r="H1768" s="32">
        <v>0</v>
      </c>
      <c r="I1768" s="32">
        <v>32941137</v>
      </c>
      <c r="J1768" s="35">
        <f>+G1768-H1768+I1768</f>
        <v>33665840</v>
      </c>
      <c r="K1768" s="28">
        <v>0</v>
      </c>
      <c r="L1768" s="32">
        <v>0</v>
      </c>
      <c r="M1768" s="35">
        <f>+J1768+L1768</f>
        <v>33665840</v>
      </c>
      <c r="N1768" s="28" t="s">
        <v>2512</v>
      </c>
      <c r="O1768" s="29" t="s">
        <v>2513</v>
      </c>
      <c r="P1768" s="36">
        <v>44301</v>
      </c>
      <c r="Q1768" s="31">
        <v>29662.41</v>
      </c>
      <c r="R1768" s="33">
        <f>M1768/Q1768</f>
        <v>1134.966444061693</v>
      </c>
    </row>
    <row r="1769" spans="1:18" s="30" customFormat="1" ht="15" customHeight="1">
      <c r="A1769" s="37" t="s">
        <v>391</v>
      </c>
      <c r="B1769" s="26" t="s">
        <v>392</v>
      </c>
      <c r="C1769" s="39">
        <v>46</v>
      </c>
      <c r="D1769" s="40" t="s">
        <v>2548</v>
      </c>
      <c r="E1769" s="38" t="s">
        <v>3</v>
      </c>
      <c r="F1769" s="38" t="s">
        <v>11</v>
      </c>
      <c r="G1769" s="32">
        <v>26350362</v>
      </c>
      <c r="H1769" s="32">
        <v>34580137</v>
      </c>
      <c r="I1769" s="32">
        <v>35715963</v>
      </c>
      <c r="J1769" s="35">
        <f>+G1769-H1769+I1769</f>
        <v>27486188</v>
      </c>
      <c r="K1769" s="28">
        <v>0</v>
      </c>
      <c r="L1769" s="32">
        <v>0</v>
      </c>
      <c r="M1769" s="35">
        <f>+J1769+L1769</f>
        <v>27486188</v>
      </c>
      <c r="N1769" s="28" t="s">
        <v>2549</v>
      </c>
      <c r="O1769" s="29" t="s">
        <v>2550</v>
      </c>
      <c r="P1769" s="36">
        <v>43269</v>
      </c>
      <c r="Q1769" s="31">
        <v>27126.25</v>
      </c>
      <c r="R1769" s="33">
        <f>M1769/Q1769</f>
        <v>1013.2689922123404</v>
      </c>
    </row>
    <row r="1770" spans="1:18" s="30" customFormat="1" ht="15" customHeight="1">
      <c r="A1770" s="37" t="s">
        <v>293</v>
      </c>
      <c r="B1770" s="26" t="s">
        <v>294</v>
      </c>
      <c r="C1770" s="39">
        <v>46</v>
      </c>
      <c r="D1770" s="40" t="s">
        <v>2551</v>
      </c>
      <c r="E1770" s="38" t="s">
        <v>3</v>
      </c>
      <c r="F1770" s="38" t="s">
        <v>10</v>
      </c>
      <c r="G1770" s="32">
        <v>3924864</v>
      </c>
      <c r="H1770" s="32">
        <v>1158925</v>
      </c>
      <c r="I1770" s="52">
        <v>0</v>
      </c>
      <c r="J1770" s="35">
        <f>+G1770-H1770+I1770</f>
        <v>2765939</v>
      </c>
      <c r="K1770" s="28">
        <v>0</v>
      </c>
      <c r="L1770" s="32">
        <v>0</v>
      </c>
      <c r="M1770" s="35">
        <f>+J1770+L1770</f>
        <v>2765939</v>
      </c>
      <c r="N1770" s="28" t="s">
        <v>1626</v>
      </c>
      <c r="O1770" s="29" t="s">
        <v>1627</v>
      </c>
      <c r="P1770" s="36">
        <v>43886</v>
      </c>
      <c r="Q1770" s="31">
        <v>28440.19</v>
      </c>
      <c r="R1770" s="33">
        <f>M1770/Q1770</f>
        <v>97.254589368073852</v>
      </c>
    </row>
    <row r="1771" spans="1:18" s="30" customFormat="1" ht="15" customHeight="1">
      <c r="A1771" s="37" t="s">
        <v>356</v>
      </c>
      <c r="B1771" s="26" t="s">
        <v>1841</v>
      </c>
      <c r="C1771" s="39">
        <v>46</v>
      </c>
      <c r="D1771" s="40" t="s">
        <v>2552</v>
      </c>
      <c r="E1771" s="38" t="s">
        <v>6</v>
      </c>
      <c r="F1771" s="38" t="s">
        <v>11</v>
      </c>
      <c r="G1771" s="32">
        <v>369922749</v>
      </c>
      <c r="H1771" s="32">
        <v>321080182</v>
      </c>
      <c r="I1771" s="32">
        <v>7234567</v>
      </c>
      <c r="J1771" s="35">
        <f>+G1771-H1771+I1771</f>
        <v>56077134</v>
      </c>
      <c r="K1771" s="28">
        <v>0</v>
      </c>
      <c r="L1771" s="32">
        <v>0</v>
      </c>
      <c r="M1771" s="35">
        <f>+J1771+L1771</f>
        <v>56077134</v>
      </c>
      <c r="N1771" s="28" t="s">
        <v>2553</v>
      </c>
      <c r="O1771" s="29" t="s">
        <v>2554</v>
      </c>
      <c r="P1771" s="36">
        <v>44026</v>
      </c>
      <c r="Q1771" s="31">
        <v>28683.17</v>
      </c>
      <c r="R1771" s="33">
        <f>M1771/Q1771</f>
        <v>1955.0535732277849</v>
      </c>
    </row>
    <row r="1772" spans="1:18" s="30" customFormat="1" ht="15" customHeight="1">
      <c r="A1772" s="37" t="s">
        <v>356</v>
      </c>
      <c r="B1772" s="26" t="s">
        <v>1540</v>
      </c>
      <c r="C1772" s="39">
        <v>46</v>
      </c>
      <c r="D1772" s="40" t="s">
        <v>2555</v>
      </c>
      <c r="E1772" s="38" t="s">
        <v>3</v>
      </c>
      <c r="F1772" s="38" t="s">
        <v>15</v>
      </c>
      <c r="G1772" s="32">
        <v>930331.86122145224</v>
      </c>
      <c r="H1772" s="32">
        <v>0</v>
      </c>
      <c r="I1772" s="52">
        <v>0</v>
      </c>
      <c r="J1772" s="35">
        <f>+G1772-H1772+I1772</f>
        <v>930331.86122145224</v>
      </c>
      <c r="K1772" s="28">
        <v>0</v>
      </c>
      <c r="L1772" s="32">
        <v>0</v>
      </c>
      <c r="M1772" s="35">
        <f>+J1772+L1772</f>
        <v>930331.86122145224</v>
      </c>
      <c r="N1772" s="28" t="s">
        <v>2462</v>
      </c>
      <c r="O1772" s="29" t="s">
        <v>2463</v>
      </c>
      <c r="P1772" s="36">
        <v>42775</v>
      </c>
      <c r="Q1772" s="31">
        <v>26302.92</v>
      </c>
      <c r="R1772" s="33">
        <f>M1772/Q1772</f>
        <v>35.369908026236338</v>
      </c>
    </row>
    <row r="1773" spans="1:18" s="30" customFormat="1" ht="15" customHeight="1">
      <c r="A1773" s="37" t="s">
        <v>39</v>
      </c>
      <c r="B1773" s="26" t="s">
        <v>1658</v>
      </c>
      <c r="C1773" s="39">
        <v>46</v>
      </c>
      <c r="D1773" s="40" t="s">
        <v>2556</v>
      </c>
      <c r="E1773" s="38" t="s">
        <v>4</v>
      </c>
      <c r="F1773" s="38" t="s">
        <v>11</v>
      </c>
      <c r="G1773" s="32">
        <v>796169086.97112823</v>
      </c>
      <c r="H1773" s="32">
        <v>783783124.32409024</v>
      </c>
      <c r="I1773" s="32">
        <v>891438.99999999988</v>
      </c>
      <c r="J1773" s="35">
        <f>+G1773-H1773+I1773</f>
        <v>13277401.647037983</v>
      </c>
      <c r="K1773" s="28">
        <v>0</v>
      </c>
      <c r="L1773" s="32">
        <v>0</v>
      </c>
      <c r="M1773" s="35">
        <f>+J1773+L1773</f>
        <v>13277401.647037983</v>
      </c>
      <c r="N1773" s="28" t="s">
        <v>2381</v>
      </c>
      <c r="O1773" s="29" t="s">
        <v>2382</v>
      </c>
      <c r="P1773" s="36">
        <v>43277</v>
      </c>
      <c r="Q1773" s="31">
        <v>27131.66</v>
      </c>
      <c r="R1773" s="33">
        <f>M1773/Q1773</f>
        <v>489.36930681860173</v>
      </c>
    </row>
    <row r="1774" spans="1:18" s="30" customFormat="1" ht="15" customHeight="1">
      <c r="A1774" s="37" t="s">
        <v>52</v>
      </c>
      <c r="B1774" s="26" t="s">
        <v>555</v>
      </c>
      <c r="C1774" s="39">
        <v>46</v>
      </c>
      <c r="D1774" s="40" t="s">
        <v>2557</v>
      </c>
      <c r="E1774" s="38" t="s">
        <v>4</v>
      </c>
      <c r="F1774" s="38" t="s">
        <v>15</v>
      </c>
      <c r="G1774" s="32">
        <v>0</v>
      </c>
      <c r="H1774" s="32">
        <v>25827868</v>
      </c>
      <c r="I1774" s="52">
        <v>0</v>
      </c>
      <c r="J1774" s="35">
        <f>+G1774-H1774+I1774</f>
        <v>-25827868</v>
      </c>
      <c r="K1774" s="28">
        <v>0</v>
      </c>
      <c r="L1774" s="32">
        <v>0</v>
      </c>
      <c r="M1774" s="35">
        <f>+J1774+L1774</f>
        <v>-25827868</v>
      </c>
      <c r="N1774" s="28" t="s">
        <v>1160</v>
      </c>
      <c r="O1774" s="29" t="s">
        <v>1161</v>
      </c>
      <c r="P1774" s="36">
        <v>42689</v>
      </c>
      <c r="Q1774" s="31">
        <v>26287.25</v>
      </c>
      <c r="R1774" s="33">
        <f>M1774/Q1774</f>
        <v>-982.52453185479658</v>
      </c>
    </row>
    <row r="1775" spans="1:18" s="30" customFormat="1" ht="15" customHeight="1">
      <c r="A1775" s="37" t="s">
        <v>52</v>
      </c>
      <c r="B1775" s="26" t="s">
        <v>195</v>
      </c>
      <c r="C1775" s="39">
        <v>46</v>
      </c>
      <c r="D1775" s="40" t="s">
        <v>2558</v>
      </c>
      <c r="E1775" s="38" t="s">
        <v>3</v>
      </c>
      <c r="F1775" s="38" t="s">
        <v>13</v>
      </c>
      <c r="G1775" s="32">
        <v>27737169</v>
      </c>
      <c r="H1775" s="32">
        <v>0</v>
      </c>
      <c r="I1775" s="52">
        <v>0</v>
      </c>
      <c r="J1775" s="35">
        <f>+G1775-H1775+I1775</f>
        <v>27737169</v>
      </c>
      <c r="K1775" s="28">
        <v>0</v>
      </c>
      <c r="L1775" s="32">
        <v>0</v>
      </c>
      <c r="M1775" s="35">
        <f>+J1775+L1775</f>
        <v>27737169</v>
      </c>
      <c r="N1775" s="28" t="s">
        <v>2512</v>
      </c>
      <c r="O1775" s="29" t="s">
        <v>2513</v>
      </c>
      <c r="P1775" s="36">
        <v>44301</v>
      </c>
      <c r="Q1775" s="31">
        <v>29662.41</v>
      </c>
      <c r="R1775" s="33">
        <f>M1775/Q1775</f>
        <v>935.09492317043691</v>
      </c>
    </row>
    <row r="1776" spans="1:18" s="30" customFormat="1" ht="15" customHeight="1">
      <c r="A1776" s="37" t="s">
        <v>688</v>
      </c>
      <c r="B1776" s="26" t="s">
        <v>1728</v>
      </c>
      <c r="C1776" s="39">
        <v>46</v>
      </c>
      <c r="D1776" s="40" t="s">
        <v>2559</v>
      </c>
      <c r="E1776" s="38" t="s">
        <v>4</v>
      </c>
      <c r="F1776" s="38" t="s">
        <v>12</v>
      </c>
      <c r="G1776" s="32">
        <v>246324.29</v>
      </c>
      <c r="H1776" s="32">
        <v>196504.99</v>
      </c>
      <c r="I1776" s="32">
        <v>82252.800000000003</v>
      </c>
      <c r="J1776" s="35">
        <f>+G1776-H1776+I1776</f>
        <v>132072.10000000003</v>
      </c>
      <c r="K1776" s="28">
        <v>0</v>
      </c>
      <c r="L1776" s="32">
        <v>0</v>
      </c>
      <c r="M1776" s="35">
        <f>+J1776+L1776</f>
        <v>132072.10000000003</v>
      </c>
      <c r="N1776" s="28" t="s">
        <v>2343</v>
      </c>
      <c r="O1776" s="29" t="s">
        <v>2344</v>
      </c>
      <c r="P1776" s="36">
        <v>42810</v>
      </c>
      <c r="Q1776" s="31">
        <v>26446.36</v>
      </c>
      <c r="R1776" s="33">
        <f>M1776/Q1776</f>
        <v>4.9939613617904328</v>
      </c>
    </row>
    <row r="1777" spans="1:18" s="30" customFormat="1" ht="15" customHeight="1">
      <c r="A1777" s="37" t="s">
        <v>391</v>
      </c>
      <c r="B1777" s="26" t="s">
        <v>392</v>
      </c>
      <c r="C1777" s="39">
        <v>45</v>
      </c>
      <c r="D1777" s="40" t="s">
        <v>2560</v>
      </c>
      <c r="E1777" s="38" t="s">
        <v>4</v>
      </c>
      <c r="F1777" s="38" t="s">
        <v>11</v>
      </c>
      <c r="G1777" s="32">
        <v>1287224</v>
      </c>
      <c r="H1777" s="32">
        <v>1513540</v>
      </c>
      <c r="I1777" s="32">
        <v>348017</v>
      </c>
      <c r="J1777" s="35">
        <f>+G1777-H1777+I1777</f>
        <v>121701</v>
      </c>
      <c r="K1777" s="28">
        <v>0</v>
      </c>
      <c r="L1777" s="32">
        <v>0</v>
      </c>
      <c r="M1777" s="35">
        <f>+J1777+L1777</f>
        <v>121701</v>
      </c>
      <c r="N1777" s="28" t="s">
        <v>2449</v>
      </c>
      <c r="O1777" s="29" t="s">
        <v>2450</v>
      </c>
      <c r="P1777" s="36">
        <v>43427</v>
      </c>
      <c r="Q1777" s="31">
        <v>27507.17</v>
      </c>
      <c r="R1777" s="33">
        <f>M1777/Q1777</f>
        <v>4.4243373636764529</v>
      </c>
    </row>
    <row r="1778" spans="1:18" s="30" customFormat="1" ht="15" customHeight="1">
      <c r="A1778" s="37" t="s">
        <v>293</v>
      </c>
      <c r="B1778" s="26" t="s">
        <v>294</v>
      </c>
      <c r="C1778" s="39">
        <v>45</v>
      </c>
      <c r="D1778" s="40" t="s">
        <v>2561</v>
      </c>
      <c r="E1778" s="38" t="s">
        <v>3</v>
      </c>
      <c r="F1778" s="38" t="s">
        <v>10</v>
      </c>
      <c r="G1778" s="32">
        <v>1945997</v>
      </c>
      <c r="H1778" s="32">
        <v>5802330</v>
      </c>
      <c r="I1778" s="32">
        <v>5084164</v>
      </c>
      <c r="J1778" s="35">
        <f>+G1778-H1778+I1778</f>
        <v>1227831</v>
      </c>
      <c r="K1778" s="28">
        <v>0</v>
      </c>
      <c r="L1778" s="32">
        <v>0</v>
      </c>
      <c r="M1778" s="35">
        <f>+J1778+L1778</f>
        <v>1227831</v>
      </c>
      <c r="N1778" s="28" t="s">
        <v>1830</v>
      </c>
      <c r="O1778" s="29" t="s">
        <v>1831</v>
      </c>
      <c r="P1778" s="36">
        <v>43878</v>
      </c>
      <c r="Q1778" s="31">
        <v>28393.3</v>
      </c>
      <c r="R1778" s="33">
        <f>M1778/Q1778</f>
        <v>43.243687771410862</v>
      </c>
    </row>
    <row r="1779" spans="1:18" s="30" customFormat="1" ht="15" customHeight="1">
      <c r="A1779" s="37" t="s">
        <v>356</v>
      </c>
      <c r="B1779" s="26" t="s">
        <v>1841</v>
      </c>
      <c r="C1779" s="39">
        <v>45</v>
      </c>
      <c r="D1779" s="40" t="s">
        <v>2562</v>
      </c>
      <c r="E1779" s="38" t="s">
        <v>198</v>
      </c>
      <c r="F1779" s="38" t="s">
        <v>11</v>
      </c>
      <c r="G1779" s="32">
        <v>26139767</v>
      </c>
      <c r="H1779" s="32">
        <v>22807012</v>
      </c>
      <c r="I1779" s="52">
        <v>0</v>
      </c>
      <c r="J1779" s="35">
        <f>+G1779-H1779+I1779</f>
        <v>3332755</v>
      </c>
      <c r="K1779" s="28">
        <v>0</v>
      </c>
      <c r="L1779" s="32">
        <v>0</v>
      </c>
      <c r="M1779" s="35">
        <f>+J1779+L1779</f>
        <v>3332755</v>
      </c>
      <c r="N1779" s="28" t="s">
        <v>2553</v>
      </c>
      <c r="O1779" s="29" t="s">
        <v>2554</v>
      </c>
      <c r="P1779" s="36">
        <v>44026</v>
      </c>
      <c r="Q1779" s="31">
        <v>28683.17</v>
      </c>
      <c r="R1779" s="33">
        <f>M1779/Q1779</f>
        <v>116.19200388241607</v>
      </c>
    </row>
    <row r="1780" spans="1:18" s="30" customFormat="1" ht="15" customHeight="1">
      <c r="A1780" s="37" t="s">
        <v>356</v>
      </c>
      <c r="B1780" s="26" t="s">
        <v>1540</v>
      </c>
      <c r="C1780" s="39">
        <v>45</v>
      </c>
      <c r="D1780" s="40" t="s">
        <v>2563</v>
      </c>
      <c r="E1780" s="38" t="s">
        <v>3</v>
      </c>
      <c r="F1780" s="38" t="s">
        <v>13</v>
      </c>
      <c r="G1780" s="32">
        <v>1983054.0919020677</v>
      </c>
      <c r="H1780" s="32">
        <v>0</v>
      </c>
      <c r="I1780" s="52">
        <v>0</v>
      </c>
      <c r="J1780" s="35">
        <f>+G1780-H1780+I1780</f>
        <v>1983054.0919020677</v>
      </c>
      <c r="K1780" s="28">
        <v>0</v>
      </c>
      <c r="L1780" s="32">
        <v>0</v>
      </c>
      <c r="M1780" s="35">
        <f>+J1780+L1780</f>
        <v>1983054.0919020677</v>
      </c>
      <c r="N1780" s="28" t="s">
        <v>2462</v>
      </c>
      <c r="O1780" s="29" t="s">
        <v>2463</v>
      </c>
      <c r="P1780" s="36">
        <v>42775</v>
      </c>
      <c r="Q1780" s="31">
        <v>26302.92</v>
      </c>
      <c r="R1780" s="33">
        <f>M1780/Q1780</f>
        <v>75.392925648637785</v>
      </c>
    </row>
    <row r="1781" spans="1:18" s="30" customFormat="1" ht="15" customHeight="1">
      <c r="A1781" s="37" t="s">
        <v>39</v>
      </c>
      <c r="B1781" s="26" t="s">
        <v>1658</v>
      </c>
      <c r="C1781" s="39">
        <v>45</v>
      </c>
      <c r="D1781" s="40" t="s">
        <v>2564</v>
      </c>
      <c r="E1781" s="38" t="s">
        <v>4</v>
      </c>
      <c r="F1781" s="38" t="s">
        <v>11</v>
      </c>
      <c r="G1781" s="32">
        <v>133354468</v>
      </c>
      <c r="H1781" s="32">
        <v>141004394</v>
      </c>
      <c r="I1781" s="52">
        <v>0</v>
      </c>
      <c r="J1781" s="35">
        <f>+G1781-H1781+I1781</f>
        <v>-7649926</v>
      </c>
      <c r="K1781" s="28">
        <v>0</v>
      </c>
      <c r="L1781" s="32">
        <v>0</v>
      </c>
      <c r="M1781" s="35">
        <f>+J1781+L1781</f>
        <v>-7649926</v>
      </c>
      <c r="N1781" s="28" t="s">
        <v>2151</v>
      </c>
      <c r="O1781" s="29" t="s">
        <v>2152</v>
      </c>
      <c r="P1781" s="36">
        <v>43448</v>
      </c>
      <c r="Q1781" s="31">
        <v>27565.79</v>
      </c>
      <c r="R1781" s="33">
        <f>M1781/Q1781</f>
        <v>-277.51520997584322</v>
      </c>
    </row>
    <row r="1782" spans="1:18" s="30" customFormat="1" ht="15" customHeight="1">
      <c r="A1782" s="37" t="s">
        <v>52</v>
      </c>
      <c r="B1782" s="26" t="s">
        <v>555</v>
      </c>
      <c r="C1782" s="39">
        <v>45</v>
      </c>
      <c r="D1782" s="40" t="s">
        <v>2565</v>
      </c>
      <c r="E1782" s="38" t="s">
        <v>4</v>
      </c>
      <c r="F1782" s="38" t="s">
        <v>15</v>
      </c>
      <c r="G1782" s="32">
        <v>0</v>
      </c>
      <c r="H1782" s="32">
        <v>42659070</v>
      </c>
      <c r="I1782" s="52">
        <v>0</v>
      </c>
      <c r="J1782" s="35">
        <f>+G1782-H1782+I1782</f>
        <v>-42659070</v>
      </c>
      <c r="K1782" s="28">
        <v>0</v>
      </c>
      <c r="L1782" s="32">
        <v>0</v>
      </c>
      <c r="M1782" s="35">
        <f>+J1782+L1782</f>
        <v>-42659070</v>
      </c>
      <c r="N1782" s="28" t="s">
        <v>1160</v>
      </c>
      <c r="O1782" s="29" t="s">
        <v>1161</v>
      </c>
      <c r="P1782" s="36">
        <v>42689</v>
      </c>
      <c r="Q1782" s="31">
        <v>26287.25</v>
      </c>
      <c r="R1782" s="33">
        <f>M1782/Q1782</f>
        <v>-1622.8045915795681</v>
      </c>
    </row>
    <row r="1783" spans="1:18" s="30" customFormat="1" ht="15" customHeight="1">
      <c r="A1783" s="37" t="s">
        <v>688</v>
      </c>
      <c r="B1783" s="26" t="s">
        <v>1728</v>
      </c>
      <c r="C1783" s="39">
        <v>45</v>
      </c>
      <c r="D1783" s="40" t="s">
        <v>2566</v>
      </c>
      <c r="E1783" s="38" t="s">
        <v>6</v>
      </c>
      <c r="F1783" s="38" t="s">
        <v>20</v>
      </c>
      <c r="G1783" s="32">
        <v>90264</v>
      </c>
      <c r="H1783" s="32">
        <v>19040</v>
      </c>
      <c r="I1783" s="52">
        <v>0</v>
      </c>
      <c r="J1783" s="35">
        <f>+G1783-H1783+I1783</f>
        <v>71224</v>
      </c>
      <c r="K1783" s="28">
        <v>0</v>
      </c>
      <c r="L1783" s="32">
        <v>0</v>
      </c>
      <c r="M1783" s="35">
        <f>+J1783+L1783</f>
        <v>71224</v>
      </c>
      <c r="N1783" s="28" t="s">
        <v>2343</v>
      </c>
      <c r="O1783" s="29" t="s">
        <v>2344</v>
      </c>
      <c r="P1783" s="36">
        <v>42810</v>
      </c>
      <c r="Q1783" s="31">
        <v>26446.36</v>
      </c>
      <c r="R1783" s="33">
        <f>M1783/Q1783</f>
        <v>2.6931494542160053</v>
      </c>
    </row>
    <row r="1784" spans="1:18" s="30" customFormat="1" ht="15" customHeight="1">
      <c r="A1784" s="37" t="s">
        <v>52</v>
      </c>
      <c r="B1784" s="26" t="s">
        <v>622</v>
      </c>
      <c r="C1784" s="65">
        <v>17</v>
      </c>
      <c r="D1784" s="51" t="s">
        <v>2567</v>
      </c>
      <c r="E1784" s="38" t="s">
        <v>3</v>
      </c>
      <c r="F1784" s="38" t="s">
        <v>11</v>
      </c>
      <c r="G1784" s="52">
        <v>20611070</v>
      </c>
      <c r="H1784" s="52">
        <v>6991711</v>
      </c>
      <c r="I1784" s="52">
        <v>197908</v>
      </c>
      <c r="J1784" s="53">
        <f>+G1784-H1784+I1784</f>
        <v>13817267</v>
      </c>
      <c r="K1784" s="27">
        <v>72</v>
      </c>
      <c r="L1784" s="32">
        <v>0</v>
      </c>
      <c r="M1784" s="53">
        <f>+J1784+L1784</f>
        <v>13817267</v>
      </c>
      <c r="N1784" s="55" t="s">
        <v>2085</v>
      </c>
      <c r="O1784" s="29" t="s">
        <v>2086</v>
      </c>
      <c r="P1784" s="36">
        <v>43735</v>
      </c>
      <c r="Q1784" s="49">
        <v>28042.93</v>
      </c>
      <c r="R1784" s="33">
        <f>M1784/Q1784</f>
        <v>492.7183785717113</v>
      </c>
    </row>
    <row r="1785" spans="1:18" s="30" customFormat="1" ht="15" customHeight="1">
      <c r="A1785" s="37" t="s">
        <v>688</v>
      </c>
      <c r="B1785" s="26" t="s">
        <v>736</v>
      </c>
      <c r="C1785" s="39">
        <v>11</v>
      </c>
      <c r="D1785" s="40" t="s">
        <v>2568</v>
      </c>
      <c r="E1785" s="38" t="s">
        <v>3</v>
      </c>
      <c r="F1785" s="38" t="s">
        <v>9</v>
      </c>
      <c r="G1785" s="32">
        <v>20613735.076095</v>
      </c>
      <c r="H1785" s="32">
        <v>0</v>
      </c>
      <c r="I1785" s="32">
        <v>5673167.1282500001</v>
      </c>
      <c r="J1785" s="35">
        <f>+G1785-H1785+I1785</f>
        <v>26286902.204344999</v>
      </c>
      <c r="K1785" s="27">
        <v>59</v>
      </c>
      <c r="L1785" s="32">
        <v>0</v>
      </c>
      <c r="M1785" s="35">
        <f>+J1785+L1785</f>
        <v>26286902.204344999</v>
      </c>
      <c r="N1785" s="28" t="s">
        <v>2569</v>
      </c>
      <c r="O1785" s="29" t="s">
        <v>2570</v>
      </c>
      <c r="P1785" s="36">
        <v>43427</v>
      </c>
      <c r="Q1785" s="31">
        <v>27507.17</v>
      </c>
      <c r="R1785" s="33">
        <f>M1785/Q1785</f>
        <v>955.63819194577275</v>
      </c>
    </row>
    <row r="1786" spans="1:18" s="30" customFormat="1" ht="15" customHeight="1">
      <c r="A1786" s="37" t="s">
        <v>391</v>
      </c>
      <c r="B1786" s="26" t="s">
        <v>392</v>
      </c>
      <c r="C1786" s="39">
        <v>44</v>
      </c>
      <c r="D1786" s="40" t="s">
        <v>2571</v>
      </c>
      <c r="E1786" s="38" t="s">
        <v>6</v>
      </c>
      <c r="F1786" s="38" t="s">
        <v>13</v>
      </c>
      <c r="G1786" s="32">
        <v>6336790</v>
      </c>
      <c r="H1786" s="32">
        <v>779214</v>
      </c>
      <c r="I1786" s="32">
        <v>411970</v>
      </c>
      <c r="J1786" s="35">
        <f>+G1786-H1786+I1786</f>
        <v>5969546</v>
      </c>
      <c r="K1786" s="28">
        <v>0</v>
      </c>
      <c r="L1786" s="32">
        <v>0</v>
      </c>
      <c r="M1786" s="35">
        <f>+J1786+L1786</f>
        <v>5969546</v>
      </c>
      <c r="N1786" s="28" t="s">
        <v>2449</v>
      </c>
      <c r="O1786" s="29" t="s">
        <v>2450</v>
      </c>
      <c r="P1786" s="36">
        <v>43427</v>
      </c>
      <c r="Q1786" s="31">
        <v>27507.17</v>
      </c>
      <c r="R1786" s="33">
        <f>M1786/Q1786</f>
        <v>217.01781753630056</v>
      </c>
    </row>
    <row r="1787" spans="1:18" s="30" customFormat="1" ht="15" customHeight="1">
      <c r="A1787" s="37" t="s">
        <v>293</v>
      </c>
      <c r="B1787" s="26" t="s">
        <v>294</v>
      </c>
      <c r="C1787" s="39">
        <v>44</v>
      </c>
      <c r="D1787" s="40" t="s">
        <v>2572</v>
      </c>
      <c r="E1787" s="38" t="s">
        <v>3</v>
      </c>
      <c r="F1787" s="38" t="s">
        <v>10</v>
      </c>
      <c r="G1787" s="32">
        <v>4980452</v>
      </c>
      <c r="H1787" s="32">
        <v>0</v>
      </c>
      <c r="I1787" s="32">
        <v>2138667</v>
      </c>
      <c r="J1787" s="35">
        <f>+G1787-H1787+I1787</f>
        <v>7119119</v>
      </c>
      <c r="K1787" s="28">
        <v>0</v>
      </c>
      <c r="L1787" s="32">
        <v>0</v>
      </c>
      <c r="M1787" s="35">
        <f>+J1787+L1787</f>
        <v>7119119</v>
      </c>
      <c r="N1787" s="28" t="s">
        <v>1537</v>
      </c>
      <c r="O1787" s="29" t="s">
        <v>1538</v>
      </c>
      <c r="P1787" s="36">
        <v>43914</v>
      </c>
      <c r="Q1787" s="31">
        <v>28331.86</v>
      </c>
      <c r="R1787" s="33">
        <f>M1787/Q1787</f>
        <v>251.27608988608583</v>
      </c>
    </row>
    <row r="1788" spans="1:18" s="30" customFormat="1" ht="15" customHeight="1">
      <c r="A1788" s="37" t="s">
        <v>874</v>
      </c>
      <c r="B1788" s="26" t="s">
        <v>875</v>
      </c>
      <c r="C1788" s="39">
        <v>44</v>
      </c>
      <c r="D1788" s="40" t="s">
        <v>2573</v>
      </c>
      <c r="E1788" s="38" t="s">
        <v>198</v>
      </c>
      <c r="F1788" s="38" t="s">
        <v>20</v>
      </c>
      <c r="G1788" s="32">
        <v>24807855</v>
      </c>
      <c r="H1788" s="32">
        <v>24807855</v>
      </c>
      <c r="I1788" s="32"/>
      <c r="J1788" s="35">
        <f>+G1788-H1788+I1788</f>
        <v>0</v>
      </c>
      <c r="K1788" s="28">
        <v>0</v>
      </c>
      <c r="L1788" s="32">
        <v>0</v>
      </c>
      <c r="M1788" s="35">
        <f>+J1788+L1788</f>
        <v>0</v>
      </c>
      <c r="N1788" s="28" t="s">
        <v>1179</v>
      </c>
      <c r="O1788" s="29" t="s">
        <v>1180</v>
      </c>
      <c r="P1788" s="36">
        <v>44454</v>
      </c>
      <c r="Q1788" s="31">
        <v>30028</v>
      </c>
      <c r="R1788" s="33">
        <v>0</v>
      </c>
    </row>
    <row r="1789" spans="1:18" s="30" customFormat="1" ht="15" customHeight="1">
      <c r="A1789" s="37" t="s">
        <v>356</v>
      </c>
      <c r="B1789" s="26" t="s">
        <v>1841</v>
      </c>
      <c r="C1789" s="39">
        <v>44</v>
      </c>
      <c r="D1789" s="40" t="s">
        <v>2574</v>
      </c>
      <c r="E1789" s="38" t="s">
        <v>3</v>
      </c>
      <c r="F1789" s="38" t="s">
        <v>11</v>
      </c>
      <c r="G1789" s="32">
        <v>1426634</v>
      </c>
      <c r="H1789" s="32">
        <v>0</v>
      </c>
      <c r="I1789" s="32">
        <v>1778501</v>
      </c>
      <c r="J1789" s="35">
        <f>+G1789-H1789+I1789</f>
        <v>3205135</v>
      </c>
      <c r="K1789" s="28">
        <v>0</v>
      </c>
      <c r="L1789" s="32">
        <v>0</v>
      </c>
      <c r="M1789" s="35">
        <f>+J1789+L1789</f>
        <v>3205135</v>
      </c>
      <c r="N1789" s="28" t="s">
        <v>2553</v>
      </c>
      <c r="O1789" s="29" t="s">
        <v>2554</v>
      </c>
      <c r="P1789" s="36">
        <v>44026</v>
      </c>
      <c r="Q1789" s="31">
        <v>28683.17</v>
      </c>
      <c r="R1789" s="33">
        <f>M1789/Q1789</f>
        <v>111.74270486839495</v>
      </c>
    </row>
    <row r="1790" spans="1:18" s="30" customFormat="1" ht="15" customHeight="1">
      <c r="A1790" s="37" t="s">
        <v>166</v>
      </c>
      <c r="B1790" s="26" t="s">
        <v>167</v>
      </c>
      <c r="C1790" s="39" t="s">
        <v>2575</v>
      </c>
      <c r="D1790" s="40" t="s">
        <v>2576</v>
      </c>
      <c r="E1790" s="38" t="s">
        <v>3</v>
      </c>
      <c r="F1790" s="38" t="s">
        <v>10</v>
      </c>
      <c r="G1790" s="32">
        <v>20923556</v>
      </c>
      <c r="H1790" s="32">
        <v>20951330</v>
      </c>
      <c r="I1790" s="52">
        <v>0</v>
      </c>
      <c r="J1790" s="35">
        <f>+G1790-H1790+I1790</f>
        <v>-27774</v>
      </c>
      <c r="K1790" s="27" t="s">
        <v>170</v>
      </c>
      <c r="L1790" s="32">
        <v>0</v>
      </c>
      <c r="M1790" s="35">
        <f>+J1790+L1790</f>
        <v>-27774</v>
      </c>
      <c r="N1790" s="28" t="s">
        <v>171</v>
      </c>
      <c r="O1790" s="29" t="s">
        <v>172</v>
      </c>
      <c r="P1790" s="36">
        <v>44341</v>
      </c>
      <c r="Q1790" s="31">
        <v>29513.759999999998</v>
      </c>
      <c r="R1790" s="33">
        <v>-1</v>
      </c>
    </row>
    <row r="1791" spans="1:18" s="30" customFormat="1" ht="15" customHeight="1">
      <c r="A1791" s="37" t="s">
        <v>356</v>
      </c>
      <c r="B1791" s="26" t="s">
        <v>1540</v>
      </c>
      <c r="C1791" s="39">
        <v>44</v>
      </c>
      <c r="D1791" s="40" t="s">
        <v>2577</v>
      </c>
      <c r="E1791" s="38" t="s">
        <v>3</v>
      </c>
      <c r="F1791" s="38" t="s">
        <v>15</v>
      </c>
      <c r="G1791" s="32">
        <v>4232105.9119500499</v>
      </c>
      <c r="H1791" s="32">
        <v>0</v>
      </c>
      <c r="I1791" s="52">
        <v>0</v>
      </c>
      <c r="J1791" s="35">
        <f>+G1791-H1791+I1791</f>
        <v>4232105.9119500499</v>
      </c>
      <c r="K1791" s="28">
        <v>0</v>
      </c>
      <c r="L1791" s="32">
        <v>0</v>
      </c>
      <c r="M1791" s="35">
        <f>+J1791+L1791</f>
        <v>4232105.9119500499</v>
      </c>
      <c r="N1791" s="28" t="s">
        <v>2462</v>
      </c>
      <c r="O1791" s="29" t="s">
        <v>2463</v>
      </c>
      <c r="P1791" s="36">
        <v>42775</v>
      </c>
      <c r="Q1791" s="31">
        <v>26302.92</v>
      </c>
      <c r="R1791" s="33">
        <f>M1791/Q1791</f>
        <v>160.89871055951394</v>
      </c>
    </row>
    <row r="1792" spans="1:18" s="30" customFormat="1" ht="15" customHeight="1">
      <c r="A1792" s="37" t="s">
        <v>39</v>
      </c>
      <c r="B1792" s="26" t="s">
        <v>1658</v>
      </c>
      <c r="C1792" s="39">
        <v>44</v>
      </c>
      <c r="D1792" s="40" t="s">
        <v>2578</v>
      </c>
      <c r="E1792" s="38" t="s">
        <v>3</v>
      </c>
      <c r="F1792" s="38" t="s">
        <v>10</v>
      </c>
      <c r="G1792" s="32">
        <v>3275219.9280000003</v>
      </c>
      <c r="H1792" s="32">
        <v>0</v>
      </c>
      <c r="I1792" s="52">
        <v>0</v>
      </c>
      <c r="J1792" s="35">
        <f>+G1792-H1792+I1792</f>
        <v>3275219.9280000003</v>
      </c>
      <c r="K1792" s="28">
        <v>0</v>
      </c>
      <c r="L1792" s="32">
        <v>0</v>
      </c>
      <c r="M1792" s="35">
        <f>+J1792+L1792</f>
        <v>3275219.9280000003</v>
      </c>
      <c r="N1792" s="28" t="s">
        <v>2381</v>
      </c>
      <c r="O1792" s="29" t="s">
        <v>2407</v>
      </c>
      <c r="P1792" s="36">
        <v>43277</v>
      </c>
      <c r="Q1792" s="31">
        <v>27147.919999999998</v>
      </c>
      <c r="R1792" s="33">
        <f>M1792/Q1792</f>
        <v>120.64349416087865</v>
      </c>
    </row>
    <row r="1793" spans="1:18" s="30" customFormat="1" ht="15" customHeight="1">
      <c r="A1793" s="37" t="s">
        <v>52</v>
      </c>
      <c r="B1793" s="26" t="s">
        <v>555</v>
      </c>
      <c r="C1793" s="39">
        <v>44</v>
      </c>
      <c r="D1793" s="40" t="s">
        <v>2579</v>
      </c>
      <c r="E1793" s="38" t="s">
        <v>3</v>
      </c>
      <c r="F1793" s="38" t="s">
        <v>11</v>
      </c>
      <c r="G1793" s="32">
        <v>0</v>
      </c>
      <c r="H1793" s="32">
        <v>123662689</v>
      </c>
      <c r="I1793" s="52">
        <v>0</v>
      </c>
      <c r="J1793" s="35">
        <f>+G1793-H1793+I1793</f>
        <v>-123662689</v>
      </c>
      <c r="K1793" s="28">
        <v>0</v>
      </c>
      <c r="L1793" s="32">
        <v>0</v>
      </c>
      <c r="M1793" s="35">
        <f>+J1793+L1793</f>
        <v>-123662689</v>
      </c>
      <c r="N1793" s="28" t="s">
        <v>1160</v>
      </c>
      <c r="O1793" s="29" t="s">
        <v>1161</v>
      </c>
      <c r="P1793" s="36">
        <v>42689</v>
      </c>
      <c r="Q1793" s="31">
        <v>26287.25</v>
      </c>
      <c r="R1793" s="33">
        <f>M1793/Q1793</f>
        <v>-4704.2839779741125</v>
      </c>
    </row>
    <row r="1794" spans="1:18" s="30" customFormat="1" ht="15" customHeight="1">
      <c r="A1794" s="37" t="s">
        <v>52</v>
      </c>
      <c r="B1794" s="26" t="s">
        <v>195</v>
      </c>
      <c r="C1794" s="39">
        <v>44</v>
      </c>
      <c r="D1794" s="40" t="s">
        <v>2580</v>
      </c>
      <c r="E1794" s="38" t="s">
        <v>3</v>
      </c>
      <c r="F1794" s="38" t="s">
        <v>11</v>
      </c>
      <c r="G1794" s="32">
        <v>37688098</v>
      </c>
      <c r="H1794" s="32">
        <v>77164687</v>
      </c>
      <c r="I1794" s="32">
        <v>70413189</v>
      </c>
      <c r="J1794" s="35">
        <f>+G1794-H1794+I1794</f>
        <v>30936600</v>
      </c>
      <c r="K1794" s="28">
        <v>0</v>
      </c>
      <c r="L1794" s="32">
        <v>0</v>
      </c>
      <c r="M1794" s="35">
        <f>+J1794+L1794</f>
        <v>30936600</v>
      </c>
      <c r="N1794" s="28" t="s">
        <v>2512</v>
      </c>
      <c r="O1794" s="29" t="s">
        <v>2513</v>
      </c>
      <c r="P1794" s="36">
        <v>44301</v>
      </c>
      <c r="Q1794" s="31">
        <v>29662.41</v>
      </c>
      <c r="R1794" s="33">
        <f>M1794/Q1794</f>
        <v>1042.9563882368291</v>
      </c>
    </row>
    <row r="1795" spans="1:18" s="30" customFormat="1" ht="15" customHeight="1">
      <c r="A1795" s="37" t="s">
        <v>391</v>
      </c>
      <c r="B1795" s="26" t="s">
        <v>392</v>
      </c>
      <c r="C1795" s="39">
        <v>43</v>
      </c>
      <c r="D1795" s="40" t="s">
        <v>2581</v>
      </c>
      <c r="E1795" s="38" t="s">
        <v>4</v>
      </c>
      <c r="F1795" s="38" t="s">
        <v>12</v>
      </c>
      <c r="G1795" s="32">
        <v>34593651</v>
      </c>
      <c r="H1795" s="32">
        <v>14081846</v>
      </c>
      <c r="I1795" s="32">
        <v>585448</v>
      </c>
      <c r="J1795" s="35">
        <f>+G1795-H1795+I1795</f>
        <v>21097253</v>
      </c>
      <c r="K1795" s="28">
        <v>0</v>
      </c>
      <c r="L1795" s="32">
        <v>0</v>
      </c>
      <c r="M1795" s="35">
        <f>+J1795+L1795</f>
        <v>21097253</v>
      </c>
      <c r="N1795" s="28" t="s">
        <v>2449</v>
      </c>
      <c r="O1795" s="29" t="s">
        <v>2450</v>
      </c>
      <c r="P1795" s="36">
        <v>43427</v>
      </c>
      <c r="Q1795" s="31">
        <v>27507.17</v>
      </c>
      <c r="R1795" s="33">
        <f>M1795/Q1795</f>
        <v>766.97286562012744</v>
      </c>
    </row>
    <row r="1796" spans="1:18" s="30" customFormat="1" ht="15" customHeight="1">
      <c r="A1796" s="37" t="s">
        <v>874</v>
      </c>
      <c r="B1796" s="26" t="s">
        <v>875</v>
      </c>
      <c r="C1796" s="39">
        <v>43</v>
      </c>
      <c r="D1796" s="40" t="s">
        <v>2582</v>
      </c>
      <c r="E1796" s="38" t="s">
        <v>198</v>
      </c>
      <c r="F1796" s="38" t="s">
        <v>12</v>
      </c>
      <c r="G1796" s="32">
        <v>0</v>
      </c>
      <c r="H1796" s="32">
        <v>505016933</v>
      </c>
      <c r="I1796" s="32">
        <v>487630014</v>
      </c>
      <c r="J1796" s="35">
        <f>+G1796-H1796+I1796</f>
        <v>-17386919</v>
      </c>
      <c r="K1796" s="28">
        <v>0</v>
      </c>
      <c r="L1796" s="32">
        <v>0</v>
      </c>
      <c r="M1796" s="35">
        <f>+J1796+L1796</f>
        <v>-17386919</v>
      </c>
      <c r="N1796" s="28" t="s">
        <v>1179</v>
      </c>
      <c r="O1796" s="29" t="s">
        <v>1180</v>
      </c>
      <c r="P1796" s="36">
        <v>44454</v>
      </c>
      <c r="Q1796" s="31">
        <v>30028</v>
      </c>
      <c r="R1796" s="33">
        <v>-579.02</v>
      </c>
    </row>
    <row r="1797" spans="1:18" s="30" customFormat="1" ht="15" customHeight="1">
      <c r="A1797" s="37" t="s">
        <v>356</v>
      </c>
      <c r="B1797" s="26" t="s">
        <v>1841</v>
      </c>
      <c r="C1797" s="39">
        <v>43</v>
      </c>
      <c r="D1797" s="40" t="s">
        <v>2583</v>
      </c>
      <c r="E1797" s="38" t="s">
        <v>3</v>
      </c>
      <c r="F1797" s="38" t="s">
        <v>10</v>
      </c>
      <c r="G1797" s="32">
        <v>11551182</v>
      </c>
      <c r="H1797" s="32">
        <v>0</v>
      </c>
      <c r="I1797" s="52">
        <v>0</v>
      </c>
      <c r="J1797" s="35">
        <f>+G1797-H1797+I1797</f>
        <v>11551182</v>
      </c>
      <c r="K1797" s="28">
        <v>0</v>
      </c>
      <c r="L1797" s="32">
        <v>0</v>
      </c>
      <c r="M1797" s="35">
        <f>+J1797+L1797</f>
        <v>11551182</v>
      </c>
      <c r="N1797" s="28" t="s">
        <v>2553</v>
      </c>
      <c r="O1797" s="29" t="s">
        <v>2554</v>
      </c>
      <c r="P1797" s="36">
        <v>44026</v>
      </c>
      <c r="Q1797" s="31">
        <v>28683.17</v>
      </c>
      <c r="R1797" s="33">
        <f>M1797/Q1797</f>
        <v>402.71636642672343</v>
      </c>
    </row>
    <row r="1798" spans="1:18" s="30" customFormat="1" ht="15" customHeight="1">
      <c r="A1798" s="37" t="s">
        <v>356</v>
      </c>
      <c r="B1798" s="26" t="s">
        <v>1540</v>
      </c>
      <c r="C1798" s="39">
        <v>43</v>
      </c>
      <c r="D1798" s="40" t="s">
        <v>2584</v>
      </c>
      <c r="E1798" s="38" t="s">
        <v>3</v>
      </c>
      <c r="F1798" s="38" t="s">
        <v>10</v>
      </c>
      <c r="G1798" s="32">
        <v>105144543.03679045</v>
      </c>
      <c r="H1798" s="32">
        <v>0</v>
      </c>
      <c r="I1798" s="52">
        <v>0</v>
      </c>
      <c r="J1798" s="35">
        <f>+G1798-H1798+I1798</f>
        <v>105144543.03679045</v>
      </c>
      <c r="K1798" s="28">
        <v>0</v>
      </c>
      <c r="L1798" s="32">
        <v>0</v>
      </c>
      <c r="M1798" s="35">
        <f>+J1798+L1798</f>
        <v>105144543.03679045</v>
      </c>
      <c r="N1798" s="28" t="s">
        <v>2462</v>
      </c>
      <c r="O1798" s="29" t="s">
        <v>2463</v>
      </c>
      <c r="P1798" s="36">
        <v>42775</v>
      </c>
      <c r="Q1798" s="31">
        <v>26302.92</v>
      </c>
      <c r="R1798" s="33">
        <f>M1798/Q1798</f>
        <v>3997.4475471464939</v>
      </c>
    </row>
    <row r="1799" spans="1:18" s="30" customFormat="1" ht="15" customHeight="1">
      <c r="A1799" s="37" t="s">
        <v>39</v>
      </c>
      <c r="B1799" s="26" t="s">
        <v>1658</v>
      </c>
      <c r="C1799" s="39">
        <v>43</v>
      </c>
      <c r="D1799" s="40" t="s">
        <v>2585</v>
      </c>
      <c r="E1799" s="38" t="s">
        <v>4</v>
      </c>
      <c r="F1799" s="38" t="s">
        <v>11</v>
      </c>
      <c r="G1799" s="32">
        <v>0</v>
      </c>
      <c r="H1799" s="32">
        <v>38366797.399999999</v>
      </c>
      <c r="I1799" s="32">
        <v>67206757</v>
      </c>
      <c r="J1799" s="35">
        <f>+G1799-H1799+I1799</f>
        <v>28839959.600000001</v>
      </c>
      <c r="K1799" s="28">
        <v>0</v>
      </c>
      <c r="L1799" s="32">
        <v>0</v>
      </c>
      <c r="M1799" s="35">
        <f>+J1799+L1799</f>
        <v>28839959.600000001</v>
      </c>
      <c r="N1799" s="28" t="s">
        <v>2381</v>
      </c>
      <c r="O1799" s="29" t="s">
        <v>2407</v>
      </c>
      <c r="P1799" s="36">
        <v>43277</v>
      </c>
      <c r="Q1799" s="31">
        <v>27147.919999999998</v>
      </c>
      <c r="R1799" s="33">
        <f>M1799/Q1799</f>
        <v>1062.3266754874776</v>
      </c>
    </row>
    <row r="1800" spans="1:18" s="30" customFormat="1" ht="15" customHeight="1">
      <c r="A1800" s="37" t="s">
        <v>52</v>
      </c>
      <c r="B1800" s="26" t="s">
        <v>555</v>
      </c>
      <c r="C1800" s="39">
        <v>43</v>
      </c>
      <c r="D1800" s="40" t="s">
        <v>2586</v>
      </c>
      <c r="E1800" s="38" t="s">
        <v>3</v>
      </c>
      <c r="F1800" s="38" t="s">
        <v>10</v>
      </c>
      <c r="G1800" s="32">
        <v>0</v>
      </c>
      <c r="H1800" s="32">
        <v>19827093</v>
      </c>
      <c r="I1800" s="52">
        <v>0</v>
      </c>
      <c r="J1800" s="35">
        <f>+G1800-H1800+I1800</f>
        <v>-19827093</v>
      </c>
      <c r="K1800" s="28">
        <v>0</v>
      </c>
      <c r="L1800" s="32">
        <v>0</v>
      </c>
      <c r="M1800" s="35">
        <f>+J1800+L1800</f>
        <v>-19827093</v>
      </c>
      <c r="N1800" s="28" t="s">
        <v>1160</v>
      </c>
      <c r="O1800" s="29" t="s">
        <v>1161</v>
      </c>
      <c r="P1800" s="36">
        <v>42689</v>
      </c>
      <c r="Q1800" s="31">
        <v>26287.25</v>
      </c>
      <c r="R1800" s="33">
        <f>M1800/Q1800</f>
        <v>-754.24751543048433</v>
      </c>
    </row>
    <row r="1801" spans="1:18" s="30" customFormat="1" ht="15" customHeight="1">
      <c r="A1801" s="37" t="s">
        <v>688</v>
      </c>
      <c r="B1801" s="26" t="s">
        <v>1728</v>
      </c>
      <c r="C1801" s="39">
        <v>43</v>
      </c>
      <c r="D1801" s="40" t="s">
        <v>2587</v>
      </c>
      <c r="E1801" s="38" t="s">
        <v>6</v>
      </c>
      <c r="F1801" s="38" t="s">
        <v>11</v>
      </c>
      <c r="G1801" s="32">
        <v>1261212.6464</v>
      </c>
      <c r="H1801" s="32">
        <v>81034.240000000005</v>
      </c>
      <c r="I1801" s="32">
        <v>44020.479999999996</v>
      </c>
      <c r="J1801" s="35">
        <f>+G1801-H1801+I1801</f>
        <v>1224198.8864</v>
      </c>
      <c r="K1801" s="28">
        <v>0</v>
      </c>
      <c r="L1801" s="32">
        <v>0</v>
      </c>
      <c r="M1801" s="35">
        <f>+J1801+L1801</f>
        <v>1224198.8864</v>
      </c>
      <c r="N1801" s="28" t="s">
        <v>1935</v>
      </c>
      <c r="O1801" s="29" t="s">
        <v>1936</v>
      </c>
      <c r="P1801" s="36">
        <v>42899</v>
      </c>
      <c r="Q1801" s="31">
        <v>26649.99</v>
      </c>
      <c r="R1801" s="33">
        <f>M1801/Q1801</f>
        <v>45.936185582058378</v>
      </c>
    </row>
    <row r="1802" spans="1:18" s="30" customFormat="1" ht="15" customHeight="1">
      <c r="A1802" s="37" t="s">
        <v>391</v>
      </c>
      <c r="B1802" s="26" t="s">
        <v>392</v>
      </c>
      <c r="C1802" s="39">
        <v>42</v>
      </c>
      <c r="D1802" s="40" t="s">
        <v>2588</v>
      </c>
      <c r="E1802" s="38" t="s">
        <v>3</v>
      </c>
      <c r="F1802" s="38" t="s">
        <v>10</v>
      </c>
      <c r="G1802" s="32">
        <v>0</v>
      </c>
      <c r="H1802" s="32">
        <v>1372371</v>
      </c>
      <c r="I1802" s="32">
        <v>1770741</v>
      </c>
      <c r="J1802" s="35">
        <f>+G1802-H1802+I1802</f>
        <v>398370</v>
      </c>
      <c r="K1802" s="28">
        <v>0</v>
      </c>
      <c r="L1802" s="32">
        <v>0</v>
      </c>
      <c r="M1802" s="35">
        <f>+J1802+L1802</f>
        <v>398370</v>
      </c>
      <c r="N1802" s="28" t="s">
        <v>2449</v>
      </c>
      <c r="O1802" s="29" t="s">
        <v>2450</v>
      </c>
      <c r="P1802" s="36">
        <v>43427</v>
      </c>
      <c r="Q1802" s="31">
        <v>27507.17</v>
      </c>
      <c r="R1802" s="33">
        <f>M1802/Q1802</f>
        <v>14.482405859999412</v>
      </c>
    </row>
    <row r="1803" spans="1:18" s="30" customFormat="1" ht="15" customHeight="1">
      <c r="A1803" s="37" t="s">
        <v>293</v>
      </c>
      <c r="B1803" s="26" t="s">
        <v>294</v>
      </c>
      <c r="C1803" s="39">
        <v>42</v>
      </c>
      <c r="D1803" s="40" t="s">
        <v>2589</v>
      </c>
      <c r="E1803" s="38" t="s">
        <v>3</v>
      </c>
      <c r="F1803" s="38" t="s">
        <v>10</v>
      </c>
      <c r="G1803" s="32">
        <v>3521257</v>
      </c>
      <c r="H1803" s="32">
        <v>0</v>
      </c>
      <c r="I1803" s="32">
        <v>509536</v>
      </c>
      <c r="J1803" s="35">
        <f>+G1803-H1803+I1803</f>
        <v>4030793</v>
      </c>
      <c r="K1803" s="28">
        <v>0</v>
      </c>
      <c r="L1803" s="32">
        <v>0</v>
      </c>
      <c r="M1803" s="35">
        <f>+J1803+L1803</f>
        <v>4030793</v>
      </c>
      <c r="N1803" s="28" t="s">
        <v>1626</v>
      </c>
      <c r="O1803" s="29" t="s">
        <v>1627</v>
      </c>
      <c r="P1803" s="36">
        <v>43886</v>
      </c>
      <c r="Q1803" s="31">
        <v>28440.19</v>
      </c>
      <c r="R1803" s="33">
        <f>M1803/Q1803</f>
        <v>141.72876482189466</v>
      </c>
    </row>
    <row r="1804" spans="1:18" s="30" customFormat="1" ht="15" customHeight="1">
      <c r="A1804" s="37" t="s">
        <v>52</v>
      </c>
      <c r="B1804" s="26" t="s">
        <v>53</v>
      </c>
      <c r="C1804" s="39" t="s">
        <v>2590</v>
      </c>
      <c r="D1804" s="40" t="s">
        <v>2591</v>
      </c>
      <c r="E1804" s="38" t="s">
        <v>6</v>
      </c>
      <c r="F1804" s="38" t="s">
        <v>11</v>
      </c>
      <c r="G1804" s="32">
        <v>21814270.800000001</v>
      </c>
      <c r="H1804" s="32">
        <v>7686418.25</v>
      </c>
      <c r="I1804" s="32">
        <v>4625571.6499999994</v>
      </c>
      <c r="J1804" s="35">
        <f>+G1804-H1804+I1804</f>
        <v>18753424.199999999</v>
      </c>
      <c r="K1804" s="27">
        <v>15</v>
      </c>
      <c r="L1804" s="32">
        <v>0</v>
      </c>
      <c r="M1804" s="35">
        <f>+J1804+L1804</f>
        <v>18753424.199999999</v>
      </c>
      <c r="N1804" s="28" t="s">
        <v>56</v>
      </c>
      <c r="O1804" s="29" t="s">
        <v>57</v>
      </c>
      <c r="P1804" s="36">
        <v>42884</v>
      </c>
      <c r="Q1804" s="31">
        <v>26627.55</v>
      </c>
      <c r="R1804" s="33">
        <f>M1804/Q1804</f>
        <v>704.28650777108669</v>
      </c>
    </row>
    <row r="1805" spans="1:18" s="30" customFormat="1" ht="15" customHeight="1">
      <c r="A1805" s="37" t="s">
        <v>874</v>
      </c>
      <c r="B1805" s="26" t="s">
        <v>875</v>
      </c>
      <c r="C1805" s="39">
        <v>42</v>
      </c>
      <c r="D1805" s="40" t="s">
        <v>2592</v>
      </c>
      <c r="E1805" s="38" t="s">
        <v>4</v>
      </c>
      <c r="F1805" s="38" t="s">
        <v>11</v>
      </c>
      <c r="G1805" s="32">
        <v>7887579</v>
      </c>
      <c r="H1805" s="32">
        <v>2987796</v>
      </c>
      <c r="I1805" s="32">
        <v>8408707</v>
      </c>
      <c r="J1805" s="35">
        <f>+G1805-H1805+I1805</f>
        <v>13308490</v>
      </c>
      <c r="K1805" s="28">
        <v>0</v>
      </c>
      <c r="L1805" s="32">
        <v>0</v>
      </c>
      <c r="M1805" s="35">
        <f>+J1805+L1805</f>
        <v>13308490</v>
      </c>
      <c r="N1805" s="28" t="s">
        <v>2094</v>
      </c>
      <c r="O1805" s="29" t="s">
        <v>2095</v>
      </c>
      <c r="P1805" s="36">
        <v>44742</v>
      </c>
      <c r="Q1805" s="31">
        <v>33086.83</v>
      </c>
      <c r="R1805" s="33">
        <f>M1805/Q1805</f>
        <v>402.22922534434394</v>
      </c>
    </row>
    <row r="1806" spans="1:18" s="30" customFormat="1" ht="15" customHeight="1">
      <c r="A1806" s="37" t="s">
        <v>356</v>
      </c>
      <c r="B1806" s="26" t="s">
        <v>1841</v>
      </c>
      <c r="C1806" s="39">
        <v>42</v>
      </c>
      <c r="D1806" s="40" t="s">
        <v>2593</v>
      </c>
      <c r="E1806" s="38" t="s">
        <v>3</v>
      </c>
      <c r="F1806" s="38" t="s">
        <v>11</v>
      </c>
      <c r="G1806" s="32">
        <v>487370</v>
      </c>
      <c r="H1806" s="32">
        <v>0</v>
      </c>
      <c r="I1806" s="32">
        <v>287836</v>
      </c>
      <c r="J1806" s="35">
        <f>+G1806-H1806+I1806</f>
        <v>775206</v>
      </c>
      <c r="K1806" s="28">
        <v>0</v>
      </c>
      <c r="L1806" s="32">
        <v>0</v>
      </c>
      <c r="M1806" s="35">
        <f>+J1806+L1806</f>
        <v>775206</v>
      </c>
      <c r="N1806" s="28" t="s">
        <v>2553</v>
      </c>
      <c r="O1806" s="29" t="s">
        <v>2554</v>
      </c>
      <c r="P1806" s="36">
        <v>44026</v>
      </c>
      <c r="Q1806" s="31">
        <v>28683.17</v>
      </c>
      <c r="R1806" s="33">
        <f>M1806/Q1806</f>
        <v>27.026510668102585</v>
      </c>
    </row>
    <row r="1807" spans="1:18" s="30" customFormat="1" ht="15" customHeight="1">
      <c r="A1807" s="37" t="s">
        <v>356</v>
      </c>
      <c r="B1807" s="26" t="s">
        <v>1540</v>
      </c>
      <c r="C1807" s="39">
        <v>42</v>
      </c>
      <c r="D1807" s="40" t="s">
        <v>2594</v>
      </c>
      <c r="E1807" s="38" t="s">
        <v>3</v>
      </c>
      <c r="F1807" s="38" t="s">
        <v>13</v>
      </c>
      <c r="G1807" s="32">
        <v>30434972</v>
      </c>
      <c r="H1807" s="32">
        <v>685105.59761249751</v>
      </c>
      <c r="I1807" s="32">
        <v>5976343.7999999998</v>
      </c>
      <c r="J1807" s="35">
        <f>+G1807-H1807+I1807</f>
        <v>35726210.202387504</v>
      </c>
      <c r="K1807" s="28">
        <v>0</v>
      </c>
      <c r="L1807" s="32">
        <v>0</v>
      </c>
      <c r="M1807" s="35">
        <f>+J1807+L1807</f>
        <v>35726210.202387504</v>
      </c>
      <c r="N1807" s="28" t="s">
        <v>2462</v>
      </c>
      <c r="O1807" s="29" t="s">
        <v>2463</v>
      </c>
      <c r="P1807" s="36">
        <v>42775</v>
      </c>
      <c r="Q1807" s="31">
        <v>26302.92</v>
      </c>
      <c r="R1807" s="33">
        <f>M1807/Q1807</f>
        <v>1358.2602312742276</v>
      </c>
    </row>
    <row r="1808" spans="1:18" s="30" customFormat="1" ht="15" customHeight="1">
      <c r="A1808" s="37" t="s">
        <v>166</v>
      </c>
      <c r="B1808" s="26" t="s">
        <v>167</v>
      </c>
      <c r="C1808" s="39" t="s">
        <v>2595</v>
      </c>
      <c r="D1808" s="40" t="s">
        <v>2596</v>
      </c>
      <c r="E1808" s="38" t="s">
        <v>3</v>
      </c>
      <c r="F1808" s="38" t="s">
        <v>10</v>
      </c>
      <c r="G1808" s="32">
        <v>22335923</v>
      </c>
      <c r="H1808" s="32">
        <v>758178</v>
      </c>
      <c r="I1808" s="52">
        <v>0</v>
      </c>
      <c r="J1808" s="35">
        <f>+G1808-H1808+I1808</f>
        <v>21577745</v>
      </c>
      <c r="K1808" s="27" t="s">
        <v>170</v>
      </c>
      <c r="L1808" s="32">
        <v>0</v>
      </c>
      <c r="M1808" s="35">
        <f>+J1808+L1808</f>
        <v>21577745</v>
      </c>
      <c r="N1808" s="28" t="s">
        <v>171</v>
      </c>
      <c r="O1808" s="29" t="s">
        <v>172</v>
      </c>
      <c r="P1808" s="36">
        <v>44341</v>
      </c>
      <c r="Q1808" s="31">
        <v>29513.759999999998</v>
      </c>
      <c r="R1808" s="33">
        <v>731</v>
      </c>
    </row>
    <row r="1809" spans="1:18" s="30" customFormat="1" ht="15" customHeight="1">
      <c r="A1809" s="37" t="s">
        <v>52</v>
      </c>
      <c r="B1809" s="26" t="s">
        <v>53</v>
      </c>
      <c r="C1809" s="39" t="s">
        <v>2597</v>
      </c>
      <c r="D1809" s="40" t="s">
        <v>2598</v>
      </c>
      <c r="E1809" s="38" t="s">
        <v>6</v>
      </c>
      <c r="F1809" s="38" t="s">
        <v>11</v>
      </c>
      <c r="G1809" s="32">
        <v>22396585.399999999</v>
      </c>
      <c r="H1809" s="32">
        <v>2056953.08</v>
      </c>
      <c r="I1809" s="32">
        <v>22419590.48</v>
      </c>
      <c r="J1809" s="35">
        <f>+G1809-H1809+I1809</f>
        <v>42759222.799999997</v>
      </c>
      <c r="K1809" s="27">
        <v>17</v>
      </c>
      <c r="L1809" s="32">
        <v>0</v>
      </c>
      <c r="M1809" s="35">
        <f>+J1809+L1809</f>
        <v>42759222.799999997</v>
      </c>
      <c r="N1809" s="28" t="s">
        <v>56</v>
      </c>
      <c r="O1809" s="29" t="s">
        <v>57</v>
      </c>
      <c r="P1809" s="36">
        <v>42884</v>
      </c>
      <c r="Q1809" s="31">
        <v>26627.55</v>
      </c>
      <c r="R1809" s="33">
        <f>M1809/Q1809</f>
        <v>1605.8264016028511</v>
      </c>
    </row>
    <row r="1810" spans="1:18" s="30" customFormat="1" ht="15" customHeight="1">
      <c r="A1810" s="37" t="s">
        <v>39</v>
      </c>
      <c r="B1810" s="26" t="s">
        <v>1658</v>
      </c>
      <c r="C1810" s="39">
        <v>42</v>
      </c>
      <c r="D1810" s="40" t="s">
        <v>2599</v>
      </c>
      <c r="E1810" s="38" t="s">
        <v>4</v>
      </c>
      <c r="F1810" s="38" t="s">
        <v>11</v>
      </c>
      <c r="G1810" s="32">
        <v>181106561.45519501</v>
      </c>
      <c r="H1810" s="32">
        <v>173341522.99563682</v>
      </c>
      <c r="I1810" s="52">
        <v>0</v>
      </c>
      <c r="J1810" s="35">
        <f>+G1810-H1810+I1810</f>
        <v>7765038.4595581889</v>
      </c>
      <c r="K1810" s="28">
        <v>0</v>
      </c>
      <c r="L1810" s="32">
        <v>0</v>
      </c>
      <c r="M1810" s="35">
        <f>+J1810+L1810</f>
        <v>7765038.4595581889</v>
      </c>
      <c r="N1810" s="28" t="s">
        <v>2381</v>
      </c>
      <c r="O1810" s="29" t="s">
        <v>2382</v>
      </c>
      <c r="P1810" s="36">
        <v>43277</v>
      </c>
      <c r="Q1810" s="31">
        <v>27131.66</v>
      </c>
      <c r="R1810" s="33">
        <f>M1810/Q1810</f>
        <v>286.19842868288151</v>
      </c>
    </row>
    <row r="1811" spans="1:18" s="30" customFormat="1" ht="15" customHeight="1">
      <c r="A1811" s="37" t="s">
        <v>52</v>
      </c>
      <c r="B1811" s="26" t="s">
        <v>555</v>
      </c>
      <c r="C1811" s="39">
        <v>42</v>
      </c>
      <c r="D1811" s="40" t="s">
        <v>2600</v>
      </c>
      <c r="E1811" s="38" t="s">
        <v>3</v>
      </c>
      <c r="F1811" s="38" t="s">
        <v>10</v>
      </c>
      <c r="G1811" s="32">
        <v>6463341</v>
      </c>
      <c r="H1811" s="32">
        <v>515107</v>
      </c>
      <c r="I1811" s="32">
        <v>2106718</v>
      </c>
      <c r="J1811" s="35">
        <f>+G1811-H1811+I1811</f>
        <v>8054952</v>
      </c>
      <c r="K1811" s="28">
        <v>0</v>
      </c>
      <c r="L1811" s="32">
        <v>0</v>
      </c>
      <c r="M1811" s="35">
        <f>+J1811+L1811</f>
        <v>8054952</v>
      </c>
      <c r="N1811" s="28" t="s">
        <v>1160</v>
      </c>
      <c r="O1811" s="29" t="s">
        <v>1161</v>
      </c>
      <c r="P1811" s="36">
        <v>42689</v>
      </c>
      <c r="Q1811" s="31">
        <v>26287.25</v>
      </c>
      <c r="R1811" s="33">
        <f>M1811/Q1811</f>
        <v>306.42048902034259</v>
      </c>
    </row>
    <row r="1812" spans="1:18" s="30" customFormat="1" ht="15" customHeight="1">
      <c r="A1812" s="37" t="s">
        <v>688</v>
      </c>
      <c r="B1812" s="26" t="s">
        <v>1728</v>
      </c>
      <c r="C1812" s="39">
        <v>42</v>
      </c>
      <c r="D1812" s="40" t="s">
        <v>2601</v>
      </c>
      <c r="E1812" s="38" t="s">
        <v>4</v>
      </c>
      <c r="F1812" s="38" t="s">
        <v>20</v>
      </c>
      <c r="G1812" s="32">
        <v>157332</v>
      </c>
      <c r="H1812" s="32">
        <v>0</v>
      </c>
      <c r="I1812" s="52">
        <v>0</v>
      </c>
      <c r="J1812" s="35">
        <f>+G1812-H1812+I1812</f>
        <v>157332</v>
      </c>
      <c r="K1812" s="28">
        <v>0</v>
      </c>
      <c r="L1812" s="32">
        <v>0</v>
      </c>
      <c r="M1812" s="35">
        <f>+J1812+L1812</f>
        <v>157332</v>
      </c>
      <c r="N1812" s="28" t="s">
        <v>2343</v>
      </c>
      <c r="O1812" s="29" t="s">
        <v>2344</v>
      </c>
      <c r="P1812" s="36">
        <v>42810</v>
      </c>
      <c r="Q1812" s="31">
        <v>26446.36</v>
      </c>
      <c r="R1812" s="33">
        <f>M1812/Q1812</f>
        <v>5.9490984770682998</v>
      </c>
    </row>
    <row r="1813" spans="1:18" s="30" customFormat="1" ht="15" customHeight="1">
      <c r="A1813" s="37" t="s">
        <v>391</v>
      </c>
      <c r="B1813" s="26" t="s">
        <v>392</v>
      </c>
      <c r="C1813" s="39">
        <v>41</v>
      </c>
      <c r="D1813" s="40" t="s">
        <v>2602</v>
      </c>
      <c r="E1813" s="38" t="s">
        <v>3</v>
      </c>
      <c r="F1813" s="38" t="s">
        <v>10</v>
      </c>
      <c r="G1813" s="32">
        <v>417427</v>
      </c>
      <c r="H1813" s="32">
        <v>0</v>
      </c>
      <c r="I1813" s="32">
        <v>10606267</v>
      </c>
      <c r="J1813" s="35">
        <f>+G1813-H1813+I1813</f>
        <v>11023694</v>
      </c>
      <c r="K1813" s="28">
        <v>0</v>
      </c>
      <c r="L1813" s="32">
        <v>0</v>
      </c>
      <c r="M1813" s="35">
        <f>+J1813+L1813</f>
        <v>11023694</v>
      </c>
      <c r="N1813" s="28" t="s">
        <v>2549</v>
      </c>
      <c r="O1813" s="29" t="s">
        <v>2550</v>
      </c>
      <c r="P1813" s="36">
        <v>43269</v>
      </c>
      <c r="Q1813" s="31">
        <v>27126.25</v>
      </c>
      <c r="R1813" s="33">
        <f>M1813/Q1813</f>
        <v>406.3847380305055</v>
      </c>
    </row>
    <row r="1814" spans="1:18" s="30" customFormat="1" ht="15" customHeight="1">
      <c r="A1814" s="37" t="s">
        <v>356</v>
      </c>
      <c r="B1814" s="26" t="s">
        <v>1540</v>
      </c>
      <c r="C1814" s="39">
        <v>41</v>
      </c>
      <c r="D1814" s="40" t="s">
        <v>2603</v>
      </c>
      <c r="E1814" s="38" t="s">
        <v>4</v>
      </c>
      <c r="F1814" s="38" t="s">
        <v>13</v>
      </c>
      <c r="G1814" s="32">
        <v>47434006.968967676</v>
      </c>
      <c r="H1814" s="32">
        <v>3150049.7486136812</v>
      </c>
      <c r="I1814" s="32">
        <v>35006513.268255554</v>
      </c>
      <c r="J1814" s="35">
        <f>+G1814-H1814+I1814</f>
        <v>79290470.488609552</v>
      </c>
      <c r="K1814" s="28">
        <v>0</v>
      </c>
      <c r="L1814" s="32">
        <v>0</v>
      </c>
      <c r="M1814" s="35">
        <f>+J1814+L1814</f>
        <v>79290470.488609552</v>
      </c>
      <c r="N1814" s="28" t="s">
        <v>2462</v>
      </c>
      <c r="O1814" s="29" t="s">
        <v>2463</v>
      </c>
      <c r="P1814" s="36">
        <v>42775</v>
      </c>
      <c r="Q1814" s="31">
        <v>26302.92</v>
      </c>
      <c r="R1814" s="33">
        <f>M1814/Q1814</f>
        <v>3014.512095562377</v>
      </c>
    </row>
    <row r="1815" spans="1:18" s="30" customFormat="1" ht="15" customHeight="1">
      <c r="A1815" s="37" t="s">
        <v>39</v>
      </c>
      <c r="B1815" s="26" t="s">
        <v>1658</v>
      </c>
      <c r="C1815" s="39">
        <v>41</v>
      </c>
      <c r="D1815" s="40" t="s">
        <v>2604</v>
      </c>
      <c r="E1815" s="38" t="s">
        <v>4</v>
      </c>
      <c r="F1815" s="38" t="s">
        <v>20</v>
      </c>
      <c r="G1815" s="32">
        <v>0</v>
      </c>
      <c r="H1815" s="32">
        <v>10348197</v>
      </c>
      <c r="I1815" s="52">
        <v>0</v>
      </c>
      <c r="J1815" s="35">
        <f>+G1815-H1815+I1815</f>
        <v>-10348197</v>
      </c>
      <c r="K1815" s="28">
        <v>0</v>
      </c>
      <c r="L1815" s="32">
        <v>0</v>
      </c>
      <c r="M1815" s="35">
        <f>+J1815+L1815</f>
        <v>-10348197</v>
      </c>
      <c r="N1815" s="28" t="s">
        <v>2381</v>
      </c>
      <c r="O1815" s="29" t="s">
        <v>2407</v>
      </c>
      <c r="P1815" s="36">
        <v>43277</v>
      </c>
      <c r="Q1815" s="31">
        <v>27147.919999999998</v>
      </c>
      <c r="R1815" s="33">
        <f>M1815/Q1815</f>
        <v>-381.17826338076731</v>
      </c>
    </row>
    <row r="1816" spans="1:18" s="30" customFormat="1" ht="15" customHeight="1">
      <c r="A1816" s="37" t="s">
        <v>52</v>
      </c>
      <c r="B1816" s="26" t="s">
        <v>555</v>
      </c>
      <c r="C1816" s="39">
        <v>41</v>
      </c>
      <c r="D1816" s="40" t="s">
        <v>2605</v>
      </c>
      <c r="E1816" s="38" t="s">
        <v>3</v>
      </c>
      <c r="F1816" s="38" t="s">
        <v>11</v>
      </c>
      <c r="G1816" s="32">
        <v>33421085</v>
      </c>
      <c r="H1816" s="32">
        <v>26664812</v>
      </c>
      <c r="I1816" s="32">
        <v>17361304</v>
      </c>
      <c r="J1816" s="35">
        <f>+G1816-H1816+I1816</f>
        <v>24117577</v>
      </c>
      <c r="K1816" s="28">
        <v>0</v>
      </c>
      <c r="L1816" s="32">
        <v>0</v>
      </c>
      <c r="M1816" s="35">
        <f>+J1816+L1816</f>
        <v>24117577</v>
      </c>
      <c r="N1816" s="28" t="s">
        <v>1160</v>
      </c>
      <c r="O1816" s="29" t="s">
        <v>1161</v>
      </c>
      <c r="P1816" s="36">
        <v>42689</v>
      </c>
      <c r="Q1816" s="31">
        <v>26287.25</v>
      </c>
      <c r="R1816" s="33">
        <f>M1816/Q1816</f>
        <v>917.46291453080869</v>
      </c>
    </row>
    <row r="1817" spans="1:18" s="30" customFormat="1" ht="15" customHeight="1">
      <c r="A1817" s="46" t="s">
        <v>52</v>
      </c>
      <c r="B1817" s="47" t="s">
        <v>2606</v>
      </c>
      <c r="C1817" s="65">
        <v>41</v>
      </c>
      <c r="D1817" s="51" t="s">
        <v>2607</v>
      </c>
      <c r="E1817" s="38" t="s">
        <v>3</v>
      </c>
      <c r="F1817" s="38" t="s">
        <v>13</v>
      </c>
      <c r="G1817" s="52">
        <v>0</v>
      </c>
      <c r="H1817" s="52">
        <v>0</v>
      </c>
      <c r="I1817" s="52">
        <v>1556802</v>
      </c>
      <c r="J1817" s="53">
        <f>+G1817-H1817+I1817</f>
        <v>1556802</v>
      </c>
      <c r="K1817" s="70">
        <v>0</v>
      </c>
      <c r="L1817" s="52">
        <v>0</v>
      </c>
      <c r="M1817" s="53">
        <f>+J1817+L1817</f>
        <v>1556802</v>
      </c>
      <c r="N1817" s="55" t="s">
        <v>2608</v>
      </c>
      <c r="O1817" s="56" t="s">
        <v>2609</v>
      </c>
      <c r="P1817" s="56">
        <v>44488</v>
      </c>
      <c r="Q1817" s="49">
        <v>30240.57</v>
      </c>
      <c r="R1817" s="57">
        <f>M1817/Q1817</f>
        <v>51.480577251024037</v>
      </c>
    </row>
    <row r="1818" spans="1:18" s="30" customFormat="1" ht="15" customHeight="1">
      <c r="A1818" s="37" t="s">
        <v>391</v>
      </c>
      <c r="B1818" s="26" t="s">
        <v>392</v>
      </c>
      <c r="C1818" s="39">
        <v>40</v>
      </c>
      <c r="D1818" s="40" t="s">
        <v>2610</v>
      </c>
      <c r="E1818" s="38" t="s">
        <v>3</v>
      </c>
      <c r="F1818" s="38" t="s">
        <v>10</v>
      </c>
      <c r="G1818" s="32">
        <v>703486</v>
      </c>
      <c r="H1818" s="32">
        <v>2336338</v>
      </c>
      <c r="I1818" s="32">
        <v>32379268</v>
      </c>
      <c r="J1818" s="35">
        <f>+G1818-H1818+I1818</f>
        <v>30746416</v>
      </c>
      <c r="K1818" s="28">
        <v>0</v>
      </c>
      <c r="L1818" s="32">
        <v>0</v>
      </c>
      <c r="M1818" s="35">
        <f>+J1818+L1818</f>
        <v>30746416</v>
      </c>
      <c r="N1818" s="28" t="s">
        <v>2449</v>
      </c>
      <c r="O1818" s="29" t="s">
        <v>2450</v>
      </c>
      <c r="P1818" s="36">
        <v>43427</v>
      </c>
      <c r="Q1818" s="31">
        <v>27507.17</v>
      </c>
      <c r="R1818" s="33">
        <f>M1818/Q1818</f>
        <v>1117.7600603769854</v>
      </c>
    </row>
    <row r="1819" spans="1:18" s="30" customFormat="1" ht="15" customHeight="1">
      <c r="A1819" s="37" t="s">
        <v>874</v>
      </c>
      <c r="B1819" s="26" t="s">
        <v>875</v>
      </c>
      <c r="C1819" s="39">
        <v>40</v>
      </c>
      <c r="D1819" s="40" t="s">
        <v>2611</v>
      </c>
      <c r="E1819" s="38" t="s">
        <v>3</v>
      </c>
      <c r="F1819" s="38" t="s">
        <v>11</v>
      </c>
      <c r="G1819" s="32">
        <v>78513290</v>
      </c>
      <c r="H1819" s="32">
        <v>1440992</v>
      </c>
      <c r="I1819" s="32">
        <v>4400418</v>
      </c>
      <c r="J1819" s="35">
        <f>+G1819-H1819+I1819</f>
        <v>81472716</v>
      </c>
      <c r="K1819" s="28">
        <v>0</v>
      </c>
      <c r="L1819" s="32">
        <v>0</v>
      </c>
      <c r="M1819" s="35">
        <f>+J1819+L1819</f>
        <v>81472716</v>
      </c>
      <c r="N1819" s="28" t="s">
        <v>2048</v>
      </c>
      <c r="O1819" s="29" t="s">
        <v>2049</v>
      </c>
      <c r="P1819" s="36">
        <v>44379</v>
      </c>
      <c r="Q1819" s="31">
        <v>29716</v>
      </c>
      <c r="R1819" s="33">
        <v>2741.73</v>
      </c>
    </row>
    <row r="1820" spans="1:18" s="30" customFormat="1" ht="15" customHeight="1">
      <c r="A1820" s="37" t="s">
        <v>52</v>
      </c>
      <c r="B1820" s="26" t="s">
        <v>555</v>
      </c>
      <c r="C1820" s="39">
        <v>40</v>
      </c>
      <c r="D1820" s="40" t="s">
        <v>2612</v>
      </c>
      <c r="E1820" s="38" t="s">
        <v>3</v>
      </c>
      <c r="F1820" s="38" t="s">
        <v>10</v>
      </c>
      <c r="G1820" s="32">
        <v>118149265</v>
      </c>
      <c r="H1820" s="32">
        <v>111525152</v>
      </c>
      <c r="I1820" s="32">
        <v>1925791</v>
      </c>
      <c r="J1820" s="35">
        <f>+G1820-H1820+I1820</f>
        <v>8549904</v>
      </c>
      <c r="K1820" s="28">
        <v>0</v>
      </c>
      <c r="L1820" s="32">
        <v>0</v>
      </c>
      <c r="M1820" s="35">
        <f>+J1820+L1820</f>
        <v>8549904</v>
      </c>
      <c r="N1820" s="28" t="s">
        <v>1160</v>
      </c>
      <c r="O1820" s="29" t="s">
        <v>1161</v>
      </c>
      <c r="P1820" s="36">
        <v>42689</v>
      </c>
      <c r="Q1820" s="31">
        <v>26287.25</v>
      </c>
      <c r="R1820" s="33">
        <f>M1820/Q1820</f>
        <v>325.24908463228371</v>
      </c>
    </row>
    <row r="1821" spans="1:18" s="30" customFormat="1" ht="15" customHeight="1">
      <c r="A1821" s="46" t="s">
        <v>52</v>
      </c>
      <c r="B1821" s="47" t="s">
        <v>2606</v>
      </c>
      <c r="C1821" s="65">
        <v>40</v>
      </c>
      <c r="D1821" s="51" t="s">
        <v>2613</v>
      </c>
      <c r="E1821" s="38" t="s">
        <v>3</v>
      </c>
      <c r="F1821" s="48" t="s">
        <v>11</v>
      </c>
      <c r="G1821" s="52">
        <v>0</v>
      </c>
      <c r="H1821" s="52">
        <v>0</v>
      </c>
      <c r="I1821" s="52">
        <v>670954</v>
      </c>
      <c r="J1821" s="53">
        <f>+G1821-H1821+I1821</f>
        <v>670954</v>
      </c>
      <c r="K1821" s="70">
        <v>0</v>
      </c>
      <c r="L1821" s="52">
        <v>0</v>
      </c>
      <c r="M1821" s="53">
        <f>+J1821+L1821</f>
        <v>670954</v>
      </c>
      <c r="N1821" s="55" t="s">
        <v>2608</v>
      </c>
      <c r="O1821" s="56" t="s">
        <v>2609</v>
      </c>
      <c r="P1821" s="56">
        <v>44488</v>
      </c>
      <c r="Q1821" s="49">
        <v>30240.57</v>
      </c>
      <c r="R1821" s="57">
        <f>M1821/Q1821</f>
        <v>22.187214063756073</v>
      </c>
    </row>
    <row r="1822" spans="1:18" s="30" customFormat="1" ht="15" customHeight="1">
      <c r="A1822" s="37" t="s">
        <v>874</v>
      </c>
      <c r="B1822" s="26" t="s">
        <v>875</v>
      </c>
      <c r="C1822" s="39">
        <v>39</v>
      </c>
      <c r="D1822" s="40" t="s">
        <v>2614</v>
      </c>
      <c r="E1822" s="38" t="s">
        <v>3</v>
      </c>
      <c r="F1822" s="38" t="s">
        <v>11</v>
      </c>
      <c r="G1822" s="32">
        <v>4131975</v>
      </c>
      <c r="H1822" s="32">
        <v>2308197</v>
      </c>
      <c r="I1822" s="32"/>
      <c r="J1822" s="35">
        <f>+G1822-H1822+I1822</f>
        <v>1823778</v>
      </c>
      <c r="K1822" s="28">
        <v>0</v>
      </c>
      <c r="L1822" s="32">
        <v>0</v>
      </c>
      <c r="M1822" s="35">
        <f>+J1822+L1822</f>
        <v>1823778</v>
      </c>
      <c r="N1822" s="28" t="s">
        <v>2048</v>
      </c>
      <c r="O1822" s="29" t="s">
        <v>2049</v>
      </c>
      <c r="P1822" s="36">
        <v>44379</v>
      </c>
      <c r="Q1822" s="31">
        <v>29716</v>
      </c>
      <c r="R1822" s="33">
        <v>61.37</v>
      </c>
    </row>
    <row r="1823" spans="1:18" s="30" customFormat="1" ht="15" customHeight="1">
      <c r="A1823" s="37" t="s">
        <v>356</v>
      </c>
      <c r="B1823" s="26" t="s">
        <v>1540</v>
      </c>
      <c r="C1823" s="39">
        <v>39</v>
      </c>
      <c r="D1823" s="40" t="s">
        <v>2615</v>
      </c>
      <c r="E1823" s="38" t="s">
        <v>198</v>
      </c>
      <c r="F1823" s="38" t="s">
        <v>13</v>
      </c>
      <c r="G1823" s="32">
        <v>0</v>
      </c>
      <c r="H1823" s="32">
        <v>7653110.7349717319</v>
      </c>
      <c r="I1823" s="32">
        <v>32238871</v>
      </c>
      <c r="J1823" s="35">
        <f>+G1823-H1823+I1823</f>
        <v>24585760.265028268</v>
      </c>
      <c r="K1823" s="28">
        <v>0</v>
      </c>
      <c r="L1823" s="32">
        <v>0</v>
      </c>
      <c r="M1823" s="35">
        <f>+J1823+L1823</f>
        <v>24585760.265028268</v>
      </c>
      <c r="N1823" s="28" t="s">
        <v>2462</v>
      </c>
      <c r="O1823" s="29" t="s">
        <v>2463</v>
      </c>
      <c r="P1823" s="36">
        <v>42775</v>
      </c>
      <c r="Q1823" s="31">
        <v>26302.92</v>
      </c>
      <c r="R1823" s="33">
        <f>M1823/Q1823</f>
        <v>934.71600358546766</v>
      </c>
    </row>
    <row r="1824" spans="1:18" s="30" customFormat="1" ht="15" customHeight="1">
      <c r="A1824" s="37" t="s">
        <v>39</v>
      </c>
      <c r="B1824" s="26" t="s">
        <v>1658</v>
      </c>
      <c r="C1824" s="39">
        <v>39</v>
      </c>
      <c r="D1824" s="40" t="s">
        <v>2616</v>
      </c>
      <c r="E1824" s="38" t="s">
        <v>3</v>
      </c>
      <c r="F1824" s="38" t="s">
        <v>10</v>
      </c>
      <c r="G1824" s="32">
        <v>30003722.234999999</v>
      </c>
      <c r="H1824" s="32">
        <v>30371757.732000001</v>
      </c>
      <c r="I1824" s="32">
        <v>1891135.0160000001</v>
      </c>
      <c r="J1824" s="35">
        <f>+G1824-H1824+I1824</f>
        <v>1523099.5189999987</v>
      </c>
      <c r="K1824" s="28">
        <v>0</v>
      </c>
      <c r="L1824" s="32">
        <v>0</v>
      </c>
      <c r="M1824" s="35">
        <f>+J1824+L1824</f>
        <v>1523099.5189999987</v>
      </c>
      <c r="N1824" s="28" t="s">
        <v>2381</v>
      </c>
      <c r="O1824" s="29" t="s">
        <v>2407</v>
      </c>
      <c r="P1824" s="36">
        <v>43277</v>
      </c>
      <c r="Q1824" s="31">
        <v>27147.919999999998</v>
      </c>
      <c r="R1824" s="33">
        <f>M1824/Q1824</f>
        <v>56.103727983580278</v>
      </c>
    </row>
    <row r="1825" spans="1:18" s="30" customFormat="1" ht="15" customHeight="1">
      <c r="A1825" s="37" t="s">
        <v>52</v>
      </c>
      <c r="B1825" s="26" t="s">
        <v>555</v>
      </c>
      <c r="C1825" s="39">
        <v>39</v>
      </c>
      <c r="D1825" s="40" t="s">
        <v>2617</v>
      </c>
      <c r="E1825" s="38" t="s">
        <v>4</v>
      </c>
      <c r="F1825" s="38" t="s">
        <v>15</v>
      </c>
      <c r="G1825" s="32">
        <v>18323115</v>
      </c>
      <c r="H1825" s="32">
        <v>0</v>
      </c>
      <c r="I1825" s="52">
        <v>0</v>
      </c>
      <c r="J1825" s="35">
        <f>+G1825-H1825+I1825</f>
        <v>18323115</v>
      </c>
      <c r="K1825" s="28">
        <v>0</v>
      </c>
      <c r="L1825" s="32">
        <v>0</v>
      </c>
      <c r="M1825" s="35">
        <f>+J1825+L1825</f>
        <v>18323115</v>
      </c>
      <c r="N1825" s="28" t="s">
        <v>1160</v>
      </c>
      <c r="O1825" s="29" t="s">
        <v>1161</v>
      </c>
      <c r="P1825" s="36">
        <v>42689</v>
      </c>
      <c r="Q1825" s="31">
        <v>26287.25</v>
      </c>
      <c r="R1825" s="33">
        <f>M1825/Q1825</f>
        <v>697.03430370236526</v>
      </c>
    </row>
    <row r="1826" spans="1:18" s="30" customFormat="1" ht="15" customHeight="1">
      <c r="A1826" s="37" t="s">
        <v>52</v>
      </c>
      <c r="B1826" s="26" t="s">
        <v>2606</v>
      </c>
      <c r="C1826" s="39">
        <v>39</v>
      </c>
      <c r="D1826" s="40" t="s">
        <v>2618</v>
      </c>
      <c r="E1826" s="38" t="s">
        <v>3</v>
      </c>
      <c r="F1826" s="38" t="s">
        <v>12</v>
      </c>
      <c r="G1826" s="32">
        <v>510742</v>
      </c>
      <c r="H1826" s="32">
        <v>-11182806</v>
      </c>
      <c r="I1826" s="52">
        <v>0</v>
      </c>
      <c r="J1826" s="35">
        <f>+G1826-H1826+I1826</f>
        <v>11693548</v>
      </c>
      <c r="K1826" s="28">
        <v>0</v>
      </c>
      <c r="L1826" s="32">
        <v>0</v>
      </c>
      <c r="M1826" s="35">
        <f>+J1826+L1826</f>
        <v>11693548</v>
      </c>
      <c r="N1826" s="28" t="s">
        <v>2619</v>
      </c>
      <c r="O1826" s="29" t="s">
        <v>2620</v>
      </c>
      <c r="P1826" s="36">
        <v>42809</v>
      </c>
      <c r="Q1826" s="31">
        <v>26444.65</v>
      </c>
      <c r="R1826" s="33">
        <f>M1826/Q1826</f>
        <v>442.1895544089258</v>
      </c>
    </row>
    <row r="1827" spans="1:18" s="30" customFormat="1" ht="15" customHeight="1">
      <c r="A1827" s="37" t="s">
        <v>688</v>
      </c>
      <c r="B1827" s="26" t="s">
        <v>1728</v>
      </c>
      <c r="C1827" s="39">
        <v>39</v>
      </c>
      <c r="D1827" s="40" t="s">
        <v>2621</v>
      </c>
      <c r="E1827" s="38" t="s">
        <v>4</v>
      </c>
      <c r="F1827" s="38" t="s">
        <v>13</v>
      </c>
      <c r="G1827" s="32">
        <v>540885.27</v>
      </c>
      <c r="H1827" s="32">
        <v>2128470.94</v>
      </c>
      <c r="I1827" s="52">
        <v>0</v>
      </c>
      <c r="J1827" s="35">
        <f>+G1827-H1827+I1827</f>
        <v>-1587585.67</v>
      </c>
      <c r="K1827" s="28">
        <v>0</v>
      </c>
      <c r="L1827" s="32">
        <v>0</v>
      </c>
      <c r="M1827" s="35">
        <f>+J1827+L1827</f>
        <v>-1587585.67</v>
      </c>
      <c r="N1827" s="28" t="s">
        <v>2343</v>
      </c>
      <c r="O1827" s="29" t="s">
        <v>2344</v>
      </c>
      <c r="P1827" s="36">
        <v>42810</v>
      </c>
      <c r="Q1827" s="31">
        <v>26446.36</v>
      </c>
      <c r="R1827" s="33">
        <f>M1827/Q1827</f>
        <v>-60.030403806043623</v>
      </c>
    </row>
    <row r="1828" spans="1:18" s="30" customFormat="1" ht="15" customHeight="1">
      <c r="A1828" s="37" t="s">
        <v>356</v>
      </c>
      <c r="B1828" s="26" t="s">
        <v>1841</v>
      </c>
      <c r="C1828" s="39">
        <v>38</v>
      </c>
      <c r="D1828" s="40" t="s">
        <v>2622</v>
      </c>
      <c r="E1828" s="38" t="s">
        <v>3</v>
      </c>
      <c r="F1828" s="38" t="s">
        <v>12</v>
      </c>
      <c r="G1828" s="32">
        <v>2508682</v>
      </c>
      <c r="H1828" s="32">
        <v>0</v>
      </c>
      <c r="I1828" s="52">
        <v>0</v>
      </c>
      <c r="J1828" s="35">
        <f>+G1828-H1828+I1828</f>
        <v>2508682</v>
      </c>
      <c r="K1828" s="28">
        <v>0</v>
      </c>
      <c r="L1828" s="32">
        <v>0</v>
      </c>
      <c r="M1828" s="35">
        <f>+J1828+L1828</f>
        <v>2508682</v>
      </c>
      <c r="N1828" s="28" t="s">
        <v>2553</v>
      </c>
      <c r="O1828" s="29" t="s">
        <v>2554</v>
      </c>
      <c r="P1828" s="36">
        <v>44026</v>
      </c>
      <c r="Q1828" s="31">
        <v>28683.17</v>
      </c>
      <c r="R1828" s="33">
        <f>M1828/Q1828</f>
        <v>87.461811229372486</v>
      </c>
    </row>
    <row r="1829" spans="1:18" s="30" customFormat="1" ht="15" customHeight="1">
      <c r="A1829" s="37" t="s">
        <v>39</v>
      </c>
      <c r="B1829" s="26" t="s">
        <v>1658</v>
      </c>
      <c r="C1829" s="39">
        <v>38</v>
      </c>
      <c r="D1829" s="40" t="s">
        <v>2623</v>
      </c>
      <c r="E1829" s="38" t="s">
        <v>4</v>
      </c>
      <c r="F1829" s="38" t="s">
        <v>21</v>
      </c>
      <c r="G1829" s="32">
        <v>0</v>
      </c>
      <c r="H1829" s="32">
        <v>10091596.719999999</v>
      </c>
      <c r="I1829" s="32">
        <v>55339606.7161</v>
      </c>
      <c r="J1829" s="35">
        <f>+G1829-H1829+I1829</f>
        <v>45248009.996100001</v>
      </c>
      <c r="K1829" s="28">
        <v>0</v>
      </c>
      <c r="L1829" s="32">
        <v>0</v>
      </c>
      <c r="M1829" s="35">
        <f>+J1829+L1829</f>
        <v>45248009.996100001</v>
      </c>
      <c r="N1829" s="28" t="s">
        <v>2381</v>
      </c>
      <c r="O1829" s="29" t="s">
        <v>2407</v>
      </c>
      <c r="P1829" s="36">
        <v>43277</v>
      </c>
      <c r="Q1829" s="31">
        <v>27147.919999999998</v>
      </c>
      <c r="R1829" s="33">
        <f>M1829/Q1829</f>
        <v>1666.7210598859876</v>
      </c>
    </row>
    <row r="1830" spans="1:18" s="30" customFormat="1" ht="15" customHeight="1">
      <c r="A1830" s="46" t="s">
        <v>52</v>
      </c>
      <c r="B1830" s="47" t="s">
        <v>2606</v>
      </c>
      <c r="C1830" s="65">
        <v>38</v>
      </c>
      <c r="D1830" s="51" t="s">
        <v>2624</v>
      </c>
      <c r="E1830" s="38" t="s">
        <v>3</v>
      </c>
      <c r="F1830" s="38" t="s">
        <v>14</v>
      </c>
      <c r="G1830" s="52">
        <v>0</v>
      </c>
      <c r="H1830" s="52">
        <v>15393406</v>
      </c>
      <c r="I1830" s="52">
        <v>0</v>
      </c>
      <c r="J1830" s="53">
        <f>+G1830-H1830+I1830</f>
        <v>-15393406</v>
      </c>
      <c r="K1830" s="70">
        <v>0</v>
      </c>
      <c r="L1830" s="52">
        <v>0</v>
      </c>
      <c r="M1830" s="53">
        <f>+J1830+L1830</f>
        <v>-15393406</v>
      </c>
      <c r="N1830" s="55" t="s">
        <v>2608</v>
      </c>
      <c r="O1830" s="56" t="s">
        <v>2609</v>
      </c>
      <c r="P1830" s="56">
        <v>44488</v>
      </c>
      <c r="Q1830" s="49">
        <v>30240.57</v>
      </c>
      <c r="R1830" s="57">
        <f>M1830/Q1830</f>
        <v>-509.03160886186998</v>
      </c>
    </row>
    <row r="1831" spans="1:18" s="30" customFormat="1" ht="15" customHeight="1">
      <c r="A1831" s="37" t="s">
        <v>52</v>
      </c>
      <c r="B1831" s="26" t="s">
        <v>2606</v>
      </c>
      <c r="C1831" s="39">
        <v>38</v>
      </c>
      <c r="D1831" s="40" t="s">
        <v>2625</v>
      </c>
      <c r="E1831" s="38" t="s">
        <v>4</v>
      </c>
      <c r="F1831" s="38" t="s">
        <v>11</v>
      </c>
      <c r="G1831" s="32">
        <v>43879185</v>
      </c>
      <c r="H1831" s="32">
        <v>-43879185</v>
      </c>
      <c r="I1831" s="52">
        <v>0</v>
      </c>
      <c r="J1831" s="35">
        <f>+G1831-H1831+I1831</f>
        <v>87758370</v>
      </c>
      <c r="K1831" s="28">
        <v>0</v>
      </c>
      <c r="L1831" s="32">
        <v>0</v>
      </c>
      <c r="M1831" s="35">
        <f>+J1831+L1831</f>
        <v>87758370</v>
      </c>
      <c r="N1831" s="28" t="s">
        <v>2619</v>
      </c>
      <c r="O1831" s="29" t="s">
        <v>2620</v>
      </c>
      <c r="P1831" s="36">
        <v>42809</v>
      </c>
      <c r="Q1831" s="31">
        <v>26444.65</v>
      </c>
      <c r="R1831" s="33">
        <f>M1831/Q1831</f>
        <v>3318.5680279375979</v>
      </c>
    </row>
    <row r="1832" spans="1:18" s="30" customFormat="1" ht="15" customHeight="1">
      <c r="A1832" s="37" t="s">
        <v>688</v>
      </c>
      <c r="B1832" s="26" t="s">
        <v>1728</v>
      </c>
      <c r="C1832" s="39">
        <v>38</v>
      </c>
      <c r="D1832" s="40" t="s">
        <v>2626</v>
      </c>
      <c r="E1832" s="38" t="s">
        <v>4</v>
      </c>
      <c r="F1832" s="38" t="s">
        <v>12</v>
      </c>
      <c r="G1832" s="32">
        <v>123484.3</v>
      </c>
      <c r="H1832" s="32">
        <v>22092.49</v>
      </c>
      <c r="I1832" s="32">
        <v>85146</v>
      </c>
      <c r="J1832" s="35">
        <f>+G1832-H1832+I1832</f>
        <v>186537.81</v>
      </c>
      <c r="K1832" s="28">
        <v>0</v>
      </c>
      <c r="L1832" s="32">
        <v>0</v>
      </c>
      <c r="M1832" s="35">
        <f>+J1832+L1832</f>
        <v>186537.81</v>
      </c>
      <c r="N1832" s="28" t="s">
        <v>2343</v>
      </c>
      <c r="O1832" s="29" t="s">
        <v>2344</v>
      </c>
      <c r="P1832" s="36">
        <v>42810</v>
      </c>
      <c r="Q1832" s="31">
        <v>26446.36</v>
      </c>
      <c r="R1832" s="33">
        <f>M1832/Q1832</f>
        <v>7.0534398684733928</v>
      </c>
    </row>
    <row r="1833" spans="1:18" s="30" customFormat="1" ht="15" customHeight="1">
      <c r="A1833" s="37" t="s">
        <v>293</v>
      </c>
      <c r="B1833" s="26" t="s">
        <v>294</v>
      </c>
      <c r="C1833" s="39">
        <v>37</v>
      </c>
      <c r="D1833" s="40" t="s">
        <v>2627</v>
      </c>
      <c r="E1833" s="38" t="s">
        <v>3</v>
      </c>
      <c r="F1833" s="38" t="s">
        <v>13</v>
      </c>
      <c r="G1833" s="32">
        <v>691733</v>
      </c>
      <c r="H1833" s="32">
        <v>0</v>
      </c>
      <c r="I1833" s="32">
        <v>3402492</v>
      </c>
      <c r="J1833" s="35">
        <f>+G1833-H1833+I1833</f>
        <v>4094225</v>
      </c>
      <c r="K1833" s="28">
        <v>0</v>
      </c>
      <c r="L1833" s="32">
        <v>0</v>
      </c>
      <c r="M1833" s="35">
        <f>+J1833+L1833</f>
        <v>4094225</v>
      </c>
      <c r="N1833" s="28" t="s">
        <v>1830</v>
      </c>
      <c r="O1833" s="29" t="s">
        <v>1831</v>
      </c>
      <c r="P1833" s="36">
        <v>43878</v>
      </c>
      <c r="Q1833" s="31">
        <v>28393.3</v>
      </c>
      <c r="R1833" s="33">
        <f>M1833/Q1833</f>
        <v>144.19687038843671</v>
      </c>
    </row>
    <row r="1834" spans="1:18" s="30" customFormat="1" ht="15" customHeight="1">
      <c r="A1834" s="37" t="s">
        <v>874</v>
      </c>
      <c r="B1834" s="26" t="s">
        <v>875</v>
      </c>
      <c r="C1834" s="39">
        <v>37</v>
      </c>
      <c r="D1834" s="40" t="s">
        <v>2628</v>
      </c>
      <c r="E1834" s="38" t="s">
        <v>3</v>
      </c>
      <c r="F1834" s="38" t="s">
        <v>10</v>
      </c>
      <c r="G1834" s="32">
        <v>8083431</v>
      </c>
      <c r="H1834" s="32">
        <v>0</v>
      </c>
      <c r="I1834" s="52">
        <v>0</v>
      </c>
      <c r="J1834" s="35">
        <f>+G1834-H1834+I1834</f>
        <v>8083431</v>
      </c>
      <c r="K1834" s="28">
        <v>0</v>
      </c>
      <c r="L1834" s="32">
        <v>0</v>
      </c>
      <c r="M1834" s="35">
        <f>+J1834+L1834</f>
        <v>8083431</v>
      </c>
      <c r="N1834" s="28" t="s">
        <v>2048</v>
      </c>
      <c r="O1834" s="29" t="s">
        <v>2049</v>
      </c>
      <c r="P1834" s="36">
        <v>44379</v>
      </c>
      <c r="Q1834" s="31">
        <v>29716</v>
      </c>
      <c r="R1834" s="33">
        <v>272.02</v>
      </c>
    </row>
    <row r="1835" spans="1:18" s="30" customFormat="1" ht="15" customHeight="1">
      <c r="A1835" s="37" t="s">
        <v>39</v>
      </c>
      <c r="B1835" s="26" t="s">
        <v>1658</v>
      </c>
      <c r="C1835" s="39">
        <v>37</v>
      </c>
      <c r="D1835" s="40" t="s">
        <v>2629</v>
      </c>
      <c r="E1835" s="38" t="s">
        <v>3</v>
      </c>
      <c r="F1835" s="38" t="s">
        <v>18</v>
      </c>
      <c r="G1835" s="32">
        <v>0</v>
      </c>
      <c r="H1835" s="32">
        <v>43954969.100000001</v>
      </c>
      <c r="I1835" s="52">
        <v>0</v>
      </c>
      <c r="J1835" s="35">
        <f>+G1835-H1835+I1835</f>
        <v>-43954969.100000001</v>
      </c>
      <c r="K1835" s="28">
        <v>0</v>
      </c>
      <c r="L1835" s="32">
        <v>0</v>
      </c>
      <c r="M1835" s="35">
        <f>+J1835+L1835</f>
        <v>-43954969.100000001</v>
      </c>
      <c r="N1835" s="28" t="s">
        <v>2381</v>
      </c>
      <c r="O1835" s="29" t="s">
        <v>2407</v>
      </c>
      <c r="P1835" s="36">
        <v>43277</v>
      </c>
      <c r="Q1835" s="31">
        <v>27147.919999999998</v>
      </c>
      <c r="R1835" s="33">
        <f>M1835/Q1835</f>
        <v>-1619.0915952308687</v>
      </c>
    </row>
    <row r="1836" spans="1:18" s="30" customFormat="1" ht="15" customHeight="1">
      <c r="A1836" s="37" t="s">
        <v>52</v>
      </c>
      <c r="B1836" s="26" t="s">
        <v>555</v>
      </c>
      <c r="C1836" s="39">
        <v>37</v>
      </c>
      <c r="D1836" s="40" t="s">
        <v>2630</v>
      </c>
      <c r="E1836" s="38" t="s">
        <v>3</v>
      </c>
      <c r="F1836" s="38" t="s">
        <v>11</v>
      </c>
      <c r="G1836" s="32">
        <v>459627</v>
      </c>
      <c r="H1836" s="32">
        <v>2800392</v>
      </c>
      <c r="I1836" s="32">
        <v>778955</v>
      </c>
      <c r="J1836" s="35">
        <f>+G1836-H1836+I1836</f>
        <v>-1561810</v>
      </c>
      <c r="K1836" s="28">
        <v>0</v>
      </c>
      <c r="L1836" s="32">
        <v>0</v>
      </c>
      <c r="M1836" s="35">
        <f>+J1836+L1836</f>
        <v>-1561810</v>
      </c>
      <c r="N1836" s="28" t="s">
        <v>1160</v>
      </c>
      <c r="O1836" s="29" t="s">
        <v>1161</v>
      </c>
      <c r="P1836" s="36">
        <v>42689</v>
      </c>
      <c r="Q1836" s="31">
        <v>26287.25</v>
      </c>
      <c r="R1836" s="33">
        <f>M1836/Q1836</f>
        <v>-59.413213630181936</v>
      </c>
    </row>
    <row r="1837" spans="1:18" s="30" customFormat="1" ht="15" customHeight="1">
      <c r="A1837" s="37" t="s">
        <v>52</v>
      </c>
      <c r="B1837" s="26" t="s">
        <v>2606</v>
      </c>
      <c r="C1837" s="39">
        <v>37</v>
      </c>
      <c r="D1837" s="40" t="s">
        <v>2631</v>
      </c>
      <c r="E1837" s="38" t="s">
        <v>3</v>
      </c>
      <c r="F1837" s="38" t="s">
        <v>16</v>
      </c>
      <c r="G1837" s="32">
        <v>0</v>
      </c>
      <c r="H1837" s="32">
        <v>-2686849</v>
      </c>
      <c r="I1837" s="52">
        <v>0</v>
      </c>
      <c r="J1837" s="35">
        <f>+G1837-H1837+I1837</f>
        <v>2686849</v>
      </c>
      <c r="K1837" s="28">
        <v>0</v>
      </c>
      <c r="L1837" s="32">
        <v>0</v>
      </c>
      <c r="M1837" s="35">
        <f>+J1837+L1837</f>
        <v>2686849</v>
      </c>
      <c r="N1837" s="28" t="s">
        <v>2619</v>
      </c>
      <c r="O1837" s="29" t="s">
        <v>2620</v>
      </c>
      <c r="P1837" s="36">
        <v>42809</v>
      </c>
      <c r="Q1837" s="31">
        <v>26444.65</v>
      </c>
      <c r="R1837" s="33">
        <f>M1837/Q1837</f>
        <v>101.60274384421801</v>
      </c>
    </row>
    <row r="1838" spans="1:18" s="30" customFormat="1" ht="15" customHeight="1">
      <c r="A1838" s="37" t="s">
        <v>688</v>
      </c>
      <c r="B1838" s="26" t="s">
        <v>1728</v>
      </c>
      <c r="C1838" s="39">
        <v>37</v>
      </c>
      <c r="D1838" s="40" t="s">
        <v>2632</v>
      </c>
      <c r="E1838" s="38" t="s">
        <v>4</v>
      </c>
      <c r="F1838" s="38" t="s">
        <v>12</v>
      </c>
      <c r="G1838" s="32">
        <v>144600</v>
      </c>
      <c r="H1838" s="32">
        <v>0</v>
      </c>
      <c r="I1838" s="52">
        <v>0</v>
      </c>
      <c r="J1838" s="35">
        <f>+G1838-H1838+I1838</f>
        <v>144600</v>
      </c>
      <c r="K1838" s="28">
        <v>0</v>
      </c>
      <c r="L1838" s="32">
        <v>0</v>
      </c>
      <c r="M1838" s="35">
        <f>+J1838+L1838</f>
        <v>144600</v>
      </c>
      <c r="N1838" s="28" t="s">
        <v>2343</v>
      </c>
      <c r="O1838" s="29" t="s">
        <v>2344</v>
      </c>
      <c r="P1838" s="36">
        <v>42810</v>
      </c>
      <c r="Q1838" s="31">
        <v>26446.36</v>
      </c>
      <c r="R1838" s="33">
        <f>M1838/Q1838</f>
        <v>5.4676711653323933</v>
      </c>
    </row>
    <row r="1839" spans="1:18" s="30" customFormat="1" ht="15" customHeight="1">
      <c r="A1839" s="37" t="s">
        <v>391</v>
      </c>
      <c r="B1839" s="26" t="s">
        <v>392</v>
      </c>
      <c r="C1839" s="39">
        <v>36</v>
      </c>
      <c r="D1839" s="40" t="s">
        <v>2633</v>
      </c>
      <c r="E1839" s="38" t="s">
        <v>4</v>
      </c>
      <c r="F1839" s="38" t="s">
        <v>12</v>
      </c>
      <c r="G1839" s="32">
        <v>27953317</v>
      </c>
      <c r="H1839" s="32">
        <v>5333380</v>
      </c>
      <c r="I1839" s="52">
        <v>0</v>
      </c>
      <c r="J1839" s="35">
        <f>+G1839-H1839+I1839</f>
        <v>22619937</v>
      </c>
      <c r="K1839" s="28">
        <v>0</v>
      </c>
      <c r="L1839" s="32">
        <v>0</v>
      </c>
      <c r="M1839" s="35">
        <f>+J1839+L1839</f>
        <v>22619937</v>
      </c>
      <c r="N1839" s="28" t="s">
        <v>2449</v>
      </c>
      <c r="O1839" s="29" t="s">
        <v>2450</v>
      </c>
      <c r="P1839" s="36">
        <v>43427</v>
      </c>
      <c r="Q1839" s="31">
        <v>27507.17</v>
      </c>
      <c r="R1839" s="33">
        <f>M1839/Q1839</f>
        <v>822.32876010145719</v>
      </c>
    </row>
    <row r="1840" spans="1:18" s="30" customFormat="1" ht="15" customHeight="1">
      <c r="A1840" s="37" t="s">
        <v>356</v>
      </c>
      <c r="B1840" s="26" t="s">
        <v>1540</v>
      </c>
      <c r="C1840" s="39">
        <v>36</v>
      </c>
      <c r="D1840" s="40" t="s">
        <v>2634</v>
      </c>
      <c r="E1840" s="38" t="s">
        <v>4</v>
      </c>
      <c r="F1840" s="38" t="s">
        <v>13</v>
      </c>
      <c r="G1840" s="32">
        <v>4753328.5225142594</v>
      </c>
      <c r="H1840" s="32">
        <v>0</v>
      </c>
      <c r="I1840" s="32">
        <v>1412465</v>
      </c>
      <c r="J1840" s="35">
        <f>+G1840-H1840+I1840</f>
        <v>6165793.5225142594</v>
      </c>
      <c r="K1840" s="28">
        <v>0</v>
      </c>
      <c r="L1840" s="32">
        <v>0</v>
      </c>
      <c r="M1840" s="35">
        <f>+J1840+L1840</f>
        <v>6165793.5225142594</v>
      </c>
      <c r="N1840" s="28" t="s">
        <v>2635</v>
      </c>
      <c r="O1840" s="29" t="s">
        <v>2636</v>
      </c>
      <c r="P1840" s="36">
        <v>42655</v>
      </c>
      <c r="Q1840" s="31">
        <v>26229.37</v>
      </c>
      <c r="R1840" s="33">
        <f>M1840/Q1840</f>
        <v>235.07211658207038</v>
      </c>
    </row>
    <row r="1841" spans="1:18" s="30" customFormat="1" ht="15" customHeight="1">
      <c r="A1841" s="37" t="s">
        <v>39</v>
      </c>
      <c r="B1841" s="26" t="s">
        <v>1658</v>
      </c>
      <c r="C1841" s="39">
        <v>36</v>
      </c>
      <c r="D1841" s="40" t="s">
        <v>2637</v>
      </c>
      <c r="E1841" s="38" t="s">
        <v>3</v>
      </c>
      <c r="F1841" s="38" t="s">
        <v>10</v>
      </c>
      <c r="G1841" s="32">
        <v>10212538.48</v>
      </c>
      <c r="H1841" s="32">
        <v>7540754.79</v>
      </c>
      <c r="I1841" s="32">
        <v>71753.882199999993</v>
      </c>
      <c r="J1841" s="35">
        <f>+G1841-H1841+I1841</f>
        <v>2743537.5722000003</v>
      </c>
      <c r="K1841" s="28">
        <v>0</v>
      </c>
      <c r="L1841" s="32">
        <v>0</v>
      </c>
      <c r="M1841" s="35">
        <f>+J1841+L1841</f>
        <v>2743537.5722000003</v>
      </c>
      <c r="N1841" s="28" t="s">
        <v>2381</v>
      </c>
      <c r="O1841" s="29" t="s">
        <v>2407</v>
      </c>
      <c r="P1841" s="36">
        <v>43277</v>
      </c>
      <c r="Q1841" s="31">
        <v>27147.919999999998</v>
      </c>
      <c r="R1841" s="33">
        <f>M1841/Q1841</f>
        <v>101.05884989347251</v>
      </c>
    </row>
    <row r="1842" spans="1:18" s="30" customFormat="1" ht="15" customHeight="1">
      <c r="A1842" s="37" t="s">
        <v>52</v>
      </c>
      <c r="B1842" s="26" t="s">
        <v>555</v>
      </c>
      <c r="C1842" s="39">
        <v>36</v>
      </c>
      <c r="D1842" s="40" t="s">
        <v>2638</v>
      </c>
      <c r="E1842" s="38" t="s">
        <v>3</v>
      </c>
      <c r="F1842" s="38" t="s">
        <v>11</v>
      </c>
      <c r="G1842" s="32">
        <v>14050052</v>
      </c>
      <c r="H1842" s="32">
        <v>10233250</v>
      </c>
      <c r="I1842" s="32">
        <v>728873</v>
      </c>
      <c r="J1842" s="35">
        <f>+G1842-H1842+I1842</f>
        <v>4545675</v>
      </c>
      <c r="K1842" s="28">
        <v>0</v>
      </c>
      <c r="L1842" s="32">
        <v>0</v>
      </c>
      <c r="M1842" s="35">
        <f>+J1842+L1842</f>
        <v>4545675</v>
      </c>
      <c r="N1842" s="28" t="s">
        <v>1160</v>
      </c>
      <c r="O1842" s="29" t="s">
        <v>1161</v>
      </c>
      <c r="P1842" s="36">
        <v>42689</v>
      </c>
      <c r="Q1842" s="31">
        <v>26287.25</v>
      </c>
      <c r="R1842" s="33">
        <f>M1842/Q1842</f>
        <v>172.92318519434326</v>
      </c>
    </row>
    <row r="1843" spans="1:18" s="30" customFormat="1" ht="15" customHeight="1">
      <c r="A1843" s="37" t="s">
        <v>2639</v>
      </c>
      <c r="B1843" s="26" t="s">
        <v>2640</v>
      </c>
      <c r="C1843" s="39">
        <v>36</v>
      </c>
      <c r="D1843" s="40" t="s">
        <v>2641</v>
      </c>
      <c r="E1843" s="38" t="s">
        <v>4</v>
      </c>
      <c r="F1843" s="38" t="s">
        <v>11</v>
      </c>
      <c r="G1843" s="32">
        <v>1135577</v>
      </c>
      <c r="H1843" s="32">
        <v>2942974</v>
      </c>
      <c r="I1843" s="32">
        <v>3059659</v>
      </c>
      <c r="J1843" s="35">
        <f>+G1843-H1843+I1843</f>
        <v>1252262</v>
      </c>
      <c r="K1843" s="28">
        <v>0</v>
      </c>
      <c r="L1843" s="32">
        <v>0</v>
      </c>
      <c r="M1843" s="35">
        <f>+J1843+L1843</f>
        <v>1252262</v>
      </c>
      <c r="N1843" s="28" t="s">
        <v>2642</v>
      </c>
      <c r="O1843" s="29" t="s">
        <v>2643</v>
      </c>
      <c r="P1843" s="36">
        <v>43494</v>
      </c>
      <c r="Q1843" s="31">
        <v>27548</v>
      </c>
      <c r="R1843" s="33">
        <f>M1843/Q1843</f>
        <v>45.457456076666183</v>
      </c>
    </row>
    <row r="1844" spans="1:18" s="30" customFormat="1" ht="15" customHeight="1">
      <c r="A1844" s="37" t="s">
        <v>52</v>
      </c>
      <c r="B1844" s="26" t="s">
        <v>2606</v>
      </c>
      <c r="C1844" s="39">
        <v>36</v>
      </c>
      <c r="D1844" s="40" t="s">
        <v>2644</v>
      </c>
      <c r="E1844" s="38" t="s">
        <v>3</v>
      </c>
      <c r="F1844" s="38" t="s">
        <v>12</v>
      </c>
      <c r="G1844" s="32">
        <v>0</v>
      </c>
      <c r="H1844" s="32">
        <v>-10711641</v>
      </c>
      <c r="I1844" s="52">
        <v>0</v>
      </c>
      <c r="J1844" s="35">
        <f>+G1844-H1844+I1844</f>
        <v>10711641</v>
      </c>
      <c r="K1844" s="28">
        <v>0</v>
      </c>
      <c r="L1844" s="32">
        <v>0</v>
      </c>
      <c r="M1844" s="35">
        <f>+J1844+L1844</f>
        <v>10711641</v>
      </c>
      <c r="N1844" s="28" t="s">
        <v>2619</v>
      </c>
      <c r="O1844" s="29" t="s">
        <v>2620</v>
      </c>
      <c r="P1844" s="36">
        <v>42809</v>
      </c>
      <c r="Q1844" s="31">
        <v>26444.65</v>
      </c>
      <c r="R1844" s="33">
        <f>M1844/Q1844</f>
        <v>405.05890605472183</v>
      </c>
    </row>
    <row r="1845" spans="1:18" s="30" customFormat="1" ht="15" customHeight="1">
      <c r="A1845" s="46" t="s">
        <v>52</v>
      </c>
      <c r="B1845" s="47" t="s">
        <v>2606</v>
      </c>
      <c r="C1845" s="65">
        <v>36</v>
      </c>
      <c r="D1845" s="51" t="s">
        <v>2645</v>
      </c>
      <c r="E1845" s="38" t="s">
        <v>3</v>
      </c>
      <c r="F1845" s="38" t="s">
        <v>15</v>
      </c>
      <c r="G1845" s="52">
        <v>0</v>
      </c>
      <c r="H1845" s="52">
        <v>0</v>
      </c>
      <c r="I1845" s="52">
        <v>15942339</v>
      </c>
      <c r="J1845" s="53">
        <f>+G1845-H1845+I1845</f>
        <v>15942339</v>
      </c>
      <c r="K1845" s="70">
        <v>0</v>
      </c>
      <c r="L1845" s="52">
        <v>0</v>
      </c>
      <c r="M1845" s="53">
        <f>+J1845+L1845</f>
        <v>15942339</v>
      </c>
      <c r="N1845" s="55" t="s">
        <v>2608</v>
      </c>
      <c r="O1845" s="56" t="s">
        <v>2609</v>
      </c>
      <c r="P1845" s="56">
        <v>44488</v>
      </c>
      <c r="Q1845" s="49">
        <v>30240.57</v>
      </c>
      <c r="R1845" s="57">
        <f>M1845/Q1845</f>
        <v>527.18381300352473</v>
      </c>
    </row>
    <row r="1846" spans="1:18" s="30" customFormat="1" ht="15" customHeight="1">
      <c r="A1846" s="37" t="s">
        <v>688</v>
      </c>
      <c r="B1846" s="26" t="s">
        <v>1728</v>
      </c>
      <c r="C1846" s="39">
        <v>36</v>
      </c>
      <c r="D1846" s="40" t="s">
        <v>2646</v>
      </c>
      <c r="E1846" s="38" t="s">
        <v>4</v>
      </c>
      <c r="F1846" s="38" t="s">
        <v>20</v>
      </c>
      <c r="G1846" s="32">
        <v>48803</v>
      </c>
      <c r="H1846" s="32">
        <v>0</v>
      </c>
      <c r="I1846" s="52">
        <v>0</v>
      </c>
      <c r="J1846" s="35">
        <f>+G1846-H1846+I1846</f>
        <v>48803</v>
      </c>
      <c r="K1846" s="28">
        <v>0</v>
      </c>
      <c r="L1846" s="32">
        <v>0</v>
      </c>
      <c r="M1846" s="35">
        <f>+J1846+L1846</f>
        <v>48803</v>
      </c>
      <c r="N1846" s="28" t="s">
        <v>2343</v>
      </c>
      <c r="O1846" s="29" t="s">
        <v>2344</v>
      </c>
      <c r="P1846" s="36">
        <v>42810</v>
      </c>
      <c r="Q1846" s="31">
        <v>26446.36</v>
      </c>
      <c r="R1846" s="33">
        <f>M1846/Q1846</f>
        <v>1.8453579244932006</v>
      </c>
    </row>
    <row r="1847" spans="1:18" s="30" customFormat="1" ht="15" customHeight="1">
      <c r="A1847" s="37" t="s">
        <v>236</v>
      </c>
      <c r="B1847" s="26" t="s">
        <v>237</v>
      </c>
      <c r="C1847" s="39">
        <v>35</v>
      </c>
      <c r="D1847" s="40" t="s">
        <v>2647</v>
      </c>
      <c r="E1847" s="38" t="s">
        <v>198</v>
      </c>
      <c r="F1847" s="38" t="s">
        <v>9</v>
      </c>
      <c r="G1847" s="32">
        <v>296658726</v>
      </c>
      <c r="H1847" s="32">
        <v>0</v>
      </c>
      <c r="I1847" s="32">
        <v>1424780901</v>
      </c>
      <c r="J1847" s="35">
        <f>+G1847-H1847+I1847</f>
        <v>1721439627</v>
      </c>
      <c r="K1847" s="28">
        <v>0</v>
      </c>
      <c r="L1847" s="32">
        <v>0</v>
      </c>
      <c r="M1847" s="35">
        <f>+J1847+L1847</f>
        <v>1721439627</v>
      </c>
      <c r="N1847" s="28" t="s">
        <v>2648</v>
      </c>
      <c r="O1847" s="29" t="s">
        <v>2649</v>
      </c>
      <c r="P1847" s="36">
        <v>44915</v>
      </c>
      <c r="Q1847" s="31">
        <v>34987.230000000003</v>
      </c>
      <c r="R1847" s="33">
        <f>M1847/Q1847</f>
        <v>49201.941022481624</v>
      </c>
    </row>
    <row r="1848" spans="1:18" s="30" customFormat="1" ht="15" customHeight="1">
      <c r="A1848" s="37" t="s">
        <v>356</v>
      </c>
      <c r="B1848" s="26" t="s">
        <v>1841</v>
      </c>
      <c r="C1848" s="39">
        <v>35</v>
      </c>
      <c r="D1848" s="40" t="s">
        <v>2650</v>
      </c>
      <c r="E1848" s="38" t="s">
        <v>3</v>
      </c>
      <c r="F1848" s="38" t="s">
        <v>12</v>
      </c>
      <c r="G1848" s="32">
        <v>24371645</v>
      </c>
      <c r="H1848" s="32">
        <v>20781865</v>
      </c>
      <c r="I1848" s="52">
        <v>0</v>
      </c>
      <c r="J1848" s="35">
        <f>+G1848-H1848+I1848</f>
        <v>3589780</v>
      </c>
      <c r="K1848" s="28">
        <v>0</v>
      </c>
      <c r="L1848" s="32">
        <v>0</v>
      </c>
      <c r="M1848" s="35">
        <f>+J1848+L1848</f>
        <v>3589780</v>
      </c>
      <c r="N1848" s="28" t="s">
        <v>2651</v>
      </c>
      <c r="O1848" s="29" t="s">
        <v>2652</v>
      </c>
      <c r="P1848" s="36">
        <v>43907</v>
      </c>
      <c r="Q1848" s="31">
        <v>28545.95</v>
      </c>
      <c r="R1848" s="33">
        <f>M1848/Q1848</f>
        <v>125.75444152322834</v>
      </c>
    </row>
    <row r="1849" spans="1:18" s="30" customFormat="1" ht="15" customHeight="1">
      <c r="A1849" s="37" t="s">
        <v>39</v>
      </c>
      <c r="B1849" s="26" t="s">
        <v>1658</v>
      </c>
      <c r="C1849" s="39">
        <v>35</v>
      </c>
      <c r="D1849" s="40" t="s">
        <v>2653</v>
      </c>
      <c r="E1849" s="38" t="s">
        <v>3</v>
      </c>
      <c r="F1849" s="38" t="s">
        <v>10</v>
      </c>
      <c r="G1849" s="32">
        <v>21890662.27</v>
      </c>
      <c r="H1849" s="32">
        <v>18858307.369999997</v>
      </c>
      <c r="I1849" s="52">
        <v>0</v>
      </c>
      <c r="J1849" s="35">
        <f>+G1849-H1849+I1849</f>
        <v>3032354.9000000022</v>
      </c>
      <c r="K1849" s="28">
        <v>0</v>
      </c>
      <c r="L1849" s="32">
        <v>0</v>
      </c>
      <c r="M1849" s="35">
        <f>+J1849+L1849</f>
        <v>3032354.9000000022</v>
      </c>
      <c r="N1849" s="28" t="s">
        <v>2381</v>
      </c>
      <c r="O1849" s="29" t="s">
        <v>2407</v>
      </c>
      <c r="P1849" s="36">
        <v>43277</v>
      </c>
      <c r="Q1849" s="31">
        <v>27147.919999999998</v>
      </c>
      <c r="R1849" s="33">
        <f>M1849/Q1849</f>
        <v>111.69750389716791</v>
      </c>
    </row>
    <row r="1850" spans="1:18" s="30" customFormat="1" ht="15" customHeight="1">
      <c r="A1850" s="37" t="s">
        <v>52</v>
      </c>
      <c r="B1850" s="26" t="s">
        <v>555</v>
      </c>
      <c r="C1850" s="39">
        <v>35</v>
      </c>
      <c r="D1850" s="40" t="s">
        <v>2654</v>
      </c>
      <c r="E1850" s="38" t="s">
        <v>3</v>
      </c>
      <c r="F1850" s="38" t="s">
        <v>11</v>
      </c>
      <c r="G1850" s="32">
        <v>17325577</v>
      </c>
      <c r="H1850" s="32">
        <v>13458826</v>
      </c>
      <c r="I1850" s="32">
        <v>2165970</v>
      </c>
      <c r="J1850" s="35">
        <f>+G1850-H1850+I1850</f>
        <v>6032721</v>
      </c>
      <c r="K1850" s="28">
        <v>0</v>
      </c>
      <c r="L1850" s="32">
        <v>0</v>
      </c>
      <c r="M1850" s="35">
        <f>+J1850+L1850</f>
        <v>6032721</v>
      </c>
      <c r="N1850" s="28" t="s">
        <v>1160</v>
      </c>
      <c r="O1850" s="29" t="s">
        <v>1161</v>
      </c>
      <c r="P1850" s="36">
        <v>42689</v>
      </c>
      <c r="Q1850" s="31">
        <v>26287.25</v>
      </c>
      <c r="R1850" s="33">
        <f>M1850/Q1850</f>
        <v>229.49228238024136</v>
      </c>
    </row>
    <row r="1851" spans="1:18" s="30" customFormat="1" ht="15" customHeight="1">
      <c r="A1851" s="37" t="s">
        <v>52</v>
      </c>
      <c r="B1851" s="26" t="s">
        <v>195</v>
      </c>
      <c r="C1851" s="39">
        <v>35</v>
      </c>
      <c r="D1851" s="40" t="s">
        <v>2655</v>
      </c>
      <c r="E1851" s="38" t="s">
        <v>3</v>
      </c>
      <c r="F1851" s="38" t="s">
        <v>10</v>
      </c>
      <c r="G1851" s="32">
        <v>0</v>
      </c>
      <c r="H1851" s="32">
        <v>0</v>
      </c>
      <c r="I1851" s="32">
        <v>18738575</v>
      </c>
      <c r="J1851" s="35">
        <f>+G1851-H1851+I1851</f>
        <v>18738575</v>
      </c>
      <c r="K1851" s="28">
        <v>0</v>
      </c>
      <c r="L1851" s="32">
        <v>0</v>
      </c>
      <c r="M1851" s="35">
        <f>+J1851+L1851</f>
        <v>18738575</v>
      </c>
      <c r="N1851" s="28" t="s">
        <v>2512</v>
      </c>
      <c r="O1851" s="29" t="s">
        <v>2513</v>
      </c>
      <c r="P1851" s="36">
        <v>44301</v>
      </c>
      <c r="Q1851" s="31">
        <v>29662.41</v>
      </c>
      <c r="R1851" s="33">
        <f>M1851/Q1851</f>
        <v>631.72800187172925</v>
      </c>
    </row>
    <row r="1852" spans="1:18" s="30" customFormat="1" ht="15" customHeight="1">
      <c r="A1852" s="37" t="s">
        <v>2639</v>
      </c>
      <c r="B1852" s="26" t="s">
        <v>2640</v>
      </c>
      <c r="C1852" s="39">
        <v>35</v>
      </c>
      <c r="D1852" s="40" t="s">
        <v>2656</v>
      </c>
      <c r="E1852" s="38" t="s">
        <v>4</v>
      </c>
      <c r="F1852" s="38" t="s">
        <v>10</v>
      </c>
      <c r="G1852" s="32">
        <v>624710</v>
      </c>
      <c r="H1852" s="32">
        <v>0</v>
      </c>
      <c r="I1852" s="32">
        <v>804370</v>
      </c>
      <c r="J1852" s="35">
        <f>+G1852-H1852+I1852</f>
        <v>1429080</v>
      </c>
      <c r="K1852" s="28">
        <v>0</v>
      </c>
      <c r="L1852" s="32">
        <v>0</v>
      </c>
      <c r="M1852" s="35">
        <f>+J1852+L1852</f>
        <v>1429080</v>
      </c>
      <c r="N1852" s="28" t="s">
        <v>2642</v>
      </c>
      <c r="O1852" s="29" t="s">
        <v>2643</v>
      </c>
      <c r="P1852" s="36">
        <v>43494</v>
      </c>
      <c r="Q1852" s="31">
        <v>27548</v>
      </c>
      <c r="R1852" s="33">
        <f>M1852/Q1852</f>
        <v>51.875998257586758</v>
      </c>
    </row>
    <row r="1853" spans="1:18" s="30" customFormat="1" ht="15" customHeight="1">
      <c r="A1853" s="46" t="s">
        <v>52</v>
      </c>
      <c r="B1853" s="47" t="s">
        <v>2606</v>
      </c>
      <c r="C1853" s="65">
        <v>35</v>
      </c>
      <c r="D1853" s="51" t="s">
        <v>2657</v>
      </c>
      <c r="E1853" s="38" t="s">
        <v>3</v>
      </c>
      <c r="F1853" s="48" t="s">
        <v>11</v>
      </c>
      <c r="G1853" s="52">
        <v>0</v>
      </c>
      <c r="H1853" s="52">
        <v>0</v>
      </c>
      <c r="I1853" s="52">
        <v>7710276</v>
      </c>
      <c r="J1853" s="53">
        <f>+G1853-H1853+I1853</f>
        <v>7710276</v>
      </c>
      <c r="K1853" s="70">
        <v>0</v>
      </c>
      <c r="L1853" s="52">
        <v>0</v>
      </c>
      <c r="M1853" s="53">
        <f>+J1853+L1853</f>
        <v>7710276</v>
      </c>
      <c r="N1853" s="55" t="s">
        <v>2608</v>
      </c>
      <c r="O1853" s="56" t="s">
        <v>2609</v>
      </c>
      <c r="P1853" s="56">
        <v>44488</v>
      </c>
      <c r="Q1853" s="49">
        <v>30240.57</v>
      </c>
      <c r="R1853" s="57">
        <f>M1853/Q1853</f>
        <v>254.96463856336041</v>
      </c>
    </row>
    <row r="1854" spans="1:18" s="30" customFormat="1" ht="15" customHeight="1">
      <c r="A1854" s="37" t="s">
        <v>52</v>
      </c>
      <c r="B1854" s="26" t="s">
        <v>2606</v>
      </c>
      <c r="C1854" s="39">
        <v>35</v>
      </c>
      <c r="D1854" s="40" t="s">
        <v>2658</v>
      </c>
      <c r="E1854" s="38" t="s">
        <v>4</v>
      </c>
      <c r="F1854" s="38" t="s">
        <v>18</v>
      </c>
      <c r="G1854" s="32">
        <v>0</v>
      </c>
      <c r="H1854" s="32">
        <v>0</v>
      </c>
      <c r="I1854" s="32">
        <v>16569375</v>
      </c>
      <c r="J1854" s="35">
        <f>+G1854-H1854+I1854</f>
        <v>16569375</v>
      </c>
      <c r="K1854" s="28">
        <v>0</v>
      </c>
      <c r="L1854" s="32">
        <v>0</v>
      </c>
      <c r="M1854" s="35">
        <f>+J1854+L1854</f>
        <v>16569375</v>
      </c>
      <c r="N1854" s="28" t="s">
        <v>2619</v>
      </c>
      <c r="O1854" s="29" t="s">
        <v>2620</v>
      </c>
      <c r="P1854" s="36">
        <v>42809</v>
      </c>
      <c r="Q1854" s="31">
        <v>26444.65</v>
      </c>
      <c r="R1854" s="33">
        <f>M1854/Q1854</f>
        <v>626.56813381912787</v>
      </c>
    </row>
    <row r="1855" spans="1:18" s="30" customFormat="1" ht="15" customHeight="1">
      <c r="A1855" s="37" t="s">
        <v>236</v>
      </c>
      <c r="B1855" s="26" t="s">
        <v>237</v>
      </c>
      <c r="C1855" s="39">
        <v>34</v>
      </c>
      <c r="D1855" s="40" t="s">
        <v>2659</v>
      </c>
      <c r="E1855" s="38" t="s">
        <v>198</v>
      </c>
      <c r="F1855" s="38" t="s">
        <v>9</v>
      </c>
      <c r="G1855" s="32">
        <v>788118</v>
      </c>
      <c r="H1855" s="32">
        <v>0</v>
      </c>
      <c r="I1855" s="32">
        <v>14197078</v>
      </c>
      <c r="J1855" s="35">
        <f>+G1855-H1855+I1855</f>
        <v>14985196</v>
      </c>
      <c r="K1855" s="28">
        <v>0</v>
      </c>
      <c r="L1855" s="32">
        <v>0</v>
      </c>
      <c r="M1855" s="35">
        <f>+J1855+L1855</f>
        <v>14985196</v>
      </c>
      <c r="N1855" s="28" t="s">
        <v>2648</v>
      </c>
      <c r="O1855" s="29" t="s">
        <v>2649</v>
      </c>
      <c r="P1855" s="36">
        <v>44915</v>
      </c>
      <c r="Q1855" s="31">
        <v>34987.230000000003</v>
      </c>
      <c r="R1855" s="33">
        <f>M1855/Q1855</f>
        <v>428.30472718188889</v>
      </c>
    </row>
    <row r="1856" spans="1:18" s="30" customFormat="1" ht="15" customHeight="1">
      <c r="A1856" s="37" t="s">
        <v>391</v>
      </c>
      <c r="B1856" s="26" t="s">
        <v>392</v>
      </c>
      <c r="C1856" s="39">
        <v>34</v>
      </c>
      <c r="D1856" s="40" t="s">
        <v>2660</v>
      </c>
      <c r="E1856" s="38" t="s">
        <v>3</v>
      </c>
      <c r="F1856" s="38" t="s">
        <v>10</v>
      </c>
      <c r="G1856" s="32">
        <v>0</v>
      </c>
      <c r="H1856" s="32">
        <v>0</v>
      </c>
      <c r="I1856" s="32">
        <v>27116333</v>
      </c>
      <c r="J1856" s="35">
        <f>+G1856-H1856+I1856</f>
        <v>27116333</v>
      </c>
      <c r="K1856" s="28">
        <v>0</v>
      </c>
      <c r="L1856" s="32">
        <v>0</v>
      </c>
      <c r="M1856" s="35">
        <f>+J1856+L1856</f>
        <v>27116333</v>
      </c>
      <c r="N1856" s="28" t="s">
        <v>2549</v>
      </c>
      <c r="O1856" s="29" t="s">
        <v>2550</v>
      </c>
      <c r="P1856" s="36">
        <v>43269</v>
      </c>
      <c r="Q1856" s="31">
        <v>27126.25</v>
      </c>
      <c r="R1856" s="33">
        <f>M1856/Q1856</f>
        <v>999.63441316068383</v>
      </c>
    </row>
    <row r="1857" spans="1:18" s="30" customFormat="1" ht="15" customHeight="1">
      <c r="A1857" s="37" t="s">
        <v>356</v>
      </c>
      <c r="B1857" s="26" t="s">
        <v>1841</v>
      </c>
      <c r="C1857" s="39">
        <v>34</v>
      </c>
      <c r="D1857" s="40" t="s">
        <v>2661</v>
      </c>
      <c r="E1857" s="38" t="s">
        <v>3</v>
      </c>
      <c r="F1857" s="38" t="s">
        <v>12</v>
      </c>
      <c r="G1857" s="32">
        <v>3879999</v>
      </c>
      <c r="H1857" s="32">
        <v>3611520</v>
      </c>
      <c r="I1857" s="52">
        <v>0</v>
      </c>
      <c r="J1857" s="35">
        <f>+G1857-H1857+I1857</f>
        <v>268479</v>
      </c>
      <c r="K1857" s="28">
        <v>0</v>
      </c>
      <c r="L1857" s="32">
        <v>0</v>
      </c>
      <c r="M1857" s="35">
        <f>+J1857+L1857</f>
        <v>268479</v>
      </c>
      <c r="N1857" s="28" t="s">
        <v>2651</v>
      </c>
      <c r="O1857" s="29" t="s">
        <v>2652</v>
      </c>
      <c r="P1857" s="36">
        <v>43907</v>
      </c>
      <c r="Q1857" s="31">
        <v>28545.95</v>
      </c>
      <c r="R1857" s="33">
        <f>M1857/Q1857</f>
        <v>9.4051520443355354</v>
      </c>
    </row>
    <row r="1858" spans="1:18" s="30" customFormat="1" ht="15" customHeight="1">
      <c r="A1858" s="37" t="s">
        <v>39</v>
      </c>
      <c r="B1858" s="26" t="s">
        <v>1658</v>
      </c>
      <c r="C1858" s="39">
        <v>34</v>
      </c>
      <c r="D1858" s="40" t="s">
        <v>2662</v>
      </c>
      <c r="E1858" s="38" t="s">
        <v>4</v>
      </c>
      <c r="F1858" s="38" t="s">
        <v>11</v>
      </c>
      <c r="G1858" s="32">
        <v>32382177.804747999</v>
      </c>
      <c r="H1858" s="32">
        <v>25919769.429177999</v>
      </c>
      <c r="I1858" s="52">
        <v>0</v>
      </c>
      <c r="J1858" s="35">
        <f>+G1858-H1858+I1858</f>
        <v>6462408.3755699992</v>
      </c>
      <c r="K1858" s="28">
        <v>0</v>
      </c>
      <c r="L1858" s="32">
        <v>0</v>
      </c>
      <c r="M1858" s="35">
        <f>+J1858+L1858</f>
        <v>6462408.3755699992</v>
      </c>
      <c r="N1858" s="28" t="s">
        <v>2381</v>
      </c>
      <c r="O1858" s="29" t="s">
        <v>2382</v>
      </c>
      <c r="P1858" s="36">
        <v>43277</v>
      </c>
      <c r="Q1858" s="31">
        <v>27131.66</v>
      </c>
      <c r="R1858" s="33">
        <f>M1858/Q1858</f>
        <v>238.18698802690287</v>
      </c>
    </row>
    <row r="1859" spans="1:18" s="30" customFormat="1" ht="15" customHeight="1">
      <c r="A1859" s="37" t="s">
        <v>52</v>
      </c>
      <c r="B1859" s="26" t="s">
        <v>555</v>
      </c>
      <c r="C1859" s="39">
        <v>34</v>
      </c>
      <c r="D1859" s="40" t="s">
        <v>2663</v>
      </c>
      <c r="E1859" s="38" t="s">
        <v>3</v>
      </c>
      <c r="F1859" s="38" t="s">
        <v>11</v>
      </c>
      <c r="G1859" s="32">
        <v>23564461</v>
      </c>
      <c r="H1859" s="32">
        <v>12374282</v>
      </c>
      <c r="I1859" s="32">
        <v>1721666</v>
      </c>
      <c r="J1859" s="35">
        <f>+G1859-H1859+I1859</f>
        <v>12911845</v>
      </c>
      <c r="K1859" s="28">
        <v>0</v>
      </c>
      <c r="L1859" s="32">
        <v>0</v>
      </c>
      <c r="M1859" s="35">
        <f>+J1859+L1859</f>
        <v>12911845</v>
      </c>
      <c r="N1859" s="28" t="s">
        <v>1160</v>
      </c>
      <c r="O1859" s="29" t="s">
        <v>1161</v>
      </c>
      <c r="P1859" s="36">
        <v>42689</v>
      </c>
      <c r="Q1859" s="31">
        <v>26287.25</v>
      </c>
      <c r="R1859" s="33">
        <f>M1859/Q1859</f>
        <v>491.18279774415356</v>
      </c>
    </row>
    <row r="1860" spans="1:18" s="30" customFormat="1" ht="15" customHeight="1">
      <c r="A1860" s="37" t="s">
        <v>2639</v>
      </c>
      <c r="B1860" s="26" t="s">
        <v>2640</v>
      </c>
      <c r="C1860" s="39">
        <v>34</v>
      </c>
      <c r="D1860" s="40" t="s">
        <v>2664</v>
      </c>
      <c r="E1860" s="38" t="s">
        <v>4</v>
      </c>
      <c r="F1860" s="38" t="s">
        <v>11</v>
      </c>
      <c r="G1860" s="32">
        <v>0</v>
      </c>
      <c r="H1860" s="32">
        <v>10952201</v>
      </c>
      <c r="I1860" s="52">
        <v>0</v>
      </c>
      <c r="J1860" s="35">
        <f>+G1860-H1860+I1860</f>
        <v>-10952201</v>
      </c>
      <c r="K1860" s="28">
        <v>0</v>
      </c>
      <c r="L1860" s="32">
        <v>0</v>
      </c>
      <c r="M1860" s="35">
        <f>+J1860+L1860</f>
        <v>-10952201</v>
      </c>
      <c r="N1860" s="28" t="s">
        <v>2642</v>
      </c>
      <c r="O1860" s="29" t="s">
        <v>2643</v>
      </c>
      <c r="P1860" s="36">
        <v>43494</v>
      </c>
      <c r="Q1860" s="31">
        <v>27548</v>
      </c>
      <c r="R1860" s="33">
        <f>M1860/Q1860</f>
        <v>-397.5679178161754</v>
      </c>
    </row>
    <row r="1861" spans="1:18" s="30" customFormat="1" ht="15" customHeight="1">
      <c r="A1861" s="46" t="s">
        <v>52</v>
      </c>
      <c r="B1861" s="47" t="s">
        <v>2606</v>
      </c>
      <c r="C1861" s="65">
        <v>34</v>
      </c>
      <c r="D1861" s="51" t="s">
        <v>2665</v>
      </c>
      <c r="E1861" s="38" t="s">
        <v>3</v>
      </c>
      <c r="F1861" s="38" t="s">
        <v>15</v>
      </c>
      <c r="G1861" s="52">
        <v>0</v>
      </c>
      <c r="H1861" s="52">
        <v>0</v>
      </c>
      <c r="I1861" s="52">
        <v>2524304</v>
      </c>
      <c r="J1861" s="53">
        <f>+G1861-H1861+I1861</f>
        <v>2524304</v>
      </c>
      <c r="K1861" s="70">
        <v>0</v>
      </c>
      <c r="L1861" s="52">
        <v>0</v>
      </c>
      <c r="M1861" s="53">
        <f>+J1861+L1861</f>
        <v>2524304</v>
      </c>
      <c r="N1861" s="55" t="s">
        <v>2608</v>
      </c>
      <c r="O1861" s="56" t="s">
        <v>2609</v>
      </c>
      <c r="P1861" s="56">
        <v>44488</v>
      </c>
      <c r="Q1861" s="49">
        <v>30240.57</v>
      </c>
      <c r="R1861" s="57">
        <f>M1861/Q1861</f>
        <v>83.474087955352701</v>
      </c>
    </row>
    <row r="1862" spans="1:18" s="30" customFormat="1" ht="15" customHeight="1">
      <c r="A1862" s="37" t="s">
        <v>391</v>
      </c>
      <c r="B1862" s="26" t="s">
        <v>392</v>
      </c>
      <c r="C1862" s="39">
        <v>105</v>
      </c>
      <c r="D1862" s="40" t="s">
        <v>2666</v>
      </c>
      <c r="E1862" s="38" t="s">
        <v>3</v>
      </c>
      <c r="F1862" s="38" t="s">
        <v>10</v>
      </c>
      <c r="G1862" s="32">
        <v>30005124</v>
      </c>
      <c r="H1862" s="32">
        <v>1304917</v>
      </c>
      <c r="I1862" s="32">
        <v>7487726</v>
      </c>
      <c r="J1862" s="35">
        <f>+G1862-H1862+I1862</f>
        <v>36187933</v>
      </c>
      <c r="K1862" s="27">
        <v>147</v>
      </c>
      <c r="L1862" s="32">
        <v>0</v>
      </c>
      <c r="M1862" s="35">
        <f>+J1862+L1862</f>
        <v>36187933</v>
      </c>
      <c r="N1862" s="28" t="s">
        <v>481</v>
      </c>
      <c r="O1862" s="29" t="s">
        <v>482</v>
      </c>
      <c r="P1862" s="36">
        <v>44130</v>
      </c>
      <c r="Q1862" s="31">
        <v>28810.82</v>
      </c>
      <c r="R1862" s="33">
        <f>M1862/Q1862</f>
        <v>1256.053559044831</v>
      </c>
    </row>
    <row r="1863" spans="1:18" s="30" customFormat="1" ht="15" customHeight="1">
      <c r="A1863" s="37" t="s">
        <v>52</v>
      </c>
      <c r="B1863" s="26" t="s">
        <v>2606</v>
      </c>
      <c r="C1863" s="39">
        <v>34</v>
      </c>
      <c r="D1863" s="40" t="s">
        <v>2667</v>
      </c>
      <c r="E1863" s="38" t="s">
        <v>4</v>
      </c>
      <c r="F1863" s="38" t="s">
        <v>12</v>
      </c>
      <c r="G1863" s="32">
        <v>9602914</v>
      </c>
      <c r="H1863" s="32">
        <v>0</v>
      </c>
      <c r="I1863" s="32">
        <v>168559198</v>
      </c>
      <c r="J1863" s="35">
        <f>+G1863-H1863+I1863</f>
        <v>178162112</v>
      </c>
      <c r="K1863" s="28">
        <v>0</v>
      </c>
      <c r="L1863" s="32">
        <v>0</v>
      </c>
      <c r="M1863" s="35">
        <f>+J1863+L1863</f>
        <v>178162112</v>
      </c>
      <c r="N1863" s="28" t="s">
        <v>2619</v>
      </c>
      <c r="O1863" s="29" t="s">
        <v>2620</v>
      </c>
      <c r="P1863" s="36">
        <v>42809</v>
      </c>
      <c r="Q1863" s="31">
        <v>26444.65</v>
      </c>
      <c r="R1863" s="33">
        <f>M1863/Q1863</f>
        <v>6737.1703539279206</v>
      </c>
    </row>
    <row r="1864" spans="1:18" s="30" customFormat="1" ht="15" customHeight="1">
      <c r="A1864" s="37" t="s">
        <v>688</v>
      </c>
      <c r="B1864" s="26" t="s">
        <v>1728</v>
      </c>
      <c r="C1864" s="39">
        <v>34</v>
      </c>
      <c r="D1864" s="40" t="s">
        <v>2668</v>
      </c>
      <c r="E1864" s="38" t="s">
        <v>6</v>
      </c>
      <c r="F1864" s="38" t="s">
        <v>20</v>
      </c>
      <c r="G1864" s="32">
        <v>606073</v>
      </c>
      <c r="H1864" s="32">
        <v>0</v>
      </c>
      <c r="I1864" s="52">
        <v>0</v>
      </c>
      <c r="J1864" s="35">
        <f>+G1864-H1864+I1864</f>
        <v>606073</v>
      </c>
      <c r="K1864" s="28">
        <v>0</v>
      </c>
      <c r="L1864" s="32">
        <v>0</v>
      </c>
      <c r="M1864" s="35">
        <f>+J1864+L1864</f>
        <v>606073</v>
      </c>
      <c r="N1864" s="28" t="s">
        <v>1935</v>
      </c>
      <c r="O1864" s="29" t="s">
        <v>1936</v>
      </c>
      <c r="P1864" s="36">
        <v>42899</v>
      </c>
      <c r="Q1864" s="31">
        <v>26649.99</v>
      </c>
      <c r="R1864" s="33">
        <f>M1864/Q1864</f>
        <v>22.741959753080582</v>
      </c>
    </row>
    <row r="1865" spans="1:18" s="30" customFormat="1" ht="15" customHeight="1">
      <c r="A1865" s="37" t="s">
        <v>236</v>
      </c>
      <c r="B1865" s="26" t="s">
        <v>237</v>
      </c>
      <c r="C1865" s="39">
        <v>33</v>
      </c>
      <c r="D1865" s="40" t="s">
        <v>2669</v>
      </c>
      <c r="E1865" s="38" t="s">
        <v>4</v>
      </c>
      <c r="F1865" s="38" t="s">
        <v>15</v>
      </c>
      <c r="G1865" s="32">
        <v>0</v>
      </c>
      <c r="H1865" s="32">
        <v>2213336613</v>
      </c>
      <c r="I1865" s="32">
        <v>2213336613</v>
      </c>
      <c r="J1865" s="35">
        <f>+G1865-H1865+I1865</f>
        <v>0</v>
      </c>
      <c r="K1865" s="28">
        <v>0</v>
      </c>
      <c r="L1865" s="32">
        <v>0</v>
      </c>
      <c r="M1865" s="35">
        <f>+J1865+L1865</f>
        <v>0</v>
      </c>
      <c r="N1865" s="28" t="s">
        <v>2648</v>
      </c>
      <c r="O1865" s="29" t="s">
        <v>2649</v>
      </c>
      <c r="P1865" s="36">
        <v>44915</v>
      </c>
      <c r="Q1865" s="31">
        <v>34987.230000000003</v>
      </c>
      <c r="R1865" s="33">
        <f>M1865/Q1865</f>
        <v>0</v>
      </c>
    </row>
    <row r="1866" spans="1:18" s="30" customFormat="1" ht="15" customHeight="1">
      <c r="A1866" s="37" t="s">
        <v>391</v>
      </c>
      <c r="B1866" s="26" t="s">
        <v>392</v>
      </c>
      <c r="C1866" s="39">
        <v>33</v>
      </c>
      <c r="D1866" s="40" t="s">
        <v>2670</v>
      </c>
      <c r="E1866" s="38" t="s">
        <v>3</v>
      </c>
      <c r="F1866" s="38" t="s">
        <v>10</v>
      </c>
      <c r="G1866" s="32">
        <v>0</v>
      </c>
      <c r="H1866" s="32">
        <v>0</v>
      </c>
      <c r="I1866" s="32">
        <v>48947926</v>
      </c>
      <c r="J1866" s="35">
        <f>+G1866-H1866+I1866</f>
        <v>48947926</v>
      </c>
      <c r="K1866" s="28">
        <v>0</v>
      </c>
      <c r="L1866" s="32">
        <v>0</v>
      </c>
      <c r="M1866" s="35">
        <f>+J1866+L1866</f>
        <v>48947926</v>
      </c>
      <c r="N1866" s="28" t="s">
        <v>2549</v>
      </c>
      <c r="O1866" s="29" t="s">
        <v>2550</v>
      </c>
      <c r="P1866" s="36">
        <v>43269</v>
      </c>
      <c r="Q1866" s="31">
        <v>27126.25</v>
      </c>
      <c r="R1866" s="33">
        <f>M1866/Q1866</f>
        <v>1804.4486797843417</v>
      </c>
    </row>
    <row r="1867" spans="1:18" s="30" customFormat="1" ht="15" customHeight="1">
      <c r="A1867" s="37" t="s">
        <v>52</v>
      </c>
      <c r="B1867" s="26" t="s">
        <v>555</v>
      </c>
      <c r="C1867" s="39">
        <v>33</v>
      </c>
      <c r="D1867" s="40" t="s">
        <v>2671</v>
      </c>
      <c r="E1867" s="38" t="s">
        <v>3</v>
      </c>
      <c r="F1867" s="38" t="s">
        <v>11</v>
      </c>
      <c r="G1867" s="32">
        <v>53032452</v>
      </c>
      <c r="H1867" s="32">
        <v>44528783</v>
      </c>
      <c r="I1867" s="32">
        <v>16549060</v>
      </c>
      <c r="J1867" s="35">
        <f>+G1867-H1867+I1867</f>
        <v>25052729</v>
      </c>
      <c r="K1867" s="28">
        <v>0</v>
      </c>
      <c r="L1867" s="32">
        <v>0</v>
      </c>
      <c r="M1867" s="35">
        <f>+J1867+L1867</f>
        <v>25052729</v>
      </c>
      <c r="N1867" s="28" t="s">
        <v>1160</v>
      </c>
      <c r="O1867" s="29" t="s">
        <v>1161</v>
      </c>
      <c r="P1867" s="36">
        <v>42689</v>
      </c>
      <c r="Q1867" s="31">
        <v>26287.25</v>
      </c>
      <c r="R1867" s="33">
        <f>M1867/Q1867</f>
        <v>953.03727092031306</v>
      </c>
    </row>
    <row r="1868" spans="1:18" s="30" customFormat="1" ht="15" customHeight="1">
      <c r="A1868" s="37" t="s">
        <v>2639</v>
      </c>
      <c r="B1868" s="26" t="s">
        <v>2640</v>
      </c>
      <c r="C1868" s="39">
        <v>33</v>
      </c>
      <c r="D1868" s="40" t="s">
        <v>2672</v>
      </c>
      <c r="E1868" s="38" t="s">
        <v>4</v>
      </c>
      <c r="F1868" s="38" t="s">
        <v>17</v>
      </c>
      <c r="G1868" s="32">
        <v>0</v>
      </c>
      <c r="H1868" s="32">
        <v>1372151</v>
      </c>
      <c r="I1868" s="32">
        <v>5946844</v>
      </c>
      <c r="J1868" s="35">
        <f>+G1868-H1868+I1868</f>
        <v>4574693</v>
      </c>
      <c r="K1868" s="28">
        <v>0</v>
      </c>
      <c r="L1868" s="32">
        <v>0</v>
      </c>
      <c r="M1868" s="35">
        <f>+J1868+L1868</f>
        <v>4574693</v>
      </c>
      <c r="N1868" s="28" t="s">
        <v>2642</v>
      </c>
      <c r="O1868" s="29" t="s">
        <v>2643</v>
      </c>
      <c r="P1868" s="36">
        <v>43494</v>
      </c>
      <c r="Q1868" s="31">
        <v>27548</v>
      </c>
      <c r="R1868" s="33">
        <f>M1868/Q1868</f>
        <v>166.06261797589661</v>
      </c>
    </row>
    <row r="1869" spans="1:18" s="30" customFormat="1" ht="15" customHeight="1">
      <c r="A1869" s="37" t="s">
        <v>166</v>
      </c>
      <c r="B1869" s="26" t="s">
        <v>167</v>
      </c>
      <c r="C1869" s="39" t="s">
        <v>2673</v>
      </c>
      <c r="D1869" s="40" t="s">
        <v>2674</v>
      </c>
      <c r="E1869" s="38" t="s">
        <v>3</v>
      </c>
      <c r="F1869" s="38" t="s">
        <v>12</v>
      </c>
      <c r="G1869" s="32">
        <v>31091273</v>
      </c>
      <c r="H1869" s="32">
        <v>0</v>
      </c>
      <c r="I1869" s="52">
        <v>0</v>
      </c>
      <c r="J1869" s="35">
        <f>+G1869-H1869+I1869</f>
        <v>31091273</v>
      </c>
      <c r="K1869" s="27" t="s">
        <v>170</v>
      </c>
      <c r="L1869" s="32">
        <v>0</v>
      </c>
      <c r="M1869" s="35">
        <f>+J1869+L1869</f>
        <v>31091273</v>
      </c>
      <c r="N1869" s="28" t="s">
        <v>171</v>
      </c>
      <c r="O1869" s="29" t="s">
        <v>1531</v>
      </c>
      <c r="P1869" s="36">
        <v>44341</v>
      </c>
      <c r="Q1869" s="31">
        <v>29513.759999999998</v>
      </c>
      <c r="R1869" s="33">
        <v>1053</v>
      </c>
    </row>
    <row r="1870" spans="1:18" s="30" customFormat="1" ht="15" customHeight="1">
      <c r="A1870" s="37" t="s">
        <v>52</v>
      </c>
      <c r="B1870" s="26" t="s">
        <v>2606</v>
      </c>
      <c r="C1870" s="39">
        <v>33</v>
      </c>
      <c r="D1870" s="40" t="s">
        <v>2675</v>
      </c>
      <c r="E1870" s="38" t="s">
        <v>4</v>
      </c>
      <c r="F1870" s="38" t="s">
        <v>12</v>
      </c>
      <c r="G1870" s="32">
        <v>1825943</v>
      </c>
      <c r="H1870" s="32">
        <v>0</v>
      </c>
      <c r="I1870" s="32">
        <v>92970420</v>
      </c>
      <c r="J1870" s="35">
        <f>+G1870-H1870+I1870</f>
        <v>94796363</v>
      </c>
      <c r="K1870" s="28">
        <v>0</v>
      </c>
      <c r="L1870" s="32">
        <v>0</v>
      </c>
      <c r="M1870" s="35">
        <f>+J1870+L1870</f>
        <v>94796363</v>
      </c>
      <c r="N1870" s="28" t="s">
        <v>2619</v>
      </c>
      <c r="O1870" s="29" t="s">
        <v>2620</v>
      </c>
      <c r="P1870" s="36">
        <v>42809</v>
      </c>
      <c r="Q1870" s="31">
        <v>26444.65</v>
      </c>
      <c r="R1870" s="33">
        <f>M1870/Q1870</f>
        <v>3584.7085516352076</v>
      </c>
    </row>
    <row r="1871" spans="1:18" s="30" customFormat="1" ht="15" customHeight="1">
      <c r="A1871" s="37" t="s">
        <v>688</v>
      </c>
      <c r="B1871" s="26" t="s">
        <v>1728</v>
      </c>
      <c r="C1871" s="39">
        <v>33</v>
      </c>
      <c r="D1871" s="40" t="s">
        <v>2668</v>
      </c>
      <c r="E1871" s="38" t="s">
        <v>6</v>
      </c>
      <c r="F1871" s="38" t="s">
        <v>20</v>
      </c>
      <c r="G1871" s="32">
        <v>543904</v>
      </c>
      <c r="H1871" s="32">
        <v>0</v>
      </c>
      <c r="I1871" s="52">
        <v>0</v>
      </c>
      <c r="J1871" s="35">
        <f>+G1871-H1871+I1871</f>
        <v>543904</v>
      </c>
      <c r="K1871" s="28">
        <v>0</v>
      </c>
      <c r="L1871" s="32">
        <v>0</v>
      </c>
      <c r="M1871" s="35">
        <f>+J1871+L1871</f>
        <v>543904</v>
      </c>
      <c r="N1871" s="28" t="s">
        <v>2343</v>
      </c>
      <c r="O1871" s="29" t="s">
        <v>2344</v>
      </c>
      <c r="P1871" s="36">
        <v>42810</v>
      </c>
      <c r="Q1871" s="31">
        <v>26446.36</v>
      </c>
      <c r="R1871" s="33">
        <f>M1871/Q1871</f>
        <v>20.566308558153182</v>
      </c>
    </row>
    <row r="1872" spans="1:18" s="30" customFormat="1" ht="15" customHeight="1">
      <c r="A1872" s="37" t="s">
        <v>293</v>
      </c>
      <c r="B1872" s="26" t="s">
        <v>294</v>
      </c>
      <c r="C1872" s="39">
        <v>32</v>
      </c>
      <c r="D1872" s="40" t="s">
        <v>2676</v>
      </c>
      <c r="E1872" s="38" t="s">
        <v>3</v>
      </c>
      <c r="F1872" s="38" t="s">
        <v>12</v>
      </c>
      <c r="G1872" s="32">
        <v>112834</v>
      </c>
      <c r="H1872" s="32">
        <v>0</v>
      </c>
      <c r="I1872" s="32">
        <v>1260600</v>
      </c>
      <c r="J1872" s="35">
        <f>+G1872-H1872+I1872</f>
        <v>1373434</v>
      </c>
      <c r="K1872" s="28">
        <v>0</v>
      </c>
      <c r="L1872" s="32">
        <v>0</v>
      </c>
      <c r="M1872" s="35">
        <f>+J1872+L1872</f>
        <v>1373434</v>
      </c>
      <c r="N1872" s="28" t="s">
        <v>1567</v>
      </c>
      <c r="O1872" s="29" t="s">
        <v>1568</v>
      </c>
      <c r="P1872" s="36">
        <v>43886</v>
      </c>
      <c r="Q1872" s="31">
        <v>28440.19</v>
      </c>
      <c r="R1872" s="33">
        <f>M1872/Q1872</f>
        <v>48.292012113843121</v>
      </c>
    </row>
    <row r="1873" spans="1:18" s="30" customFormat="1" ht="15" customHeight="1">
      <c r="A1873" s="37" t="s">
        <v>391</v>
      </c>
      <c r="B1873" s="26" t="s">
        <v>392</v>
      </c>
      <c r="C1873" s="39">
        <v>127</v>
      </c>
      <c r="D1873" s="40" t="s">
        <v>2677</v>
      </c>
      <c r="E1873" s="38" t="s">
        <v>3</v>
      </c>
      <c r="F1873" s="38" t="s">
        <v>15</v>
      </c>
      <c r="G1873" s="32">
        <v>31256228</v>
      </c>
      <c r="H1873" s="32">
        <v>0</v>
      </c>
      <c r="I1873" s="52">
        <v>0</v>
      </c>
      <c r="J1873" s="35">
        <f>+G1873-H1873+I1873</f>
        <v>31256228</v>
      </c>
      <c r="K1873" s="27"/>
      <c r="L1873" s="32">
        <v>0</v>
      </c>
      <c r="M1873" s="35">
        <f>+J1873+L1873</f>
        <v>31256228</v>
      </c>
      <c r="N1873" s="28" t="s">
        <v>765</v>
      </c>
      <c r="O1873" s="29" t="s">
        <v>766</v>
      </c>
      <c r="P1873" s="36">
        <v>44140</v>
      </c>
      <c r="Q1873" s="31">
        <v>28866.47</v>
      </c>
      <c r="R1873" s="33">
        <f>M1873/Q1873</f>
        <v>1082.7866379228219</v>
      </c>
    </row>
    <row r="1874" spans="1:18" s="30" customFormat="1" ht="15" customHeight="1">
      <c r="A1874" s="37" t="s">
        <v>874</v>
      </c>
      <c r="B1874" s="26" t="s">
        <v>875</v>
      </c>
      <c r="C1874" s="39">
        <v>32</v>
      </c>
      <c r="D1874" s="40" t="s">
        <v>2678</v>
      </c>
      <c r="E1874" s="38" t="s">
        <v>3</v>
      </c>
      <c r="F1874" s="38" t="s">
        <v>10</v>
      </c>
      <c r="G1874" s="32">
        <v>7653761</v>
      </c>
      <c r="H1874" s="32"/>
      <c r="I1874" s="32"/>
      <c r="J1874" s="35">
        <f>+G1874-H1874+I1874</f>
        <v>7653761</v>
      </c>
      <c r="K1874" s="28">
        <v>0</v>
      </c>
      <c r="L1874" s="32">
        <v>0</v>
      </c>
      <c r="M1874" s="35">
        <f>+J1874+L1874</f>
        <v>7653761</v>
      </c>
      <c r="N1874" s="28" t="s">
        <v>1179</v>
      </c>
      <c r="O1874" s="29" t="s">
        <v>1180</v>
      </c>
      <c r="P1874" s="36">
        <v>44454</v>
      </c>
      <c r="Q1874" s="31">
        <v>30028</v>
      </c>
      <c r="R1874" s="33">
        <v>254.88</v>
      </c>
    </row>
    <row r="1875" spans="1:18" s="30" customFormat="1" ht="15" customHeight="1">
      <c r="A1875" s="37" t="s">
        <v>356</v>
      </c>
      <c r="B1875" s="26" t="s">
        <v>1540</v>
      </c>
      <c r="C1875" s="39">
        <v>32</v>
      </c>
      <c r="D1875" s="40" t="s">
        <v>2679</v>
      </c>
      <c r="E1875" s="38" t="s">
        <v>4</v>
      </c>
      <c r="F1875" s="38" t="s">
        <v>13</v>
      </c>
      <c r="G1875" s="32">
        <v>225837.22283994732</v>
      </c>
      <c r="H1875" s="32">
        <v>31618.180770114399</v>
      </c>
      <c r="I1875" s="32">
        <v>296215</v>
      </c>
      <c r="J1875" s="35">
        <f>+G1875-H1875+I1875</f>
        <v>490434.04206983291</v>
      </c>
      <c r="K1875" s="28">
        <v>0</v>
      </c>
      <c r="L1875" s="32">
        <v>0</v>
      </c>
      <c r="M1875" s="35">
        <f>+J1875+L1875</f>
        <v>490434.04206983291</v>
      </c>
      <c r="N1875" s="28" t="s">
        <v>2635</v>
      </c>
      <c r="O1875" s="29" t="s">
        <v>2636</v>
      </c>
      <c r="P1875" s="36">
        <v>42655</v>
      </c>
      <c r="Q1875" s="31">
        <v>26229.37</v>
      </c>
      <c r="R1875" s="33">
        <f>M1875/Q1875</f>
        <v>18.697896368453872</v>
      </c>
    </row>
    <row r="1876" spans="1:18" s="30" customFormat="1" ht="15" customHeight="1">
      <c r="A1876" s="37" t="s">
        <v>39</v>
      </c>
      <c r="B1876" s="26" t="s">
        <v>1658</v>
      </c>
      <c r="C1876" s="39">
        <v>32</v>
      </c>
      <c r="D1876" s="40" t="s">
        <v>2680</v>
      </c>
      <c r="E1876" s="38" t="s">
        <v>3</v>
      </c>
      <c r="F1876" s="38" t="s">
        <v>11</v>
      </c>
      <c r="G1876" s="32">
        <v>2193745.85</v>
      </c>
      <c r="H1876" s="32">
        <v>0</v>
      </c>
      <c r="I1876" s="52">
        <v>0</v>
      </c>
      <c r="J1876" s="35">
        <f>+G1876-H1876+I1876</f>
        <v>2193745.85</v>
      </c>
      <c r="K1876" s="28">
        <v>0</v>
      </c>
      <c r="L1876" s="32">
        <v>0</v>
      </c>
      <c r="M1876" s="35">
        <f>+J1876+L1876</f>
        <v>2193745.85</v>
      </c>
      <c r="N1876" s="28" t="s">
        <v>2381</v>
      </c>
      <c r="O1876" s="29" t="s">
        <v>2407</v>
      </c>
      <c r="P1876" s="36">
        <v>43277</v>
      </c>
      <c r="Q1876" s="31">
        <v>27147.919999999998</v>
      </c>
      <c r="R1876" s="33">
        <f>M1876/Q1876</f>
        <v>80.807142867667224</v>
      </c>
    </row>
    <row r="1877" spans="1:18" s="30" customFormat="1" ht="15" customHeight="1">
      <c r="A1877" s="37" t="s">
        <v>52</v>
      </c>
      <c r="B1877" s="26" t="s">
        <v>555</v>
      </c>
      <c r="C1877" s="39">
        <v>32</v>
      </c>
      <c r="D1877" s="40" t="s">
        <v>2681</v>
      </c>
      <c r="E1877" s="38" t="s">
        <v>3</v>
      </c>
      <c r="F1877" s="38" t="s">
        <v>12</v>
      </c>
      <c r="G1877" s="32">
        <v>1668297</v>
      </c>
      <c r="H1877" s="32">
        <v>700601</v>
      </c>
      <c r="I1877" s="52">
        <v>0</v>
      </c>
      <c r="J1877" s="35">
        <f>+G1877-H1877+I1877</f>
        <v>967696</v>
      </c>
      <c r="K1877" s="28">
        <v>0</v>
      </c>
      <c r="L1877" s="32">
        <v>0</v>
      </c>
      <c r="M1877" s="35">
        <f>+J1877+L1877</f>
        <v>967696</v>
      </c>
      <c r="N1877" s="28" t="s">
        <v>1160</v>
      </c>
      <c r="O1877" s="29" t="s">
        <v>1161</v>
      </c>
      <c r="P1877" s="36">
        <v>42689</v>
      </c>
      <c r="Q1877" s="31">
        <v>26287.25</v>
      </c>
      <c r="R1877" s="33">
        <f>M1877/Q1877</f>
        <v>36.812371016367251</v>
      </c>
    </row>
    <row r="1878" spans="1:18" s="30" customFormat="1" ht="15" customHeight="1">
      <c r="A1878" s="37" t="s">
        <v>2639</v>
      </c>
      <c r="B1878" s="26" t="s">
        <v>2640</v>
      </c>
      <c r="C1878" s="39">
        <v>32</v>
      </c>
      <c r="D1878" s="40" t="s">
        <v>2682</v>
      </c>
      <c r="E1878" s="38" t="s">
        <v>3</v>
      </c>
      <c r="F1878" s="38" t="s">
        <v>18</v>
      </c>
      <c r="G1878" s="32">
        <v>0</v>
      </c>
      <c r="H1878" s="32">
        <v>0</v>
      </c>
      <c r="I1878" s="32">
        <v>2366469</v>
      </c>
      <c r="J1878" s="35">
        <f>+G1878-H1878+I1878</f>
        <v>2366469</v>
      </c>
      <c r="K1878" s="28">
        <v>0</v>
      </c>
      <c r="L1878" s="32">
        <v>0</v>
      </c>
      <c r="M1878" s="35">
        <f>+J1878+L1878</f>
        <v>2366469</v>
      </c>
      <c r="N1878" s="28" t="s">
        <v>2642</v>
      </c>
      <c r="O1878" s="29" t="s">
        <v>2643</v>
      </c>
      <c r="P1878" s="36">
        <v>43494</v>
      </c>
      <c r="Q1878" s="31">
        <v>27548</v>
      </c>
      <c r="R1878" s="33">
        <f>M1878/Q1878</f>
        <v>85.903477566429501</v>
      </c>
    </row>
    <row r="1879" spans="1:18" s="30" customFormat="1" ht="15" customHeight="1">
      <c r="A1879" s="37" t="s">
        <v>52</v>
      </c>
      <c r="B1879" s="26" t="s">
        <v>2606</v>
      </c>
      <c r="C1879" s="39">
        <v>32</v>
      </c>
      <c r="D1879" s="40" t="s">
        <v>2683</v>
      </c>
      <c r="E1879" s="38" t="s">
        <v>4</v>
      </c>
      <c r="F1879" s="38" t="s">
        <v>11</v>
      </c>
      <c r="G1879" s="32">
        <v>1842229</v>
      </c>
      <c r="H1879" s="32">
        <v>-4583362</v>
      </c>
      <c r="I1879" s="52">
        <v>0</v>
      </c>
      <c r="J1879" s="35">
        <f>+G1879-H1879+I1879</f>
        <v>6425591</v>
      </c>
      <c r="K1879" s="28">
        <v>0</v>
      </c>
      <c r="L1879" s="32">
        <v>0</v>
      </c>
      <c r="M1879" s="35">
        <f>+J1879+L1879</f>
        <v>6425591</v>
      </c>
      <c r="N1879" s="28" t="s">
        <v>2684</v>
      </c>
      <c r="O1879" s="29" t="s">
        <v>2685</v>
      </c>
      <c r="P1879" s="36">
        <v>42727</v>
      </c>
      <c r="Q1879" s="31">
        <v>26341.19</v>
      </c>
      <c r="R1879" s="33">
        <f>M1879/Q1879</f>
        <v>243.9370051239143</v>
      </c>
    </row>
    <row r="1880" spans="1:18" s="30" customFormat="1" ht="15" customHeight="1">
      <c r="A1880" s="37" t="s">
        <v>391</v>
      </c>
      <c r="B1880" s="26" t="s">
        <v>392</v>
      </c>
      <c r="C1880" s="39">
        <v>170</v>
      </c>
      <c r="D1880" s="40" t="s">
        <v>2686</v>
      </c>
      <c r="E1880" s="38" t="s">
        <v>3</v>
      </c>
      <c r="F1880" s="38" t="s">
        <v>9</v>
      </c>
      <c r="G1880" s="32">
        <v>31613333</v>
      </c>
      <c r="H1880" s="32">
        <v>0</v>
      </c>
      <c r="I1880" s="52">
        <v>0</v>
      </c>
      <c r="J1880" s="35">
        <f>+G1880-H1880+I1880</f>
        <v>31613333</v>
      </c>
      <c r="K1880" s="27">
        <v>18.98</v>
      </c>
      <c r="L1880" s="32">
        <v>0</v>
      </c>
      <c r="M1880" s="35">
        <f>+J1880+L1880</f>
        <v>31613333</v>
      </c>
      <c r="N1880" s="28" t="s">
        <v>467</v>
      </c>
      <c r="O1880" s="29" t="s">
        <v>395</v>
      </c>
      <c r="P1880" s="36">
        <v>44293</v>
      </c>
      <c r="Q1880" s="31">
        <v>29408.04</v>
      </c>
      <c r="R1880" s="33">
        <f>M1880/Q1880</f>
        <v>1074.9894586650453</v>
      </c>
    </row>
    <row r="1881" spans="1:18" s="30" customFormat="1" ht="15" customHeight="1">
      <c r="A1881" s="37" t="s">
        <v>688</v>
      </c>
      <c r="B1881" s="26" t="s">
        <v>1728</v>
      </c>
      <c r="C1881" s="39">
        <v>32</v>
      </c>
      <c r="D1881" s="40" t="s">
        <v>2687</v>
      </c>
      <c r="E1881" s="38" t="s">
        <v>6</v>
      </c>
      <c r="F1881" s="38" t="s">
        <v>20</v>
      </c>
      <c r="G1881" s="32">
        <v>377613.4656</v>
      </c>
      <c r="H1881" s="32">
        <v>0</v>
      </c>
      <c r="I1881" s="52">
        <v>0</v>
      </c>
      <c r="J1881" s="35">
        <f>+G1881-H1881+I1881</f>
        <v>377613.4656</v>
      </c>
      <c r="K1881" s="28">
        <v>0</v>
      </c>
      <c r="L1881" s="32">
        <v>0</v>
      </c>
      <c r="M1881" s="35">
        <f>+J1881+L1881</f>
        <v>377613.4656</v>
      </c>
      <c r="N1881" s="28" t="s">
        <v>1935</v>
      </c>
      <c r="O1881" s="29" t="s">
        <v>1936</v>
      </c>
      <c r="P1881" s="36">
        <v>42899</v>
      </c>
      <c r="Q1881" s="31">
        <v>26649.99</v>
      </c>
      <c r="R1881" s="33">
        <f>M1881/Q1881</f>
        <v>14.169366127341885</v>
      </c>
    </row>
    <row r="1882" spans="1:18" s="30" customFormat="1" ht="15" customHeight="1">
      <c r="A1882" s="37" t="s">
        <v>391</v>
      </c>
      <c r="B1882" s="26" t="s">
        <v>392</v>
      </c>
      <c r="C1882" s="39">
        <v>140</v>
      </c>
      <c r="D1882" s="40" t="s">
        <v>2688</v>
      </c>
      <c r="E1882" s="38" t="s">
        <v>3</v>
      </c>
      <c r="F1882" s="38" t="s">
        <v>11</v>
      </c>
      <c r="G1882" s="32">
        <v>31959322</v>
      </c>
      <c r="H1882" s="32">
        <v>0</v>
      </c>
      <c r="I1882" s="32">
        <v>8801892</v>
      </c>
      <c r="J1882" s="35">
        <f>+G1882-H1882+I1882</f>
        <v>40761214</v>
      </c>
      <c r="K1882" s="27"/>
      <c r="L1882" s="32">
        <v>0</v>
      </c>
      <c r="M1882" s="35">
        <f>+J1882+L1882</f>
        <v>40761214</v>
      </c>
      <c r="N1882" s="28" t="s">
        <v>765</v>
      </c>
      <c r="O1882" s="29" t="s">
        <v>766</v>
      </c>
      <c r="P1882" s="36">
        <v>44140</v>
      </c>
      <c r="Q1882" s="31">
        <v>28866.47</v>
      </c>
      <c r="R1882" s="33">
        <f>M1882/Q1882</f>
        <v>1412.0609135789723</v>
      </c>
    </row>
    <row r="1883" spans="1:18" s="30" customFormat="1" ht="15" customHeight="1">
      <c r="A1883" s="37" t="s">
        <v>236</v>
      </c>
      <c r="B1883" s="26" t="s">
        <v>237</v>
      </c>
      <c r="C1883" s="39">
        <v>31</v>
      </c>
      <c r="D1883" s="40" t="s">
        <v>2689</v>
      </c>
      <c r="E1883" s="38" t="s">
        <v>3</v>
      </c>
      <c r="F1883" s="38" t="s">
        <v>13</v>
      </c>
      <c r="G1883" s="32">
        <v>1610676</v>
      </c>
      <c r="H1883" s="32">
        <v>0</v>
      </c>
      <c r="I1883" s="32">
        <v>3148866</v>
      </c>
      <c r="J1883" s="35">
        <f>+G1883-H1883+I1883</f>
        <v>4759542</v>
      </c>
      <c r="K1883" s="28">
        <v>0</v>
      </c>
      <c r="L1883" s="32">
        <v>0</v>
      </c>
      <c r="M1883" s="35">
        <f>+J1883+L1883</f>
        <v>4759542</v>
      </c>
      <c r="N1883" s="28" t="s">
        <v>2690</v>
      </c>
      <c r="O1883" s="29" t="s">
        <v>2691</v>
      </c>
      <c r="P1883" s="36">
        <v>44729</v>
      </c>
      <c r="Q1883" s="31">
        <v>32916.25</v>
      </c>
      <c r="R1883" s="33">
        <f>M1883/Q1883</f>
        <v>144.59551133558654</v>
      </c>
    </row>
    <row r="1884" spans="1:18" s="30" customFormat="1" ht="15" customHeight="1">
      <c r="A1884" s="37" t="s">
        <v>391</v>
      </c>
      <c r="B1884" s="26" t="s">
        <v>392</v>
      </c>
      <c r="C1884" s="39">
        <v>31</v>
      </c>
      <c r="D1884" s="40" t="s">
        <v>2692</v>
      </c>
      <c r="E1884" s="38" t="s">
        <v>3</v>
      </c>
      <c r="F1884" s="38" t="s">
        <v>11</v>
      </c>
      <c r="G1884" s="32">
        <v>925611</v>
      </c>
      <c r="H1884" s="32">
        <v>0</v>
      </c>
      <c r="I1884" s="32">
        <v>11468160</v>
      </c>
      <c r="J1884" s="35">
        <f>+G1884-H1884+I1884</f>
        <v>12393771</v>
      </c>
      <c r="K1884" s="28">
        <v>0</v>
      </c>
      <c r="L1884" s="32">
        <v>0</v>
      </c>
      <c r="M1884" s="35">
        <f>+J1884+L1884</f>
        <v>12393771</v>
      </c>
      <c r="N1884" s="28" t="s">
        <v>2449</v>
      </c>
      <c r="O1884" s="29" t="s">
        <v>2450</v>
      </c>
      <c r="P1884" s="36">
        <v>43427</v>
      </c>
      <c r="Q1884" s="31">
        <v>27507.17</v>
      </c>
      <c r="R1884" s="33">
        <f>M1884/Q1884</f>
        <v>450.56510720659378</v>
      </c>
    </row>
    <row r="1885" spans="1:18" s="30" customFormat="1" ht="15" customHeight="1">
      <c r="A1885" s="37" t="s">
        <v>293</v>
      </c>
      <c r="B1885" s="26" t="s">
        <v>294</v>
      </c>
      <c r="C1885" s="39">
        <v>31</v>
      </c>
      <c r="D1885" s="40" t="s">
        <v>2693</v>
      </c>
      <c r="E1885" s="38" t="s">
        <v>3</v>
      </c>
      <c r="F1885" s="38" t="s">
        <v>12</v>
      </c>
      <c r="G1885" s="32">
        <v>414738</v>
      </c>
      <c r="H1885" s="32">
        <v>0</v>
      </c>
      <c r="I1885" s="32">
        <v>10283435</v>
      </c>
      <c r="J1885" s="35">
        <f>+G1885-H1885+I1885</f>
        <v>10698173</v>
      </c>
      <c r="K1885" s="28">
        <v>0</v>
      </c>
      <c r="L1885" s="32">
        <v>0</v>
      </c>
      <c r="M1885" s="35">
        <f>+J1885+L1885</f>
        <v>10698173</v>
      </c>
      <c r="N1885" s="28" t="s">
        <v>1567</v>
      </c>
      <c r="O1885" s="29" t="s">
        <v>1568</v>
      </c>
      <c r="P1885" s="36">
        <v>43886</v>
      </c>
      <c r="Q1885" s="31">
        <v>28440.19</v>
      </c>
      <c r="R1885" s="33">
        <f>M1885/Q1885</f>
        <v>376.16390748444371</v>
      </c>
    </row>
    <row r="1886" spans="1:18" s="30" customFormat="1" ht="15" customHeight="1">
      <c r="A1886" s="37" t="s">
        <v>356</v>
      </c>
      <c r="B1886" s="26" t="s">
        <v>1540</v>
      </c>
      <c r="C1886" s="39">
        <v>31</v>
      </c>
      <c r="D1886" s="40" t="s">
        <v>2694</v>
      </c>
      <c r="E1886" s="38" t="s">
        <v>3</v>
      </c>
      <c r="F1886" s="38" t="s">
        <v>15</v>
      </c>
      <c r="G1886" s="32">
        <v>3148995.6607599249</v>
      </c>
      <c r="H1886" s="32">
        <v>0</v>
      </c>
      <c r="I1886" s="52">
        <v>0</v>
      </c>
      <c r="J1886" s="35">
        <f>+G1886-H1886+I1886</f>
        <v>3148995.6607599249</v>
      </c>
      <c r="K1886" s="28">
        <v>0</v>
      </c>
      <c r="L1886" s="32">
        <v>0</v>
      </c>
      <c r="M1886" s="35">
        <f>+J1886+L1886</f>
        <v>3148995.6607599249</v>
      </c>
      <c r="N1886" s="28" t="s">
        <v>2635</v>
      </c>
      <c r="O1886" s="29" t="s">
        <v>2636</v>
      </c>
      <c r="P1886" s="36">
        <v>42655</v>
      </c>
      <c r="Q1886" s="31">
        <v>26229.37</v>
      </c>
      <c r="R1886" s="33">
        <f>M1886/Q1886</f>
        <v>120.05609211200746</v>
      </c>
    </row>
    <row r="1887" spans="1:18" s="30" customFormat="1" ht="15" customHeight="1">
      <c r="A1887" s="37" t="s">
        <v>39</v>
      </c>
      <c r="B1887" s="26" t="s">
        <v>1658</v>
      </c>
      <c r="C1887" s="39">
        <v>31</v>
      </c>
      <c r="D1887" s="40" t="s">
        <v>2695</v>
      </c>
      <c r="E1887" s="38" t="s">
        <v>3</v>
      </c>
      <c r="F1887" s="38" t="s">
        <v>10</v>
      </c>
      <c r="G1887" s="32">
        <v>7551286.8600000003</v>
      </c>
      <c r="H1887" s="32">
        <v>0</v>
      </c>
      <c r="I1887" s="32">
        <v>354587.98899999994</v>
      </c>
      <c r="J1887" s="35">
        <f>+G1887-H1887+I1887</f>
        <v>7905874.8490000004</v>
      </c>
      <c r="K1887" s="28">
        <v>0</v>
      </c>
      <c r="L1887" s="32">
        <v>0</v>
      </c>
      <c r="M1887" s="35">
        <f>+J1887+L1887</f>
        <v>7905874.8490000004</v>
      </c>
      <c r="N1887" s="28" t="s">
        <v>2381</v>
      </c>
      <c r="O1887" s="29" t="s">
        <v>2407</v>
      </c>
      <c r="P1887" s="36">
        <v>43277</v>
      </c>
      <c r="Q1887" s="31">
        <v>27147.919999999998</v>
      </c>
      <c r="R1887" s="33">
        <f>M1887/Q1887</f>
        <v>291.21475416901188</v>
      </c>
    </row>
    <row r="1888" spans="1:18" s="30" customFormat="1" ht="15" customHeight="1">
      <c r="A1888" s="37" t="s">
        <v>52</v>
      </c>
      <c r="B1888" s="26" t="s">
        <v>555</v>
      </c>
      <c r="C1888" s="39">
        <v>31</v>
      </c>
      <c r="D1888" s="40" t="s">
        <v>2696</v>
      </c>
      <c r="E1888" s="38" t="s">
        <v>3</v>
      </c>
      <c r="F1888" s="38" t="s">
        <v>12</v>
      </c>
      <c r="G1888" s="32">
        <v>19387987</v>
      </c>
      <c r="H1888" s="32">
        <v>15201380</v>
      </c>
      <c r="I1888" s="32">
        <v>816981</v>
      </c>
      <c r="J1888" s="35">
        <f>+G1888-H1888+I1888</f>
        <v>5003588</v>
      </c>
      <c r="K1888" s="28">
        <v>0</v>
      </c>
      <c r="L1888" s="32">
        <v>0</v>
      </c>
      <c r="M1888" s="35">
        <f>+J1888+L1888</f>
        <v>5003588</v>
      </c>
      <c r="N1888" s="28" t="s">
        <v>1160</v>
      </c>
      <c r="O1888" s="29" t="s">
        <v>1161</v>
      </c>
      <c r="P1888" s="36">
        <v>42689</v>
      </c>
      <c r="Q1888" s="31">
        <v>26287.25</v>
      </c>
      <c r="R1888" s="33">
        <f>M1888/Q1888</f>
        <v>190.34277073486197</v>
      </c>
    </row>
    <row r="1889" spans="1:18" s="30" customFormat="1" ht="15" customHeight="1">
      <c r="A1889" s="37" t="s">
        <v>2639</v>
      </c>
      <c r="B1889" s="26" t="s">
        <v>2640</v>
      </c>
      <c r="C1889" s="39">
        <v>31</v>
      </c>
      <c r="D1889" s="40" t="s">
        <v>2697</v>
      </c>
      <c r="E1889" s="38" t="s">
        <v>4</v>
      </c>
      <c r="F1889" s="38" t="s">
        <v>14</v>
      </c>
      <c r="G1889" s="32">
        <v>394842</v>
      </c>
      <c r="H1889" s="32">
        <v>0</v>
      </c>
      <c r="I1889" s="32">
        <v>899415</v>
      </c>
      <c r="J1889" s="35">
        <f>+G1889-H1889+I1889</f>
        <v>1294257</v>
      </c>
      <c r="K1889" s="28">
        <v>0</v>
      </c>
      <c r="L1889" s="32">
        <v>0</v>
      </c>
      <c r="M1889" s="35">
        <f>+J1889+L1889</f>
        <v>1294257</v>
      </c>
      <c r="N1889" s="28" t="s">
        <v>2642</v>
      </c>
      <c r="O1889" s="29" t="s">
        <v>2643</v>
      </c>
      <c r="P1889" s="36">
        <v>43494</v>
      </c>
      <c r="Q1889" s="31">
        <v>27548</v>
      </c>
      <c r="R1889" s="33">
        <f>M1889/Q1889</f>
        <v>46.981886162334831</v>
      </c>
    </row>
    <row r="1890" spans="1:18" s="30" customFormat="1" ht="15" customHeight="1">
      <c r="A1890" s="37" t="s">
        <v>688</v>
      </c>
      <c r="B1890" s="26" t="s">
        <v>1728</v>
      </c>
      <c r="C1890" s="39">
        <v>31</v>
      </c>
      <c r="D1890" s="40" t="s">
        <v>2698</v>
      </c>
      <c r="E1890" s="38" t="s">
        <v>6</v>
      </c>
      <c r="F1890" s="38" t="s">
        <v>20</v>
      </c>
      <c r="G1890" s="32">
        <v>238601</v>
      </c>
      <c r="H1890" s="32">
        <v>0</v>
      </c>
      <c r="I1890" s="52">
        <v>0</v>
      </c>
      <c r="J1890" s="35">
        <f>+G1890-H1890+I1890</f>
        <v>238601</v>
      </c>
      <c r="K1890" s="28">
        <v>0</v>
      </c>
      <c r="L1890" s="32">
        <v>0</v>
      </c>
      <c r="M1890" s="35">
        <f>+J1890+L1890</f>
        <v>238601</v>
      </c>
      <c r="N1890" s="28" t="s">
        <v>1935</v>
      </c>
      <c r="O1890" s="29" t="s">
        <v>1936</v>
      </c>
      <c r="P1890" s="36">
        <v>42899</v>
      </c>
      <c r="Q1890" s="31">
        <v>26649.99</v>
      </c>
      <c r="R1890" s="33">
        <f>M1890/Q1890</f>
        <v>8.9531365677810761</v>
      </c>
    </row>
    <row r="1891" spans="1:18" s="30" customFormat="1" ht="15" customHeight="1">
      <c r="A1891" s="37" t="s">
        <v>236</v>
      </c>
      <c r="B1891" s="26" t="s">
        <v>237</v>
      </c>
      <c r="C1891" s="39">
        <v>30</v>
      </c>
      <c r="D1891" s="40" t="s">
        <v>2699</v>
      </c>
      <c r="E1891" s="38" t="s">
        <v>198</v>
      </c>
      <c r="F1891" s="38" t="s">
        <v>11</v>
      </c>
      <c r="G1891" s="32">
        <v>0</v>
      </c>
      <c r="H1891" s="32">
        <v>0</v>
      </c>
      <c r="I1891" s="32">
        <v>121718430</v>
      </c>
      <c r="J1891" s="35">
        <f>+G1891-H1891+I1891</f>
        <v>121718430</v>
      </c>
      <c r="K1891" s="28">
        <v>0</v>
      </c>
      <c r="L1891" s="32">
        <v>0</v>
      </c>
      <c r="M1891" s="35">
        <f>+J1891+L1891</f>
        <v>121718430</v>
      </c>
      <c r="N1891" s="28" t="s">
        <v>2690</v>
      </c>
      <c r="O1891" s="29" t="s">
        <v>2691</v>
      </c>
      <c r="P1891" s="36">
        <v>44729</v>
      </c>
      <c r="Q1891" s="31">
        <v>32916.25</v>
      </c>
      <c r="R1891" s="33">
        <f>M1891/Q1891</f>
        <v>3697.8218964797024</v>
      </c>
    </row>
    <row r="1892" spans="1:18" s="30" customFormat="1" ht="15" customHeight="1">
      <c r="A1892" s="37" t="s">
        <v>391</v>
      </c>
      <c r="B1892" s="26" t="s">
        <v>392</v>
      </c>
      <c r="C1892" s="39">
        <v>30</v>
      </c>
      <c r="D1892" s="40" t="s">
        <v>2700</v>
      </c>
      <c r="E1892" s="38" t="s">
        <v>3</v>
      </c>
      <c r="F1892" s="38" t="s">
        <v>10</v>
      </c>
      <c r="G1892" s="32">
        <v>781626</v>
      </c>
      <c r="H1892" s="32">
        <v>0</v>
      </c>
      <c r="I1892" s="52">
        <v>0</v>
      </c>
      <c r="J1892" s="35">
        <f>+G1892-H1892+I1892</f>
        <v>781626</v>
      </c>
      <c r="K1892" s="28">
        <v>0</v>
      </c>
      <c r="L1892" s="32">
        <v>0</v>
      </c>
      <c r="M1892" s="35">
        <f>+J1892+L1892</f>
        <v>781626</v>
      </c>
      <c r="N1892" s="28" t="s">
        <v>2549</v>
      </c>
      <c r="O1892" s="29" t="s">
        <v>2550</v>
      </c>
      <c r="P1892" s="36">
        <v>43269</v>
      </c>
      <c r="Q1892" s="31">
        <v>27126.25</v>
      </c>
      <c r="R1892" s="33">
        <f>M1892/Q1892</f>
        <v>28.814377217639741</v>
      </c>
    </row>
    <row r="1893" spans="1:18" s="30" customFormat="1" ht="15" customHeight="1">
      <c r="A1893" s="37" t="s">
        <v>293</v>
      </c>
      <c r="B1893" s="26" t="s">
        <v>294</v>
      </c>
      <c r="C1893" s="39">
        <v>30</v>
      </c>
      <c r="D1893" s="40" t="s">
        <v>2701</v>
      </c>
      <c r="E1893" s="38" t="s">
        <v>3</v>
      </c>
      <c r="F1893" s="38" t="s">
        <v>13</v>
      </c>
      <c r="G1893" s="32">
        <v>0</v>
      </c>
      <c r="H1893" s="32">
        <v>0</v>
      </c>
      <c r="I1893" s="32">
        <v>600745</v>
      </c>
      <c r="J1893" s="35">
        <f>+G1893-H1893+I1893</f>
        <v>600745</v>
      </c>
      <c r="K1893" s="28">
        <v>0</v>
      </c>
      <c r="L1893" s="32">
        <v>0</v>
      </c>
      <c r="M1893" s="35">
        <f>+J1893+L1893</f>
        <v>600745</v>
      </c>
      <c r="N1893" s="28" t="s">
        <v>1830</v>
      </c>
      <c r="O1893" s="29" t="s">
        <v>1831</v>
      </c>
      <c r="P1893" s="36">
        <v>43878</v>
      </c>
      <c r="Q1893" s="31">
        <v>28393.3</v>
      </c>
      <c r="R1893" s="33">
        <f>M1893/Q1893</f>
        <v>21.157984454078957</v>
      </c>
    </row>
    <row r="1894" spans="1:18" s="30" customFormat="1" ht="15" customHeight="1">
      <c r="A1894" s="37" t="s">
        <v>39</v>
      </c>
      <c r="B1894" s="26" t="s">
        <v>1658</v>
      </c>
      <c r="C1894" s="39">
        <v>30</v>
      </c>
      <c r="D1894" s="40" t="s">
        <v>2702</v>
      </c>
      <c r="E1894" s="38" t="s">
        <v>4</v>
      </c>
      <c r="F1894" s="38" t="s">
        <v>11</v>
      </c>
      <c r="G1894" s="32">
        <v>0</v>
      </c>
      <c r="H1894" s="32">
        <v>4660415</v>
      </c>
      <c r="I1894" s="32">
        <v>21861724.43</v>
      </c>
      <c r="J1894" s="35">
        <f>+G1894-H1894+I1894</f>
        <v>17201309.43</v>
      </c>
      <c r="K1894" s="28">
        <v>0</v>
      </c>
      <c r="L1894" s="32">
        <v>0</v>
      </c>
      <c r="M1894" s="35">
        <f>+J1894+L1894</f>
        <v>17201309.43</v>
      </c>
      <c r="N1894" s="28" t="s">
        <v>2120</v>
      </c>
      <c r="O1894" s="29" t="s">
        <v>2121</v>
      </c>
      <c r="P1894" s="36">
        <v>43448</v>
      </c>
      <c r="Q1894" s="31">
        <v>27565.79</v>
      </c>
      <c r="R1894" s="33">
        <f>M1894/Q1894</f>
        <v>624.00930392345003</v>
      </c>
    </row>
    <row r="1895" spans="1:18" s="30" customFormat="1" ht="15" customHeight="1">
      <c r="A1895" s="37" t="s">
        <v>52</v>
      </c>
      <c r="B1895" s="26" t="s">
        <v>555</v>
      </c>
      <c r="C1895" s="39">
        <v>30</v>
      </c>
      <c r="D1895" s="40" t="s">
        <v>2703</v>
      </c>
      <c r="E1895" s="38" t="s">
        <v>3</v>
      </c>
      <c r="F1895" s="38" t="s">
        <v>12</v>
      </c>
      <c r="G1895" s="32">
        <v>0</v>
      </c>
      <c r="H1895" s="32">
        <v>38833928</v>
      </c>
      <c r="I1895" s="52">
        <v>0</v>
      </c>
      <c r="J1895" s="35">
        <f>+G1895-H1895+I1895</f>
        <v>-38833928</v>
      </c>
      <c r="K1895" s="28">
        <v>0</v>
      </c>
      <c r="L1895" s="32">
        <v>0</v>
      </c>
      <c r="M1895" s="35">
        <f>+J1895+L1895</f>
        <v>-38833928</v>
      </c>
      <c r="N1895" s="28" t="s">
        <v>1160</v>
      </c>
      <c r="O1895" s="29" t="s">
        <v>1161</v>
      </c>
      <c r="P1895" s="36">
        <v>42689</v>
      </c>
      <c r="Q1895" s="31">
        <v>26287.25</v>
      </c>
      <c r="R1895" s="33">
        <f>M1895/Q1895</f>
        <v>-1477.2913865086687</v>
      </c>
    </row>
    <row r="1896" spans="1:18" s="30" customFormat="1" ht="15" customHeight="1">
      <c r="A1896" s="37" t="s">
        <v>166</v>
      </c>
      <c r="B1896" s="26" t="s">
        <v>167</v>
      </c>
      <c r="C1896" s="39" t="s">
        <v>2704</v>
      </c>
      <c r="D1896" s="40" t="s">
        <v>2705</v>
      </c>
      <c r="E1896" s="38" t="s">
        <v>3</v>
      </c>
      <c r="F1896" s="38" t="s">
        <v>10</v>
      </c>
      <c r="G1896" s="32">
        <v>35033169</v>
      </c>
      <c r="H1896" s="32">
        <v>0</v>
      </c>
      <c r="I1896" s="52">
        <v>0</v>
      </c>
      <c r="J1896" s="35">
        <f>+G1896-H1896+I1896</f>
        <v>35033169</v>
      </c>
      <c r="K1896" s="27">
        <v>77</v>
      </c>
      <c r="L1896" s="32">
        <v>0</v>
      </c>
      <c r="M1896" s="35">
        <f>+J1896+L1896</f>
        <v>35033169</v>
      </c>
      <c r="N1896" s="28" t="s">
        <v>171</v>
      </c>
      <c r="O1896" s="29" t="s">
        <v>172</v>
      </c>
      <c r="P1896" s="36">
        <v>44341</v>
      </c>
      <c r="Q1896" s="31">
        <v>29513.759999999998</v>
      </c>
      <c r="R1896" s="33">
        <v>1187</v>
      </c>
    </row>
    <row r="1897" spans="1:18" s="30" customFormat="1" ht="15" customHeight="1">
      <c r="A1897" s="37" t="s">
        <v>688</v>
      </c>
      <c r="B1897" s="26" t="s">
        <v>1728</v>
      </c>
      <c r="C1897" s="39">
        <v>30</v>
      </c>
      <c r="D1897" s="40" t="s">
        <v>2706</v>
      </c>
      <c r="E1897" s="38" t="s">
        <v>6</v>
      </c>
      <c r="F1897" s="38" t="s">
        <v>20</v>
      </c>
      <c r="G1897" s="32">
        <v>419265.36959999998</v>
      </c>
      <c r="H1897" s="32">
        <v>0</v>
      </c>
      <c r="I1897" s="52">
        <v>0</v>
      </c>
      <c r="J1897" s="35">
        <f>+G1897-H1897+I1897</f>
        <v>419265.36959999998</v>
      </c>
      <c r="K1897" s="28">
        <v>0</v>
      </c>
      <c r="L1897" s="32">
        <v>0</v>
      </c>
      <c r="M1897" s="35">
        <f>+J1897+L1897</f>
        <v>419265.36959999998</v>
      </c>
      <c r="N1897" s="28" t="s">
        <v>1935</v>
      </c>
      <c r="O1897" s="29" t="s">
        <v>1936</v>
      </c>
      <c r="P1897" s="36">
        <v>42899</v>
      </c>
      <c r="Q1897" s="31">
        <v>26649.99</v>
      </c>
      <c r="R1897" s="33">
        <f>M1897/Q1897</f>
        <v>15.73228994082174</v>
      </c>
    </row>
    <row r="1898" spans="1:18" s="30" customFormat="1" ht="15" customHeight="1">
      <c r="A1898" s="37" t="s">
        <v>52</v>
      </c>
      <c r="B1898" s="26" t="s">
        <v>555</v>
      </c>
      <c r="C1898" s="39">
        <v>51</v>
      </c>
      <c r="D1898" s="40" t="s">
        <v>2707</v>
      </c>
      <c r="E1898" s="38" t="s">
        <v>4</v>
      </c>
      <c r="F1898" s="38" t="s">
        <v>12</v>
      </c>
      <c r="G1898" s="32">
        <v>35406497</v>
      </c>
      <c r="H1898" s="32">
        <v>26745607</v>
      </c>
      <c r="I1898" s="32">
        <v>3254724</v>
      </c>
      <c r="J1898" s="35">
        <f>+G1898-H1898+I1898</f>
        <v>11915614</v>
      </c>
      <c r="K1898" s="27">
        <v>123</v>
      </c>
      <c r="L1898" s="32">
        <v>916298094</v>
      </c>
      <c r="M1898" s="35">
        <f>+J1898+L1898</f>
        <v>928213708</v>
      </c>
      <c r="N1898" s="28" t="s">
        <v>1160</v>
      </c>
      <c r="O1898" s="29" t="s">
        <v>1161</v>
      </c>
      <c r="P1898" s="36">
        <v>42689</v>
      </c>
      <c r="Q1898" s="31">
        <v>26287.25</v>
      </c>
      <c r="R1898" s="33">
        <f>M1898/Q1898</f>
        <v>35310.415049120769</v>
      </c>
    </row>
    <row r="1899" spans="1:18" s="30" customFormat="1" ht="15" customHeight="1">
      <c r="A1899" s="37" t="s">
        <v>391</v>
      </c>
      <c r="B1899" s="26" t="s">
        <v>392</v>
      </c>
      <c r="C1899" s="39">
        <v>29</v>
      </c>
      <c r="D1899" s="40" t="s">
        <v>2708</v>
      </c>
      <c r="E1899" s="38" t="s">
        <v>3</v>
      </c>
      <c r="F1899" s="38" t="s">
        <v>10</v>
      </c>
      <c r="G1899" s="32">
        <v>30377111</v>
      </c>
      <c r="H1899" s="32">
        <v>0</v>
      </c>
      <c r="I1899" s="52">
        <v>0</v>
      </c>
      <c r="J1899" s="35">
        <f>+G1899-H1899+I1899</f>
        <v>30377111</v>
      </c>
      <c r="K1899" s="28">
        <v>0</v>
      </c>
      <c r="L1899" s="32">
        <v>0</v>
      </c>
      <c r="M1899" s="35">
        <f>+J1899+L1899</f>
        <v>30377111</v>
      </c>
      <c r="N1899" s="28" t="s">
        <v>2449</v>
      </c>
      <c r="O1899" s="29" t="s">
        <v>2450</v>
      </c>
      <c r="P1899" s="36">
        <v>43427</v>
      </c>
      <c r="Q1899" s="31">
        <v>27507.17</v>
      </c>
      <c r="R1899" s="33">
        <f>M1899/Q1899</f>
        <v>1104.3342881146989</v>
      </c>
    </row>
    <row r="1900" spans="1:18" s="30" customFormat="1" ht="15" customHeight="1">
      <c r="A1900" s="37" t="s">
        <v>293</v>
      </c>
      <c r="B1900" s="26" t="s">
        <v>294</v>
      </c>
      <c r="C1900" s="39">
        <v>29</v>
      </c>
      <c r="D1900" s="40" t="s">
        <v>2709</v>
      </c>
      <c r="E1900" s="38" t="s">
        <v>3</v>
      </c>
      <c r="F1900" s="38" t="s">
        <v>10</v>
      </c>
      <c r="G1900" s="32">
        <v>17118860</v>
      </c>
      <c r="H1900" s="32">
        <v>8500385</v>
      </c>
      <c r="I1900" s="52">
        <v>0</v>
      </c>
      <c r="J1900" s="35">
        <f>+G1900-H1900+I1900</f>
        <v>8618475</v>
      </c>
      <c r="K1900" s="28">
        <v>0</v>
      </c>
      <c r="L1900" s="32">
        <v>0</v>
      </c>
      <c r="M1900" s="35">
        <f>+J1900+L1900</f>
        <v>8618475</v>
      </c>
      <c r="N1900" s="28" t="s">
        <v>1626</v>
      </c>
      <c r="O1900" s="29" t="s">
        <v>1627</v>
      </c>
      <c r="P1900" s="36">
        <v>43886</v>
      </c>
      <c r="Q1900" s="31">
        <v>28440.19</v>
      </c>
      <c r="R1900" s="33">
        <f>M1900/Q1900</f>
        <v>303.0385872949513</v>
      </c>
    </row>
    <row r="1901" spans="1:18" s="30" customFormat="1" ht="15" customHeight="1">
      <c r="A1901" s="37" t="s">
        <v>166</v>
      </c>
      <c r="B1901" s="26" t="s">
        <v>167</v>
      </c>
      <c r="C1901" s="39" t="s">
        <v>2710</v>
      </c>
      <c r="D1901" s="40" t="s">
        <v>2711</v>
      </c>
      <c r="E1901" s="38" t="s">
        <v>3</v>
      </c>
      <c r="F1901" s="38" t="s">
        <v>10</v>
      </c>
      <c r="G1901" s="32">
        <v>35845963</v>
      </c>
      <c r="H1901" s="32">
        <v>0</v>
      </c>
      <c r="I1901" s="52">
        <v>0</v>
      </c>
      <c r="J1901" s="35">
        <f>+G1901-H1901+I1901</f>
        <v>35845963</v>
      </c>
      <c r="K1901" s="27">
        <v>18</v>
      </c>
      <c r="L1901" s="32">
        <v>0</v>
      </c>
      <c r="M1901" s="35">
        <f>+J1901+L1901</f>
        <v>35845963</v>
      </c>
      <c r="N1901" s="28" t="s">
        <v>171</v>
      </c>
      <c r="O1901" s="29" t="s">
        <v>642</v>
      </c>
      <c r="P1901" s="36">
        <v>44341</v>
      </c>
      <c r="Q1901" s="31">
        <v>29513.759999999998</v>
      </c>
      <c r="R1901" s="33">
        <v>1215</v>
      </c>
    </row>
    <row r="1902" spans="1:18" s="30" customFormat="1" ht="15" customHeight="1">
      <c r="A1902" s="37" t="s">
        <v>52</v>
      </c>
      <c r="B1902" s="26" t="s">
        <v>2606</v>
      </c>
      <c r="C1902" s="39">
        <v>7</v>
      </c>
      <c r="D1902" s="40" t="s">
        <v>2712</v>
      </c>
      <c r="E1902" s="38" t="s">
        <v>3</v>
      </c>
      <c r="F1902" s="38" t="s">
        <v>21</v>
      </c>
      <c r="G1902" s="32">
        <v>35949283</v>
      </c>
      <c r="H1902" s="32">
        <v>-40610288</v>
      </c>
      <c r="I1902" s="32">
        <v>161784852</v>
      </c>
      <c r="J1902" s="35">
        <f>+G1902-H1902+I1902</f>
        <v>238344423</v>
      </c>
      <c r="K1902" s="27">
        <v>147</v>
      </c>
      <c r="L1902" s="32">
        <v>549451303</v>
      </c>
      <c r="M1902" s="35">
        <f>+J1902+L1902</f>
        <v>787795726</v>
      </c>
      <c r="N1902" s="28" t="s">
        <v>2619</v>
      </c>
      <c r="O1902" s="29" t="s">
        <v>2620</v>
      </c>
      <c r="P1902" s="36">
        <v>42809</v>
      </c>
      <c r="Q1902" s="31">
        <v>26444.65</v>
      </c>
      <c r="R1902" s="33">
        <f>M1902/Q1902</f>
        <v>29790.363116925349</v>
      </c>
    </row>
    <row r="1903" spans="1:18" s="30" customFormat="1" ht="15" customHeight="1">
      <c r="A1903" s="37" t="s">
        <v>39</v>
      </c>
      <c r="B1903" s="26" t="s">
        <v>1658</v>
      </c>
      <c r="C1903" s="39">
        <v>29</v>
      </c>
      <c r="D1903" s="40" t="s">
        <v>2713</v>
      </c>
      <c r="E1903" s="38" t="s">
        <v>3</v>
      </c>
      <c r="F1903" s="38" t="s">
        <v>10</v>
      </c>
      <c r="G1903" s="32">
        <v>324911699.85000002</v>
      </c>
      <c r="H1903" s="32">
        <v>263409137.25</v>
      </c>
      <c r="I1903" s="52">
        <v>0</v>
      </c>
      <c r="J1903" s="35">
        <f>+G1903-H1903+I1903</f>
        <v>61502562.600000024</v>
      </c>
      <c r="K1903" s="28">
        <v>0</v>
      </c>
      <c r="L1903" s="32">
        <v>0</v>
      </c>
      <c r="M1903" s="35">
        <f>+J1903+L1903</f>
        <v>61502562.600000024</v>
      </c>
      <c r="N1903" s="28" t="s">
        <v>2381</v>
      </c>
      <c r="O1903" s="29" t="s">
        <v>2407</v>
      </c>
      <c r="P1903" s="36">
        <v>43277</v>
      </c>
      <c r="Q1903" s="31">
        <v>27147.919999999998</v>
      </c>
      <c r="R1903" s="33">
        <f>M1903/Q1903</f>
        <v>2265.4613171101146</v>
      </c>
    </row>
    <row r="1904" spans="1:18" s="30" customFormat="1" ht="15" customHeight="1">
      <c r="A1904" s="37" t="s">
        <v>52</v>
      </c>
      <c r="B1904" s="26" t="s">
        <v>555</v>
      </c>
      <c r="C1904" s="39">
        <v>29</v>
      </c>
      <c r="D1904" s="40" t="s">
        <v>2714</v>
      </c>
      <c r="E1904" s="38" t="s">
        <v>4</v>
      </c>
      <c r="F1904" s="38" t="s">
        <v>12</v>
      </c>
      <c r="G1904" s="32">
        <v>21165630</v>
      </c>
      <c r="H1904" s="32">
        <v>12062673</v>
      </c>
      <c r="I1904" s="32">
        <v>3579351</v>
      </c>
      <c r="J1904" s="35">
        <f>+G1904-H1904+I1904</f>
        <v>12682308</v>
      </c>
      <c r="K1904" s="28">
        <v>0</v>
      </c>
      <c r="L1904" s="32">
        <v>0</v>
      </c>
      <c r="M1904" s="35">
        <f>+J1904+L1904</f>
        <v>12682308</v>
      </c>
      <c r="N1904" s="28" t="s">
        <v>1160</v>
      </c>
      <c r="O1904" s="29" t="s">
        <v>1161</v>
      </c>
      <c r="P1904" s="36">
        <v>42689</v>
      </c>
      <c r="Q1904" s="31">
        <v>26287.25</v>
      </c>
      <c r="R1904" s="33">
        <f>M1904/Q1904</f>
        <v>482.45092202493606</v>
      </c>
    </row>
    <row r="1905" spans="1:18" s="30" customFormat="1" ht="15" customHeight="1">
      <c r="A1905" s="37" t="s">
        <v>2639</v>
      </c>
      <c r="B1905" s="26" t="s">
        <v>2640</v>
      </c>
      <c r="C1905" s="39">
        <v>29</v>
      </c>
      <c r="D1905" s="40" t="s">
        <v>2715</v>
      </c>
      <c r="E1905" s="38" t="s">
        <v>6</v>
      </c>
      <c r="F1905" s="38" t="s">
        <v>11</v>
      </c>
      <c r="G1905" s="32">
        <v>6295616</v>
      </c>
      <c r="H1905" s="32">
        <v>4927335</v>
      </c>
      <c r="I1905" s="32">
        <v>11777292</v>
      </c>
      <c r="J1905" s="35">
        <f>+G1905-H1905+I1905</f>
        <v>13145573</v>
      </c>
      <c r="K1905" s="28">
        <v>0</v>
      </c>
      <c r="L1905" s="32">
        <v>0</v>
      </c>
      <c r="M1905" s="35">
        <f>+J1905+L1905</f>
        <v>13145573</v>
      </c>
      <c r="N1905" s="28" t="s">
        <v>2642</v>
      </c>
      <c r="O1905" s="29" t="s">
        <v>2643</v>
      </c>
      <c r="P1905" s="36">
        <v>43494</v>
      </c>
      <c r="Q1905" s="31">
        <v>27548</v>
      </c>
      <c r="R1905" s="33">
        <f>M1905/Q1905</f>
        <v>477.18792652824163</v>
      </c>
    </row>
    <row r="1906" spans="1:18" s="30" customFormat="1" ht="15" customHeight="1">
      <c r="A1906" s="37" t="s">
        <v>52</v>
      </c>
      <c r="B1906" s="26" t="s">
        <v>2606</v>
      </c>
      <c r="C1906" s="39">
        <v>29</v>
      </c>
      <c r="D1906" s="40" t="s">
        <v>2716</v>
      </c>
      <c r="E1906" s="38" t="s">
        <v>4</v>
      </c>
      <c r="F1906" s="38" t="s">
        <v>11</v>
      </c>
      <c r="G1906" s="32">
        <v>800823</v>
      </c>
      <c r="H1906" s="32">
        <v>-3566624</v>
      </c>
      <c r="I1906" s="52">
        <v>0</v>
      </c>
      <c r="J1906" s="35">
        <f>+G1906-H1906+I1906</f>
        <v>4367447</v>
      </c>
      <c r="K1906" s="28">
        <v>0</v>
      </c>
      <c r="L1906" s="32">
        <v>0</v>
      </c>
      <c r="M1906" s="35">
        <f>+J1906+L1906</f>
        <v>4367447</v>
      </c>
      <c r="N1906" s="28" t="s">
        <v>2684</v>
      </c>
      <c r="O1906" s="29" t="s">
        <v>2685</v>
      </c>
      <c r="P1906" s="36">
        <v>42727</v>
      </c>
      <c r="Q1906" s="31">
        <v>26341.19</v>
      </c>
      <c r="R1906" s="33">
        <f>M1906/Q1906</f>
        <v>165.80294967691285</v>
      </c>
    </row>
    <row r="1907" spans="1:18" s="30" customFormat="1" ht="15" customHeight="1">
      <c r="A1907" s="37" t="s">
        <v>688</v>
      </c>
      <c r="B1907" s="26" t="s">
        <v>1728</v>
      </c>
      <c r="C1907" s="39">
        <v>29</v>
      </c>
      <c r="D1907" s="40" t="s">
        <v>2717</v>
      </c>
      <c r="E1907" s="38" t="s">
        <v>4</v>
      </c>
      <c r="F1907" s="38" t="s">
        <v>20</v>
      </c>
      <c r="G1907" s="32">
        <v>523959</v>
      </c>
      <c r="H1907" s="32">
        <v>0</v>
      </c>
      <c r="I1907" s="52">
        <v>0</v>
      </c>
      <c r="J1907" s="35">
        <f>+G1907-H1907+I1907</f>
        <v>523959</v>
      </c>
      <c r="K1907" s="28">
        <v>0</v>
      </c>
      <c r="L1907" s="32">
        <v>0</v>
      </c>
      <c r="M1907" s="35">
        <f>+J1907+L1907</f>
        <v>523959</v>
      </c>
      <c r="N1907" s="28" t="s">
        <v>2343</v>
      </c>
      <c r="O1907" s="29" t="s">
        <v>2344</v>
      </c>
      <c r="P1907" s="36">
        <v>42810</v>
      </c>
      <c r="Q1907" s="31">
        <v>26446.36</v>
      </c>
      <c r="R1907" s="33">
        <f>M1907/Q1907</f>
        <v>19.812140498730258</v>
      </c>
    </row>
    <row r="1908" spans="1:18" s="30" customFormat="1" ht="15" customHeight="1">
      <c r="A1908" s="37" t="s">
        <v>236</v>
      </c>
      <c r="B1908" s="26" t="s">
        <v>237</v>
      </c>
      <c r="C1908" s="39">
        <v>28</v>
      </c>
      <c r="D1908" s="40" t="s">
        <v>2718</v>
      </c>
      <c r="E1908" s="38" t="s">
        <v>4</v>
      </c>
      <c r="F1908" s="38" t="s">
        <v>11</v>
      </c>
      <c r="G1908" s="32">
        <v>0</v>
      </c>
      <c r="H1908" s="32">
        <v>1447885233</v>
      </c>
      <c r="I1908" s="32">
        <v>1447978441</v>
      </c>
      <c r="J1908" s="35">
        <f>+G1908-H1908+I1908</f>
        <v>93208</v>
      </c>
      <c r="K1908" s="28">
        <v>0</v>
      </c>
      <c r="L1908" s="32">
        <v>0</v>
      </c>
      <c r="M1908" s="35">
        <f>+J1908+L1908</f>
        <v>93208</v>
      </c>
      <c r="N1908" s="28" t="s">
        <v>2690</v>
      </c>
      <c r="O1908" s="29" t="s">
        <v>2691</v>
      </c>
      <c r="P1908" s="36">
        <v>44729</v>
      </c>
      <c r="Q1908" s="31">
        <v>32916.25</v>
      </c>
      <c r="R1908" s="33">
        <f>M1908/Q1908</f>
        <v>2.8316712869783163</v>
      </c>
    </row>
    <row r="1909" spans="1:18" s="30" customFormat="1" ht="15" customHeight="1">
      <c r="A1909" s="37" t="s">
        <v>874</v>
      </c>
      <c r="B1909" s="26" t="s">
        <v>875</v>
      </c>
      <c r="C1909" s="39">
        <v>28</v>
      </c>
      <c r="D1909" s="40" t="s">
        <v>2719</v>
      </c>
      <c r="E1909" s="38" t="s">
        <v>3</v>
      </c>
      <c r="F1909" s="38" t="s">
        <v>13</v>
      </c>
      <c r="G1909" s="32">
        <v>2065683</v>
      </c>
      <c r="H1909" s="32">
        <v>170119</v>
      </c>
      <c r="I1909" s="52">
        <v>0</v>
      </c>
      <c r="J1909" s="35">
        <f>+G1909-H1909+I1909</f>
        <v>1895564</v>
      </c>
      <c r="K1909" s="28">
        <v>0</v>
      </c>
      <c r="L1909" s="32">
        <v>0</v>
      </c>
      <c r="M1909" s="35">
        <f>+J1909+L1909</f>
        <v>1895564</v>
      </c>
      <c r="N1909" s="28" t="s">
        <v>2048</v>
      </c>
      <c r="O1909" s="29" t="s">
        <v>2049</v>
      </c>
      <c r="P1909" s="36">
        <v>44379</v>
      </c>
      <c r="Q1909" s="31">
        <v>29716</v>
      </c>
      <c r="R1909" s="33">
        <v>63.79</v>
      </c>
    </row>
    <row r="1910" spans="1:18" s="30" customFormat="1" ht="15" customHeight="1">
      <c r="A1910" s="37" t="s">
        <v>293</v>
      </c>
      <c r="B1910" s="26" t="s">
        <v>294</v>
      </c>
      <c r="C1910" s="39">
        <v>541</v>
      </c>
      <c r="D1910" s="40" t="s">
        <v>2720</v>
      </c>
      <c r="E1910" s="38" t="s">
        <v>3</v>
      </c>
      <c r="F1910" s="38" t="s">
        <v>13</v>
      </c>
      <c r="G1910" s="32">
        <v>37514306</v>
      </c>
      <c r="H1910" s="32">
        <v>0</v>
      </c>
      <c r="I1910" s="32">
        <v>12713286</v>
      </c>
      <c r="J1910" s="35">
        <f>+G1910-H1910+I1910</f>
        <v>50227592</v>
      </c>
      <c r="K1910" s="27" t="s">
        <v>401</v>
      </c>
      <c r="L1910" s="32">
        <v>0</v>
      </c>
      <c r="M1910" s="35">
        <f>+J1910+L1910</f>
        <v>50227592</v>
      </c>
      <c r="N1910" s="55" t="s">
        <v>402</v>
      </c>
      <c r="O1910" s="56" t="s">
        <v>403</v>
      </c>
      <c r="P1910" s="56">
        <v>44524</v>
      </c>
      <c r="Q1910" s="49">
        <v>30683.439999999999</v>
      </c>
      <c r="R1910" s="57">
        <f>+M1910/Q1910</f>
        <v>1636.9609144215904</v>
      </c>
    </row>
    <row r="1911" spans="1:18" s="30" customFormat="1" ht="15" customHeight="1">
      <c r="A1911" s="37" t="s">
        <v>52</v>
      </c>
      <c r="B1911" s="26" t="s">
        <v>195</v>
      </c>
      <c r="C1911" s="65" t="s">
        <v>451</v>
      </c>
      <c r="D1911" s="51" t="s">
        <v>2721</v>
      </c>
      <c r="E1911" s="38" t="s">
        <v>3</v>
      </c>
      <c r="F1911" s="38" t="s">
        <v>13</v>
      </c>
      <c r="G1911" s="52">
        <v>37657990</v>
      </c>
      <c r="H1911" s="52">
        <v>0</v>
      </c>
      <c r="I1911" s="52">
        <v>234781193</v>
      </c>
      <c r="J1911" s="53">
        <f>+G1911-H1911+I1911</f>
        <v>272439183</v>
      </c>
      <c r="K1911" s="54">
        <v>46</v>
      </c>
      <c r="L1911" s="52"/>
      <c r="M1911" s="53">
        <f>+J1911+L1911</f>
        <v>272439183</v>
      </c>
      <c r="N1911" s="55" t="s">
        <v>385</v>
      </c>
      <c r="O1911" s="29" t="s">
        <v>386</v>
      </c>
      <c r="P1911" s="36">
        <v>44727</v>
      </c>
      <c r="Q1911" s="49">
        <v>33086.83</v>
      </c>
      <c r="R1911" s="33">
        <f>M1911/Q1911</f>
        <v>8234.0672406513404</v>
      </c>
    </row>
    <row r="1912" spans="1:18" s="30" customFormat="1" ht="15" customHeight="1">
      <c r="A1912" s="37" t="s">
        <v>356</v>
      </c>
      <c r="B1912" s="26" t="s">
        <v>1540</v>
      </c>
      <c r="C1912" s="39">
        <v>28</v>
      </c>
      <c r="D1912" s="40" t="s">
        <v>2722</v>
      </c>
      <c r="E1912" s="38" t="s">
        <v>3</v>
      </c>
      <c r="F1912" s="38" t="s">
        <v>10</v>
      </c>
      <c r="G1912" s="32">
        <v>0</v>
      </c>
      <c r="H1912" s="32">
        <v>0</v>
      </c>
      <c r="I1912" s="32">
        <v>9967256</v>
      </c>
      <c r="J1912" s="35">
        <f>+G1912-H1912+I1912</f>
        <v>9967256</v>
      </c>
      <c r="K1912" s="28">
        <v>0</v>
      </c>
      <c r="L1912" s="32">
        <v>0</v>
      </c>
      <c r="M1912" s="35">
        <f>+J1912+L1912</f>
        <v>9967256</v>
      </c>
      <c r="N1912" s="28" t="s">
        <v>2635</v>
      </c>
      <c r="O1912" s="29" t="s">
        <v>2636</v>
      </c>
      <c r="P1912" s="36">
        <v>42655</v>
      </c>
      <c r="Q1912" s="31">
        <v>26229.37</v>
      </c>
      <c r="R1912" s="33">
        <f>M1912/Q1912</f>
        <v>380.00363714416324</v>
      </c>
    </row>
    <row r="1913" spans="1:18" s="30" customFormat="1" ht="15" customHeight="1">
      <c r="A1913" s="37" t="s">
        <v>39</v>
      </c>
      <c r="B1913" s="26" t="s">
        <v>1658</v>
      </c>
      <c r="C1913" s="39">
        <v>28</v>
      </c>
      <c r="D1913" s="40" t="s">
        <v>2723</v>
      </c>
      <c r="E1913" s="38" t="s">
        <v>4</v>
      </c>
      <c r="F1913" s="38" t="s">
        <v>21</v>
      </c>
      <c r="G1913" s="32">
        <v>0</v>
      </c>
      <c r="H1913" s="32">
        <v>371735076.71557701</v>
      </c>
      <c r="I1913" s="52">
        <v>0</v>
      </c>
      <c r="J1913" s="35">
        <f>+G1913-H1913+I1913</f>
        <v>-371735076.71557701</v>
      </c>
      <c r="K1913" s="28">
        <v>0</v>
      </c>
      <c r="L1913" s="32">
        <v>0</v>
      </c>
      <c r="M1913" s="35">
        <f>+J1913+L1913</f>
        <v>-371735076.71557701</v>
      </c>
      <c r="N1913" s="28" t="s">
        <v>2120</v>
      </c>
      <c r="O1913" s="29" t="s">
        <v>2121</v>
      </c>
      <c r="P1913" s="36">
        <v>43448</v>
      </c>
      <c r="Q1913" s="31">
        <v>27565.79</v>
      </c>
      <c r="R1913" s="33">
        <f>M1913/Q1913</f>
        <v>-13485.377227192726</v>
      </c>
    </row>
    <row r="1914" spans="1:18" s="30" customFormat="1" ht="15" customHeight="1">
      <c r="A1914" s="37" t="s">
        <v>52</v>
      </c>
      <c r="B1914" s="26" t="s">
        <v>555</v>
      </c>
      <c r="C1914" s="39">
        <v>28</v>
      </c>
      <c r="D1914" s="40" t="s">
        <v>2724</v>
      </c>
      <c r="E1914" s="38" t="s">
        <v>4</v>
      </c>
      <c r="F1914" s="38" t="s">
        <v>11</v>
      </c>
      <c r="G1914" s="32">
        <v>4554103</v>
      </c>
      <c r="H1914" s="32">
        <v>1554045</v>
      </c>
      <c r="I1914" s="32">
        <v>1139670</v>
      </c>
      <c r="J1914" s="35">
        <f>+G1914-H1914+I1914</f>
        <v>4139728</v>
      </c>
      <c r="K1914" s="28">
        <v>0</v>
      </c>
      <c r="L1914" s="32">
        <v>0</v>
      </c>
      <c r="M1914" s="35">
        <f>+J1914+L1914</f>
        <v>4139728</v>
      </c>
      <c r="N1914" s="28" t="s">
        <v>1160</v>
      </c>
      <c r="O1914" s="29" t="s">
        <v>1161</v>
      </c>
      <c r="P1914" s="36">
        <v>42689</v>
      </c>
      <c r="Q1914" s="31">
        <v>26287.25</v>
      </c>
      <c r="R1914" s="33">
        <f>M1914/Q1914</f>
        <v>157.48045154970566</v>
      </c>
    </row>
    <row r="1915" spans="1:18" s="30" customFormat="1" ht="15" customHeight="1">
      <c r="A1915" s="37" t="s">
        <v>39</v>
      </c>
      <c r="B1915" s="26" t="s">
        <v>2428</v>
      </c>
      <c r="C1915" s="39">
        <v>17</v>
      </c>
      <c r="D1915" s="40" t="s">
        <v>2725</v>
      </c>
      <c r="E1915" s="38" t="s">
        <v>3</v>
      </c>
      <c r="F1915" s="38" t="s">
        <v>10</v>
      </c>
      <c r="G1915" s="32">
        <v>38757352</v>
      </c>
      <c r="H1915" s="32">
        <v>0</v>
      </c>
      <c r="I1915" s="52">
        <v>0</v>
      </c>
      <c r="J1915" s="35">
        <f>+G1915-H1915+I1915</f>
        <v>38757352</v>
      </c>
      <c r="K1915" s="27">
        <v>6</v>
      </c>
      <c r="L1915" s="32">
        <v>82082200</v>
      </c>
      <c r="M1915" s="35">
        <f>+J1915+L1915</f>
        <v>120839552</v>
      </c>
      <c r="N1915" s="28" t="s">
        <v>2430</v>
      </c>
      <c r="O1915" s="29" t="s">
        <v>2431</v>
      </c>
      <c r="P1915" s="36">
        <v>43133</v>
      </c>
      <c r="Q1915" s="31">
        <v>26826.67</v>
      </c>
      <c r="R1915" s="33">
        <f>M1915/Q1915</f>
        <v>4504.45590153381</v>
      </c>
    </row>
    <row r="1916" spans="1:18" s="30" customFormat="1" ht="15" customHeight="1">
      <c r="A1916" s="37" t="s">
        <v>2639</v>
      </c>
      <c r="B1916" s="26" t="s">
        <v>2640</v>
      </c>
      <c r="C1916" s="39">
        <v>28</v>
      </c>
      <c r="D1916" s="40" t="s">
        <v>2726</v>
      </c>
      <c r="E1916" s="38" t="s">
        <v>4</v>
      </c>
      <c r="F1916" s="38" t="s">
        <v>11</v>
      </c>
      <c r="G1916" s="32">
        <v>7791053</v>
      </c>
      <c r="H1916" s="32">
        <v>9926422</v>
      </c>
      <c r="I1916" s="32">
        <v>2073454</v>
      </c>
      <c r="J1916" s="35">
        <f>+G1916-H1916+I1916</f>
        <v>-61915</v>
      </c>
      <c r="K1916" s="28">
        <v>0</v>
      </c>
      <c r="L1916" s="32">
        <v>0</v>
      </c>
      <c r="M1916" s="35">
        <f>+J1916+L1916</f>
        <v>-61915</v>
      </c>
      <c r="N1916" s="28" t="s">
        <v>2642</v>
      </c>
      <c r="O1916" s="29" t="s">
        <v>2643</v>
      </c>
      <c r="P1916" s="36">
        <v>43494</v>
      </c>
      <c r="Q1916" s="31">
        <v>27548</v>
      </c>
      <c r="R1916" s="33">
        <f>M1916/Q1916</f>
        <v>-2.2475315812400174</v>
      </c>
    </row>
    <row r="1917" spans="1:18" s="30" customFormat="1" ht="15" customHeight="1">
      <c r="A1917" s="37" t="s">
        <v>688</v>
      </c>
      <c r="B1917" s="26" t="s">
        <v>1728</v>
      </c>
      <c r="C1917" s="39">
        <v>28</v>
      </c>
      <c r="D1917" s="40" t="s">
        <v>2727</v>
      </c>
      <c r="E1917" s="38" t="s">
        <v>6</v>
      </c>
      <c r="F1917" s="38" t="s">
        <v>20</v>
      </c>
      <c r="G1917" s="32">
        <v>445353.21599999996</v>
      </c>
      <c r="H1917" s="32">
        <v>0</v>
      </c>
      <c r="I1917" s="52">
        <v>0</v>
      </c>
      <c r="J1917" s="35">
        <f>+G1917-H1917+I1917</f>
        <v>445353.21599999996</v>
      </c>
      <c r="K1917" s="28">
        <v>0</v>
      </c>
      <c r="L1917" s="32">
        <v>0</v>
      </c>
      <c r="M1917" s="35">
        <f>+J1917+L1917</f>
        <v>445353.21599999996</v>
      </c>
      <c r="N1917" s="28" t="s">
        <v>1935</v>
      </c>
      <c r="O1917" s="29" t="s">
        <v>1936</v>
      </c>
      <c r="P1917" s="36">
        <v>42899</v>
      </c>
      <c r="Q1917" s="31">
        <v>26649.99</v>
      </c>
      <c r="R1917" s="33">
        <f>M1917/Q1917</f>
        <v>16.711196364426399</v>
      </c>
    </row>
    <row r="1918" spans="1:18" s="30" customFormat="1" ht="15" customHeight="1">
      <c r="A1918" s="37" t="s">
        <v>52</v>
      </c>
      <c r="B1918" s="26" t="s">
        <v>555</v>
      </c>
      <c r="C1918" s="39" t="s">
        <v>1070</v>
      </c>
      <c r="D1918" s="40" t="s">
        <v>2728</v>
      </c>
      <c r="E1918" s="38" t="s">
        <v>4</v>
      </c>
      <c r="F1918" s="38" t="s">
        <v>15</v>
      </c>
      <c r="G1918" s="32">
        <v>39285320</v>
      </c>
      <c r="H1918" s="32">
        <v>23318937</v>
      </c>
      <c r="I1918" s="32">
        <v>37580067</v>
      </c>
      <c r="J1918" s="35">
        <f>+G1918-H1918+I1918</f>
        <v>53546450</v>
      </c>
      <c r="K1918" s="27">
        <v>120</v>
      </c>
      <c r="L1918" s="32">
        <v>0</v>
      </c>
      <c r="M1918" s="35">
        <f>+J1918+L1918</f>
        <v>53546450</v>
      </c>
      <c r="N1918" s="28" t="s">
        <v>558</v>
      </c>
      <c r="O1918" s="29" t="s">
        <v>559</v>
      </c>
      <c r="P1918" s="36">
        <v>43922</v>
      </c>
      <c r="Q1918" s="31">
        <v>28601.15</v>
      </c>
      <c r="R1918" s="33">
        <f>M1918/Q1918</f>
        <v>1872.1782166101711</v>
      </c>
    </row>
    <row r="1919" spans="1:18" s="30" customFormat="1" ht="15" customHeight="1">
      <c r="A1919" s="37" t="s">
        <v>236</v>
      </c>
      <c r="B1919" s="26" t="s">
        <v>237</v>
      </c>
      <c r="C1919" s="39">
        <v>27</v>
      </c>
      <c r="D1919" s="40" t="s">
        <v>2729</v>
      </c>
      <c r="E1919" s="38" t="s">
        <v>4</v>
      </c>
      <c r="F1919" s="38" t="s">
        <v>11</v>
      </c>
      <c r="G1919" s="32">
        <v>0</v>
      </c>
      <c r="H1919" s="32">
        <v>145656973</v>
      </c>
      <c r="I1919" s="32">
        <v>145656973</v>
      </c>
      <c r="J1919" s="35">
        <f>+G1919-H1919+I1919</f>
        <v>0</v>
      </c>
      <c r="K1919" s="28">
        <v>0</v>
      </c>
      <c r="L1919" s="32">
        <v>0</v>
      </c>
      <c r="M1919" s="35">
        <f>+J1919+L1919</f>
        <v>0</v>
      </c>
      <c r="N1919" s="28" t="s">
        <v>2690</v>
      </c>
      <c r="O1919" s="29" t="s">
        <v>2691</v>
      </c>
      <c r="P1919" s="36">
        <v>44729</v>
      </c>
      <c r="Q1919" s="31">
        <v>32916.25</v>
      </c>
      <c r="R1919" s="33">
        <f>M1919/Q1919</f>
        <v>0</v>
      </c>
    </row>
    <row r="1920" spans="1:18" s="30" customFormat="1" ht="15" customHeight="1">
      <c r="A1920" s="37" t="s">
        <v>874</v>
      </c>
      <c r="B1920" s="26" t="s">
        <v>875</v>
      </c>
      <c r="C1920" s="39">
        <v>27</v>
      </c>
      <c r="D1920" s="40" t="s">
        <v>2730</v>
      </c>
      <c r="E1920" s="38" t="s">
        <v>3</v>
      </c>
      <c r="F1920" s="38" t="s">
        <v>10</v>
      </c>
      <c r="G1920" s="32">
        <v>7431825</v>
      </c>
      <c r="H1920" s="32"/>
      <c r="I1920" s="32"/>
      <c r="J1920" s="35">
        <f>+G1920-H1920+I1920</f>
        <v>7431825</v>
      </c>
      <c r="K1920" s="28">
        <v>0</v>
      </c>
      <c r="L1920" s="32">
        <v>0</v>
      </c>
      <c r="M1920" s="35">
        <f>+J1920+L1920</f>
        <v>7431825</v>
      </c>
      <c r="N1920" s="28" t="s">
        <v>1179</v>
      </c>
      <c r="O1920" s="29" t="s">
        <v>1180</v>
      </c>
      <c r="P1920" s="36">
        <v>44454</v>
      </c>
      <c r="Q1920" s="31">
        <v>30028</v>
      </c>
      <c r="R1920" s="33">
        <v>247.49</v>
      </c>
    </row>
    <row r="1921" spans="1:18" s="30" customFormat="1" ht="15" customHeight="1">
      <c r="A1921" s="37" t="s">
        <v>356</v>
      </c>
      <c r="B1921" s="26" t="s">
        <v>1540</v>
      </c>
      <c r="C1921" s="39">
        <v>27</v>
      </c>
      <c r="D1921" s="40" t="s">
        <v>2731</v>
      </c>
      <c r="E1921" s="38" t="s">
        <v>3</v>
      </c>
      <c r="F1921" s="38" t="s">
        <v>10</v>
      </c>
      <c r="G1921" s="32">
        <v>101548247</v>
      </c>
      <c r="H1921" s="32">
        <v>0</v>
      </c>
      <c r="I1921" s="52">
        <v>0</v>
      </c>
      <c r="J1921" s="35">
        <f>+G1921-H1921+I1921</f>
        <v>101548247</v>
      </c>
      <c r="K1921" s="28">
        <v>0</v>
      </c>
      <c r="L1921" s="32">
        <v>266822341</v>
      </c>
      <c r="M1921" s="35">
        <f>+J1921+L1921</f>
        <v>368370588</v>
      </c>
      <c r="N1921" s="28" t="s">
        <v>2732</v>
      </c>
      <c r="O1921" s="29" t="s">
        <v>2733</v>
      </c>
      <c r="P1921" s="36">
        <v>42849</v>
      </c>
      <c r="Q1921" s="31">
        <v>26540.22</v>
      </c>
      <c r="R1921" s="33">
        <f>M1921/Q1921</f>
        <v>13879.711170442444</v>
      </c>
    </row>
    <row r="1922" spans="1:18" s="30" customFormat="1" ht="15" customHeight="1">
      <c r="A1922" s="37" t="s">
        <v>39</v>
      </c>
      <c r="B1922" s="26" t="s">
        <v>1658</v>
      </c>
      <c r="C1922" s="39">
        <v>27</v>
      </c>
      <c r="D1922" s="40" t="s">
        <v>2734</v>
      </c>
      <c r="E1922" s="38" t="s">
        <v>4</v>
      </c>
      <c r="F1922" s="38" t="s">
        <v>10</v>
      </c>
      <c r="G1922" s="32">
        <v>0</v>
      </c>
      <c r="H1922" s="32">
        <v>194403222.44999999</v>
      </c>
      <c r="I1922" s="52">
        <v>0</v>
      </c>
      <c r="J1922" s="35">
        <f>+G1922-H1922+I1922</f>
        <v>-194403222.44999999</v>
      </c>
      <c r="K1922" s="28">
        <v>0</v>
      </c>
      <c r="L1922" s="32">
        <v>0</v>
      </c>
      <c r="M1922" s="35">
        <f>+J1922+L1922</f>
        <v>-194403222.44999999</v>
      </c>
      <c r="N1922" s="28" t="s">
        <v>2381</v>
      </c>
      <c r="O1922" s="29" t="s">
        <v>2407</v>
      </c>
      <c r="P1922" s="36">
        <v>43277</v>
      </c>
      <c r="Q1922" s="31">
        <v>27147.919999999998</v>
      </c>
      <c r="R1922" s="33">
        <f>M1922/Q1922</f>
        <v>-7160.8882908893202</v>
      </c>
    </row>
    <row r="1923" spans="1:18" s="30" customFormat="1" ht="15" customHeight="1">
      <c r="A1923" s="37" t="s">
        <v>52</v>
      </c>
      <c r="B1923" s="26" t="s">
        <v>195</v>
      </c>
      <c r="C1923" s="39">
        <v>27</v>
      </c>
      <c r="D1923" s="40" t="s">
        <v>2735</v>
      </c>
      <c r="E1923" s="38" t="s">
        <v>3</v>
      </c>
      <c r="F1923" s="38" t="s">
        <v>10</v>
      </c>
      <c r="G1923" s="32">
        <v>4920179</v>
      </c>
      <c r="H1923" s="32">
        <v>0</v>
      </c>
      <c r="I1923" s="32">
        <v>137312417</v>
      </c>
      <c r="J1923" s="35">
        <f>+G1923-H1923+I1923</f>
        <v>142232596</v>
      </c>
      <c r="K1923" s="28">
        <v>0</v>
      </c>
      <c r="L1923" s="32">
        <v>0</v>
      </c>
      <c r="M1923" s="35">
        <f>+J1923+L1923</f>
        <v>142232596</v>
      </c>
      <c r="N1923" s="28" t="s">
        <v>2512</v>
      </c>
      <c r="O1923" s="29" t="s">
        <v>2513</v>
      </c>
      <c r="P1923" s="36">
        <v>44301</v>
      </c>
      <c r="Q1923" s="31">
        <v>29662.41</v>
      </c>
      <c r="R1923" s="33">
        <f>M1923/Q1923</f>
        <v>4795.0451767068153</v>
      </c>
    </row>
    <row r="1924" spans="1:18" s="30" customFormat="1" ht="15" customHeight="1">
      <c r="A1924" s="37" t="s">
        <v>2639</v>
      </c>
      <c r="B1924" s="26" t="s">
        <v>2640</v>
      </c>
      <c r="C1924" s="39">
        <v>27</v>
      </c>
      <c r="D1924" s="40" t="s">
        <v>2736</v>
      </c>
      <c r="E1924" s="38" t="s">
        <v>3</v>
      </c>
      <c r="F1924" s="38" t="s">
        <v>13</v>
      </c>
      <c r="G1924" s="32">
        <v>3037951</v>
      </c>
      <c r="H1924" s="32">
        <v>0</v>
      </c>
      <c r="I1924" s="32">
        <v>38458</v>
      </c>
      <c r="J1924" s="35">
        <f>+G1924-H1924+I1924</f>
        <v>3076409</v>
      </c>
      <c r="K1924" s="28">
        <v>0</v>
      </c>
      <c r="L1924" s="32">
        <v>0</v>
      </c>
      <c r="M1924" s="35">
        <f>+J1924+L1924</f>
        <v>3076409</v>
      </c>
      <c r="N1924" s="28" t="s">
        <v>2642</v>
      </c>
      <c r="O1924" s="29" t="s">
        <v>2643</v>
      </c>
      <c r="P1924" s="36">
        <v>43494</v>
      </c>
      <c r="Q1924" s="31">
        <v>27548</v>
      </c>
      <c r="R1924" s="33">
        <f>M1924/Q1924</f>
        <v>111.67449542616524</v>
      </c>
    </row>
    <row r="1925" spans="1:18" s="30" customFormat="1" ht="15" customHeight="1">
      <c r="A1925" s="37" t="s">
        <v>52</v>
      </c>
      <c r="B1925" s="26" t="s">
        <v>2606</v>
      </c>
      <c r="C1925" s="39">
        <v>27</v>
      </c>
      <c r="D1925" s="40" t="s">
        <v>2737</v>
      </c>
      <c r="E1925" s="38" t="s">
        <v>4</v>
      </c>
      <c r="F1925" s="38" t="s">
        <v>12</v>
      </c>
      <c r="G1925" s="32">
        <v>18169779</v>
      </c>
      <c r="H1925" s="32">
        <v>-13447130</v>
      </c>
      <c r="I1925" s="32">
        <v>13225721</v>
      </c>
      <c r="J1925" s="35">
        <f>+G1925-H1925+I1925</f>
        <v>44842630</v>
      </c>
      <c r="K1925" s="28">
        <v>0</v>
      </c>
      <c r="L1925" s="32">
        <v>0</v>
      </c>
      <c r="M1925" s="35">
        <f>+J1925+L1925</f>
        <v>44842630</v>
      </c>
      <c r="N1925" s="28" t="s">
        <v>2738</v>
      </c>
      <c r="O1925" s="29" t="s">
        <v>2739</v>
      </c>
      <c r="P1925" s="36">
        <v>42863</v>
      </c>
      <c r="Q1925" s="31">
        <v>26589.71</v>
      </c>
      <c r="R1925" s="33">
        <f>M1925/Q1925</f>
        <v>1686.4655537800149</v>
      </c>
    </row>
    <row r="1926" spans="1:18" s="30" customFormat="1" ht="15" customHeight="1">
      <c r="A1926" s="37" t="s">
        <v>236</v>
      </c>
      <c r="B1926" s="26" t="s">
        <v>237</v>
      </c>
      <c r="C1926" s="39">
        <v>26</v>
      </c>
      <c r="D1926" s="40" t="s">
        <v>2740</v>
      </c>
      <c r="E1926" s="38" t="s">
        <v>3</v>
      </c>
      <c r="F1926" s="38" t="s">
        <v>11</v>
      </c>
      <c r="G1926" s="32">
        <v>0</v>
      </c>
      <c r="H1926" s="32">
        <v>56141398</v>
      </c>
      <c r="I1926" s="52">
        <v>0</v>
      </c>
      <c r="J1926" s="35">
        <f>+G1926-H1926+I1926</f>
        <v>-56141398</v>
      </c>
      <c r="K1926" s="28">
        <v>0</v>
      </c>
      <c r="L1926" s="32">
        <v>0</v>
      </c>
      <c r="M1926" s="35">
        <f>+J1926+L1926</f>
        <v>-56141398</v>
      </c>
      <c r="N1926" s="28" t="s">
        <v>2690</v>
      </c>
      <c r="O1926" s="29" t="s">
        <v>2691</v>
      </c>
      <c r="P1926" s="36">
        <v>44729</v>
      </c>
      <c r="Q1926" s="31">
        <v>32916.25</v>
      </c>
      <c r="R1926" s="33">
        <f>M1926/Q1926</f>
        <v>-1705.5830478866822</v>
      </c>
    </row>
    <row r="1927" spans="1:18" s="30" customFormat="1" ht="15" customHeight="1">
      <c r="A1927" s="37" t="s">
        <v>391</v>
      </c>
      <c r="B1927" s="26" t="s">
        <v>392</v>
      </c>
      <c r="C1927" s="39">
        <v>26</v>
      </c>
      <c r="D1927" s="40" t="s">
        <v>2741</v>
      </c>
      <c r="E1927" s="38" t="s">
        <v>3</v>
      </c>
      <c r="F1927" s="38" t="s">
        <v>10</v>
      </c>
      <c r="G1927" s="32">
        <v>0</v>
      </c>
      <c r="H1927" s="32">
        <v>3611667</v>
      </c>
      <c r="I1927" s="32">
        <v>4631028</v>
      </c>
      <c r="J1927" s="35">
        <f>+G1927-H1927+I1927</f>
        <v>1019361</v>
      </c>
      <c r="K1927" s="28">
        <v>0</v>
      </c>
      <c r="L1927" s="32">
        <v>0</v>
      </c>
      <c r="M1927" s="35">
        <f>+J1927+L1927</f>
        <v>1019361</v>
      </c>
      <c r="N1927" s="28" t="s">
        <v>2449</v>
      </c>
      <c r="O1927" s="29" t="s">
        <v>2450</v>
      </c>
      <c r="P1927" s="36">
        <v>43427</v>
      </c>
      <c r="Q1927" s="31">
        <v>27507.17</v>
      </c>
      <c r="R1927" s="33">
        <f>M1927/Q1927</f>
        <v>37.05801069321199</v>
      </c>
    </row>
    <row r="1928" spans="1:18" s="30" customFormat="1" ht="15" customHeight="1">
      <c r="A1928" s="37" t="s">
        <v>293</v>
      </c>
      <c r="B1928" s="26" t="s">
        <v>294</v>
      </c>
      <c r="C1928" s="39">
        <v>26</v>
      </c>
      <c r="D1928" s="40" t="s">
        <v>2742</v>
      </c>
      <c r="E1928" s="38" t="s">
        <v>3</v>
      </c>
      <c r="F1928" s="38" t="s">
        <v>10</v>
      </c>
      <c r="G1928" s="32">
        <v>4481207</v>
      </c>
      <c r="H1928" s="32">
        <v>2449902</v>
      </c>
      <c r="I1928" s="52">
        <v>0</v>
      </c>
      <c r="J1928" s="35">
        <f>+G1928-H1928+I1928</f>
        <v>2031305</v>
      </c>
      <c r="K1928" s="28">
        <v>0</v>
      </c>
      <c r="L1928" s="32">
        <v>0</v>
      </c>
      <c r="M1928" s="35">
        <f>+J1928+L1928</f>
        <v>2031305</v>
      </c>
      <c r="N1928" s="28" t="s">
        <v>1626</v>
      </c>
      <c r="O1928" s="29" t="s">
        <v>1627</v>
      </c>
      <c r="P1928" s="36">
        <v>43886</v>
      </c>
      <c r="Q1928" s="31">
        <v>28440.19</v>
      </c>
      <c r="R1928" s="33">
        <f>M1928/Q1928</f>
        <v>71.423749278749554</v>
      </c>
    </row>
    <row r="1929" spans="1:18" s="30" customFormat="1" ht="15" customHeight="1">
      <c r="A1929" s="37" t="s">
        <v>627</v>
      </c>
      <c r="B1929" s="26" t="s">
        <v>1392</v>
      </c>
      <c r="C1929" s="39">
        <v>3</v>
      </c>
      <c r="D1929" s="40" t="s">
        <v>2743</v>
      </c>
      <c r="E1929" s="38" t="s">
        <v>198</v>
      </c>
      <c r="F1929" s="38" t="s">
        <v>21</v>
      </c>
      <c r="G1929" s="32">
        <v>42252311</v>
      </c>
      <c r="H1929" s="32">
        <v>7916895</v>
      </c>
      <c r="I1929" s="32">
        <v>19815361</v>
      </c>
      <c r="J1929" s="35">
        <f>+G1929-H1929+I1929</f>
        <v>54150777</v>
      </c>
      <c r="K1929" s="27">
        <v>48</v>
      </c>
      <c r="L1929" s="32">
        <v>0</v>
      </c>
      <c r="M1929" s="35">
        <f>+J1929+L1929</f>
        <v>54150777</v>
      </c>
      <c r="N1929" s="28" t="s">
        <v>1394</v>
      </c>
      <c r="O1929" s="29" t="s">
        <v>1395</v>
      </c>
      <c r="P1929" s="36">
        <v>44172</v>
      </c>
      <c r="Q1929" s="31">
        <v>29077.46</v>
      </c>
      <c r="R1929" s="33">
        <f>M1929/Q1929</f>
        <v>1862.293921133414</v>
      </c>
    </row>
    <row r="1930" spans="1:18" s="30" customFormat="1" ht="15" customHeight="1">
      <c r="A1930" s="37" t="s">
        <v>356</v>
      </c>
      <c r="B1930" s="26" t="s">
        <v>1841</v>
      </c>
      <c r="C1930" s="39">
        <v>26</v>
      </c>
      <c r="D1930" s="40" t="s">
        <v>2744</v>
      </c>
      <c r="E1930" s="38" t="s">
        <v>4</v>
      </c>
      <c r="F1930" s="38" t="s">
        <v>10</v>
      </c>
      <c r="G1930" s="32">
        <v>971853</v>
      </c>
      <c r="H1930" s="32">
        <v>0</v>
      </c>
      <c r="I1930" s="32">
        <v>680230</v>
      </c>
      <c r="J1930" s="35">
        <f>+G1930-H1930+I1930</f>
        <v>1652083</v>
      </c>
      <c r="K1930" s="28">
        <v>0</v>
      </c>
      <c r="L1930" s="32">
        <v>0</v>
      </c>
      <c r="M1930" s="35">
        <f>+J1930+L1930</f>
        <v>1652083</v>
      </c>
      <c r="N1930" s="28" t="s">
        <v>2651</v>
      </c>
      <c r="O1930" s="29" t="s">
        <v>2652</v>
      </c>
      <c r="P1930" s="36">
        <v>43907</v>
      </c>
      <c r="Q1930" s="31">
        <v>28545.95</v>
      </c>
      <c r="R1930" s="33">
        <f>M1930/Q1930</f>
        <v>57.874514598393112</v>
      </c>
    </row>
    <row r="1931" spans="1:18" s="30" customFormat="1" ht="15" customHeight="1">
      <c r="A1931" s="37" t="s">
        <v>356</v>
      </c>
      <c r="B1931" s="26" t="s">
        <v>1540</v>
      </c>
      <c r="C1931" s="39">
        <v>26</v>
      </c>
      <c r="D1931" s="40" t="s">
        <v>2745</v>
      </c>
      <c r="E1931" s="38" t="s">
        <v>3</v>
      </c>
      <c r="F1931" s="38" t="s">
        <v>13</v>
      </c>
      <c r="G1931" s="32">
        <v>13278244.529689338</v>
      </c>
      <c r="H1931" s="32">
        <v>141245.08444899824</v>
      </c>
      <c r="I1931" s="32">
        <v>2995149.9</v>
      </c>
      <c r="J1931" s="35">
        <f>+G1931-H1931+I1931</f>
        <v>16132149.34524034</v>
      </c>
      <c r="K1931" s="28">
        <v>0</v>
      </c>
      <c r="L1931" s="32">
        <v>0</v>
      </c>
      <c r="M1931" s="35">
        <f>+J1931+L1931</f>
        <v>16132149.34524034</v>
      </c>
      <c r="N1931" s="28" t="s">
        <v>2635</v>
      </c>
      <c r="O1931" s="29" t="s">
        <v>2636</v>
      </c>
      <c r="P1931" s="36">
        <v>42655</v>
      </c>
      <c r="Q1931" s="31">
        <v>26229.37</v>
      </c>
      <c r="R1931" s="33">
        <f>M1931/Q1931</f>
        <v>615.04143428684483</v>
      </c>
    </row>
    <row r="1932" spans="1:18" s="30" customFormat="1" ht="15" customHeight="1">
      <c r="A1932" s="37" t="s">
        <v>52</v>
      </c>
      <c r="B1932" s="26" t="s">
        <v>555</v>
      </c>
      <c r="C1932" s="39">
        <v>26</v>
      </c>
      <c r="D1932" s="40" t="s">
        <v>2746</v>
      </c>
      <c r="E1932" s="38" t="s">
        <v>3</v>
      </c>
      <c r="F1932" s="38" t="s">
        <v>11</v>
      </c>
      <c r="G1932" s="32">
        <v>460632</v>
      </c>
      <c r="H1932" s="32">
        <v>598177</v>
      </c>
      <c r="I1932" s="32">
        <v>137545</v>
      </c>
      <c r="J1932" s="35">
        <f>+G1932-H1932+I1932</f>
        <v>0</v>
      </c>
      <c r="K1932" s="28">
        <v>0</v>
      </c>
      <c r="L1932" s="32">
        <v>0</v>
      </c>
      <c r="M1932" s="35">
        <f>+J1932+L1932</f>
        <v>0</v>
      </c>
      <c r="N1932" s="28" t="s">
        <v>1160</v>
      </c>
      <c r="O1932" s="29" t="s">
        <v>1161</v>
      </c>
      <c r="P1932" s="36">
        <v>42689</v>
      </c>
      <c r="Q1932" s="31">
        <v>26287.25</v>
      </c>
      <c r="R1932" s="33">
        <f>M1932/Q1932</f>
        <v>0</v>
      </c>
    </row>
    <row r="1933" spans="1:18" s="30" customFormat="1" ht="15" customHeight="1">
      <c r="A1933" s="37" t="s">
        <v>166</v>
      </c>
      <c r="B1933" s="26" t="s">
        <v>167</v>
      </c>
      <c r="C1933" s="39" t="s">
        <v>2747</v>
      </c>
      <c r="D1933" s="40" t="s">
        <v>2748</v>
      </c>
      <c r="E1933" s="38" t="s">
        <v>3</v>
      </c>
      <c r="F1933" s="38" t="s">
        <v>12</v>
      </c>
      <c r="G1933" s="32">
        <v>43304552</v>
      </c>
      <c r="H1933" s="32">
        <v>0</v>
      </c>
      <c r="I1933" s="32">
        <v>8064425</v>
      </c>
      <c r="J1933" s="35">
        <f>+G1933-H1933+I1933</f>
        <v>51368977</v>
      </c>
      <c r="K1933" s="27">
        <v>21</v>
      </c>
      <c r="L1933" s="32">
        <v>0</v>
      </c>
      <c r="M1933" s="35">
        <f>+J1933+L1933</f>
        <v>51368977</v>
      </c>
      <c r="N1933" s="28" t="s">
        <v>171</v>
      </c>
      <c r="O1933" s="29" t="s">
        <v>1115</v>
      </c>
      <c r="P1933" s="36">
        <v>44341</v>
      </c>
      <c r="Q1933" s="31">
        <v>29513.759999999998</v>
      </c>
      <c r="R1933" s="33">
        <f>+M1933/Q1933</f>
        <v>1740.5094098481522</v>
      </c>
    </row>
    <row r="1934" spans="1:18" s="30" customFormat="1" ht="15" customHeight="1">
      <c r="A1934" s="37" t="s">
        <v>2639</v>
      </c>
      <c r="B1934" s="26" t="s">
        <v>2640</v>
      </c>
      <c r="C1934" s="39">
        <v>26</v>
      </c>
      <c r="D1934" s="40" t="s">
        <v>2749</v>
      </c>
      <c r="E1934" s="38" t="s">
        <v>4</v>
      </c>
      <c r="F1934" s="38" t="s">
        <v>11</v>
      </c>
      <c r="G1934" s="32">
        <v>0</v>
      </c>
      <c r="H1934" s="32">
        <v>696061</v>
      </c>
      <c r="I1934" s="32">
        <v>971278</v>
      </c>
      <c r="J1934" s="35">
        <f>+G1934-H1934+I1934</f>
        <v>275217</v>
      </c>
      <c r="K1934" s="28">
        <v>0</v>
      </c>
      <c r="L1934" s="32">
        <v>0</v>
      </c>
      <c r="M1934" s="35">
        <f>+J1934+L1934</f>
        <v>275217</v>
      </c>
      <c r="N1934" s="28" t="s">
        <v>2642</v>
      </c>
      <c r="O1934" s="29" t="s">
        <v>2643</v>
      </c>
      <c r="P1934" s="36">
        <v>43494</v>
      </c>
      <c r="Q1934" s="31">
        <v>27548</v>
      </c>
      <c r="R1934" s="33">
        <f>M1934/Q1934</f>
        <v>9.9904530274430083</v>
      </c>
    </row>
    <row r="1935" spans="1:18" s="30" customFormat="1" ht="15" customHeight="1">
      <c r="A1935" s="37" t="s">
        <v>236</v>
      </c>
      <c r="B1935" s="26" t="s">
        <v>237</v>
      </c>
      <c r="C1935" s="39">
        <v>25</v>
      </c>
      <c r="D1935" s="40" t="s">
        <v>2750</v>
      </c>
      <c r="E1935" s="38" t="s">
        <v>4</v>
      </c>
      <c r="F1935" s="38" t="s">
        <v>11</v>
      </c>
      <c r="G1935" s="32">
        <v>0</v>
      </c>
      <c r="H1935" s="32">
        <v>2462207917</v>
      </c>
      <c r="I1935" s="32">
        <v>2679310639</v>
      </c>
      <c r="J1935" s="35">
        <f>+G1935-H1935+I1935</f>
        <v>217102722</v>
      </c>
      <c r="K1935" s="28">
        <v>0</v>
      </c>
      <c r="L1935" s="32">
        <v>0</v>
      </c>
      <c r="M1935" s="35">
        <f>+J1935+L1935</f>
        <v>217102722</v>
      </c>
      <c r="N1935" s="28" t="s">
        <v>2648</v>
      </c>
      <c r="O1935" s="29" t="s">
        <v>2649</v>
      </c>
      <c r="P1935" s="36">
        <v>44915</v>
      </c>
      <c r="Q1935" s="31">
        <v>34987.230000000003</v>
      </c>
      <c r="R1935" s="33">
        <f>M1935/Q1935</f>
        <v>6205.1989254365089</v>
      </c>
    </row>
    <row r="1936" spans="1:18" s="30" customFormat="1" ht="15" customHeight="1">
      <c r="A1936" s="37" t="s">
        <v>356</v>
      </c>
      <c r="B1936" s="26" t="s">
        <v>1540</v>
      </c>
      <c r="C1936" s="39">
        <v>25</v>
      </c>
      <c r="D1936" s="40" t="s">
        <v>2751</v>
      </c>
      <c r="E1936" s="38" t="s">
        <v>3</v>
      </c>
      <c r="F1936" s="38" t="s">
        <v>11</v>
      </c>
      <c r="G1936" s="32">
        <v>27182715</v>
      </c>
      <c r="H1936" s="32">
        <v>0</v>
      </c>
      <c r="I1936" s="52">
        <v>0</v>
      </c>
      <c r="J1936" s="35">
        <f>+G1936-H1936+I1936</f>
        <v>27182715</v>
      </c>
      <c r="K1936" s="28">
        <v>0</v>
      </c>
      <c r="L1936" s="32">
        <v>0</v>
      </c>
      <c r="M1936" s="35">
        <f>+J1936+L1936</f>
        <v>27182715</v>
      </c>
      <c r="N1936" s="28" t="s">
        <v>2635</v>
      </c>
      <c r="O1936" s="29" t="s">
        <v>2636</v>
      </c>
      <c r="P1936" s="36">
        <v>42655</v>
      </c>
      <c r="Q1936" s="31">
        <v>26229.37</v>
      </c>
      <c r="R1936" s="33">
        <f>M1936/Q1936</f>
        <v>1036.3464696254619</v>
      </c>
    </row>
    <row r="1937" spans="1:18" s="30" customFormat="1" ht="15" customHeight="1">
      <c r="A1937" s="37" t="s">
        <v>52</v>
      </c>
      <c r="B1937" s="26" t="s">
        <v>555</v>
      </c>
      <c r="C1937" s="39">
        <v>25</v>
      </c>
      <c r="D1937" s="40" t="s">
        <v>2752</v>
      </c>
      <c r="E1937" s="38" t="s">
        <v>3</v>
      </c>
      <c r="F1937" s="38" t="s">
        <v>11</v>
      </c>
      <c r="G1937" s="32">
        <v>1041954</v>
      </c>
      <c r="H1937" s="32">
        <v>1041954</v>
      </c>
      <c r="I1937" s="32">
        <v>75044</v>
      </c>
      <c r="J1937" s="35">
        <f>+G1937-H1937+I1937</f>
        <v>75044</v>
      </c>
      <c r="K1937" s="28">
        <v>0</v>
      </c>
      <c r="L1937" s="32">
        <v>0</v>
      </c>
      <c r="M1937" s="35">
        <f>+J1937+L1937</f>
        <v>75044</v>
      </c>
      <c r="N1937" s="28" t="s">
        <v>1160</v>
      </c>
      <c r="O1937" s="29" t="s">
        <v>1161</v>
      </c>
      <c r="P1937" s="36">
        <v>42689</v>
      </c>
      <c r="Q1937" s="31">
        <v>26287.25</v>
      </c>
      <c r="R1937" s="33">
        <f>M1937/Q1937</f>
        <v>2.8547679958915442</v>
      </c>
    </row>
    <row r="1938" spans="1:18" s="30" customFormat="1" ht="15" customHeight="1">
      <c r="A1938" s="37" t="s">
        <v>2639</v>
      </c>
      <c r="B1938" s="26" t="s">
        <v>2640</v>
      </c>
      <c r="C1938" s="39">
        <v>25</v>
      </c>
      <c r="D1938" s="40" t="s">
        <v>2753</v>
      </c>
      <c r="E1938" s="38" t="s">
        <v>4</v>
      </c>
      <c r="F1938" s="38" t="s">
        <v>11</v>
      </c>
      <c r="G1938" s="32">
        <v>0</v>
      </c>
      <c r="H1938" s="32">
        <v>1735306</v>
      </c>
      <c r="I1938" s="32">
        <v>2838614</v>
      </c>
      <c r="J1938" s="35">
        <f>+G1938-H1938+I1938</f>
        <v>1103308</v>
      </c>
      <c r="K1938" s="28">
        <v>0</v>
      </c>
      <c r="L1938" s="32">
        <v>0</v>
      </c>
      <c r="M1938" s="35">
        <f>+J1938+L1938</f>
        <v>1103308</v>
      </c>
      <c r="N1938" s="28" t="s">
        <v>2754</v>
      </c>
      <c r="O1938" s="29" t="s">
        <v>2755</v>
      </c>
      <c r="P1938" s="36">
        <v>43356</v>
      </c>
      <c r="Q1938" s="31">
        <v>27326.49</v>
      </c>
      <c r="R1938" s="33">
        <f>M1938/Q1938</f>
        <v>40.375035359462558</v>
      </c>
    </row>
    <row r="1939" spans="1:18" s="30" customFormat="1" ht="15" customHeight="1">
      <c r="A1939" s="37" t="s">
        <v>236</v>
      </c>
      <c r="B1939" s="26" t="s">
        <v>237</v>
      </c>
      <c r="C1939" s="39">
        <v>24</v>
      </c>
      <c r="D1939" s="40" t="s">
        <v>2756</v>
      </c>
      <c r="E1939" s="38" t="s">
        <v>3</v>
      </c>
      <c r="F1939" s="38" t="s">
        <v>15</v>
      </c>
      <c r="G1939" s="32">
        <v>3744972</v>
      </c>
      <c r="H1939" s="32">
        <v>0</v>
      </c>
      <c r="I1939" s="32">
        <v>58058466</v>
      </c>
      <c r="J1939" s="35">
        <f>+G1939-H1939+I1939</f>
        <v>61803438</v>
      </c>
      <c r="K1939" s="28">
        <v>0</v>
      </c>
      <c r="L1939" s="32">
        <v>0</v>
      </c>
      <c r="M1939" s="35">
        <f>+J1939+L1939</f>
        <v>61803438</v>
      </c>
      <c r="N1939" s="28" t="s">
        <v>2648</v>
      </c>
      <c r="O1939" s="29" t="s">
        <v>2649</v>
      </c>
      <c r="P1939" s="36">
        <v>44915</v>
      </c>
      <c r="Q1939" s="31">
        <v>34987.230000000003</v>
      </c>
      <c r="R1939" s="33">
        <f>M1939/Q1939</f>
        <v>1766.457018746554</v>
      </c>
    </row>
    <row r="1940" spans="1:18" s="30" customFormat="1" ht="15" customHeight="1">
      <c r="A1940" s="37" t="s">
        <v>293</v>
      </c>
      <c r="B1940" s="26" t="s">
        <v>294</v>
      </c>
      <c r="C1940" s="39">
        <v>24</v>
      </c>
      <c r="D1940" s="40" t="s">
        <v>2757</v>
      </c>
      <c r="E1940" s="38" t="s">
        <v>3</v>
      </c>
      <c r="F1940" s="38" t="s">
        <v>10</v>
      </c>
      <c r="G1940" s="32">
        <v>43886605</v>
      </c>
      <c r="H1940" s="32">
        <v>33347507</v>
      </c>
      <c r="I1940" s="52">
        <v>0</v>
      </c>
      <c r="J1940" s="35">
        <f>+G1940-H1940+I1940</f>
        <v>10539098</v>
      </c>
      <c r="K1940" s="28">
        <v>0</v>
      </c>
      <c r="L1940" s="32">
        <v>0</v>
      </c>
      <c r="M1940" s="35">
        <f>+J1940+L1940</f>
        <v>10539098</v>
      </c>
      <c r="N1940" s="28" t="s">
        <v>1626</v>
      </c>
      <c r="O1940" s="29" t="s">
        <v>1627</v>
      </c>
      <c r="P1940" s="36">
        <v>43886</v>
      </c>
      <c r="Q1940" s="31">
        <v>28440.19</v>
      </c>
      <c r="R1940" s="33">
        <f>M1940/Q1940</f>
        <v>370.57059042151269</v>
      </c>
    </row>
    <row r="1941" spans="1:18" s="30" customFormat="1" ht="15" customHeight="1">
      <c r="A1941" s="37" t="s">
        <v>356</v>
      </c>
      <c r="B1941" s="26" t="s">
        <v>1540</v>
      </c>
      <c r="C1941" s="39">
        <v>24</v>
      </c>
      <c r="D1941" s="40" t="s">
        <v>2758</v>
      </c>
      <c r="E1941" s="38" t="s">
        <v>3</v>
      </c>
      <c r="F1941" s="38" t="s">
        <v>11</v>
      </c>
      <c r="G1941" s="32">
        <v>10012333.110969715</v>
      </c>
      <c r="H1941" s="32">
        <v>1362452.1672120467</v>
      </c>
      <c r="I1941" s="32">
        <v>1786659</v>
      </c>
      <c r="J1941" s="35">
        <f>+G1941-H1941+I1941</f>
        <v>10436539.943757668</v>
      </c>
      <c r="K1941" s="28">
        <v>0</v>
      </c>
      <c r="L1941" s="32">
        <v>0</v>
      </c>
      <c r="M1941" s="35">
        <f>+J1941+L1941</f>
        <v>10436539.943757668</v>
      </c>
      <c r="N1941" s="28" t="s">
        <v>2635</v>
      </c>
      <c r="O1941" s="29" t="s">
        <v>2636</v>
      </c>
      <c r="P1941" s="36">
        <v>42655</v>
      </c>
      <c r="Q1941" s="31">
        <v>26229.37</v>
      </c>
      <c r="R1941" s="33">
        <f>M1941/Q1941</f>
        <v>397.89518176600006</v>
      </c>
    </row>
    <row r="1942" spans="1:18" s="30" customFormat="1" ht="15" customHeight="1">
      <c r="A1942" s="37" t="s">
        <v>39</v>
      </c>
      <c r="B1942" s="26" t="s">
        <v>1658</v>
      </c>
      <c r="C1942" s="39">
        <v>24</v>
      </c>
      <c r="D1942" s="40" t="s">
        <v>2759</v>
      </c>
      <c r="E1942" s="38" t="s">
        <v>4</v>
      </c>
      <c r="F1942" s="38" t="s">
        <v>11</v>
      </c>
      <c r="G1942" s="32">
        <v>0</v>
      </c>
      <c r="H1942" s="32">
        <v>113425140.64</v>
      </c>
      <c r="I1942" s="52">
        <v>0</v>
      </c>
      <c r="J1942" s="35">
        <f>+G1942-H1942+I1942</f>
        <v>-113425140.64</v>
      </c>
      <c r="K1942" s="28">
        <v>0</v>
      </c>
      <c r="L1942" s="32">
        <v>0</v>
      </c>
      <c r="M1942" s="35">
        <f>+J1942+L1942</f>
        <v>-113425140.64</v>
      </c>
      <c r="N1942" s="28" t="s">
        <v>2381</v>
      </c>
      <c r="O1942" s="29" t="s">
        <v>2407</v>
      </c>
      <c r="P1942" s="36">
        <v>43277</v>
      </c>
      <c r="Q1942" s="31">
        <v>27147.919999999998</v>
      </c>
      <c r="R1942" s="33">
        <f>M1942/Q1942</f>
        <v>-4178.041656230017</v>
      </c>
    </row>
    <row r="1943" spans="1:18" s="30" customFormat="1" ht="15" customHeight="1">
      <c r="A1943" s="37" t="s">
        <v>52</v>
      </c>
      <c r="B1943" s="26" t="s">
        <v>53</v>
      </c>
      <c r="C1943" s="39" t="s">
        <v>2760</v>
      </c>
      <c r="D1943" s="40" t="s">
        <v>2761</v>
      </c>
      <c r="E1943" s="38" t="s">
        <v>6</v>
      </c>
      <c r="F1943" s="38" t="s">
        <v>13</v>
      </c>
      <c r="G1943" s="32">
        <v>45439912</v>
      </c>
      <c r="H1943" s="32">
        <v>0</v>
      </c>
      <c r="I1943" s="32">
        <v>13481881.279999999</v>
      </c>
      <c r="J1943" s="35">
        <f>+G1943-H1943+I1943</f>
        <v>58921793.280000001</v>
      </c>
      <c r="K1943" s="27">
        <v>90</v>
      </c>
      <c r="L1943" s="32">
        <v>0</v>
      </c>
      <c r="M1943" s="35">
        <f>+J1943+L1943</f>
        <v>58921793.280000001</v>
      </c>
      <c r="N1943" s="28" t="s">
        <v>56</v>
      </c>
      <c r="O1943" s="29" t="s">
        <v>57</v>
      </c>
      <c r="P1943" s="36">
        <v>42884</v>
      </c>
      <c r="Q1943" s="31">
        <v>26627.55</v>
      </c>
      <c r="R1943" s="33">
        <f>M1943/Q1943</f>
        <v>2212.8131683162742</v>
      </c>
    </row>
    <row r="1944" spans="1:18" s="30" customFormat="1" ht="15" customHeight="1">
      <c r="A1944" s="37" t="s">
        <v>52</v>
      </c>
      <c r="B1944" s="26" t="s">
        <v>555</v>
      </c>
      <c r="C1944" s="65">
        <v>24</v>
      </c>
      <c r="D1944" s="51" t="s">
        <v>2762</v>
      </c>
      <c r="E1944" s="38" t="s">
        <v>3</v>
      </c>
      <c r="F1944" s="38" t="s">
        <v>11</v>
      </c>
      <c r="G1944" s="52">
        <v>0</v>
      </c>
      <c r="H1944" s="52">
        <v>14836531</v>
      </c>
      <c r="I1944" s="52">
        <v>0</v>
      </c>
      <c r="J1944" s="53">
        <f>+G1944-H1944+I1944</f>
        <v>-14836531</v>
      </c>
      <c r="K1944" s="28">
        <v>0</v>
      </c>
      <c r="L1944" s="32">
        <v>0</v>
      </c>
      <c r="M1944" s="53">
        <f>+J1944+L1944</f>
        <v>-14836531</v>
      </c>
      <c r="N1944" s="55" t="s">
        <v>1160</v>
      </c>
      <c r="O1944" s="29" t="s">
        <v>1161</v>
      </c>
      <c r="P1944" s="36">
        <v>42689</v>
      </c>
      <c r="Q1944" s="49">
        <v>26287.25</v>
      </c>
      <c r="R1944" s="33">
        <f>M1944/Q1944</f>
        <v>-564.40027009291578</v>
      </c>
    </row>
    <row r="1945" spans="1:18" s="30" customFormat="1" ht="15" customHeight="1">
      <c r="A1945" s="37" t="s">
        <v>293</v>
      </c>
      <c r="B1945" s="26" t="s">
        <v>294</v>
      </c>
      <c r="C1945" s="39">
        <v>234</v>
      </c>
      <c r="D1945" s="40" t="s">
        <v>2763</v>
      </c>
      <c r="E1945" s="38" t="s">
        <v>3</v>
      </c>
      <c r="F1945" s="38" t="s">
        <v>296</v>
      </c>
      <c r="G1945" s="32">
        <v>45542179</v>
      </c>
      <c r="H1945" s="32">
        <v>0</v>
      </c>
      <c r="I1945" s="32">
        <v>614315136</v>
      </c>
      <c r="J1945" s="35">
        <f>+G1945-H1945+I1945</f>
        <v>659857315</v>
      </c>
      <c r="K1945" s="27">
        <v>214</v>
      </c>
      <c r="L1945" s="32">
        <v>0</v>
      </c>
      <c r="M1945" s="35">
        <f>+J1945+L1945</f>
        <v>659857315</v>
      </c>
      <c r="N1945" s="55" t="s">
        <v>1325</v>
      </c>
      <c r="O1945" s="56" t="s">
        <v>1326</v>
      </c>
      <c r="P1945" s="56">
        <v>44746</v>
      </c>
      <c r="Q1945" s="49">
        <v>33139.5</v>
      </c>
      <c r="R1945" s="57">
        <f>+M1945/Q1945</f>
        <v>19911.50485070686</v>
      </c>
    </row>
    <row r="1946" spans="1:18" s="30" customFormat="1" ht="15" customHeight="1">
      <c r="A1946" s="37" t="s">
        <v>2639</v>
      </c>
      <c r="B1946" s="26" t="s">
        <v>2640</v>
      </c>
      <c r="C1946" s="39">
        <v>24</v>
      </c>
      <c r="D1946" s="40" t="s">
        <v>2764</v>
      </c>
      <c r="E1946" s="38" t="s">
        <v>4</v>
      </c>
      <c r="F1946" s="38" t="s">
        <v>14</v>
      </c>
      <c r="G1946" s="32">
        <v>394842</v>
      </c>
      <c r="H1946" s="32">
        <v>0</v>
      </c>
      <c r="I1946" s="32">
        <v>705451</v>
      </c>
      <c r="J1946" s="35">
        <f>+G1946-H1946+I1946</f>
        <v>1100293</v>
      </c>
      <c r="K1946" s="28">
        <v>0</v>
      </c>
      <c r="L1946" s="32">
        <v>0</v>
      </c>
      <c r="M1946" s="35">
        <f>+J1946+L1946</f>
        <v>1100293</v>
      </c>
      <c r="N1946" s="28" t="s">
        <v>2754</v>
      </c>
      <c r="O1946" s="29" t="s">
        <v>2755</v>
      </c>
      <c r="P1946" s="36">
        <v>43356</v>
      </c>
      <c r="Q1946" s="31">
        <v>27326.49</v>
      </c>
      <c r="R1946" s="33">
        <f>M1946/Q1946</f>
        <v>40.264702857922842</v>
      </c>
    </row>
    <row r="1947" spans="1:18" s="30" customFormat="1" ht="15" customHeight="1">
      <c r="A1947" s="37" t="s">
        <v>52</v>
      </c>
      <c r="B1947" s="26" t="s">
        <v>2606</v>
      </c>
      <c r="C1947" s="39">
        <v>24</v>
      </c>
      <c r="D1947" s="40" t="s">
        <v>2765</v>
      </c>
      <c r="E1947" s="38" t="s">
        <v>198</v>
      </c>
      <c r="F1947" s="38" t="s">
        <v>11</v>
      </c>
      <c r="G1947" s="32">
        <v>20044433</v>
      </c>
      <c r="H1947" s="32">
        <v>-3991487</v>
      </c>
      <c r="I1947" s="32">
        <v>8841358</v>
      </c>
      <c r="J1947" s="35">
        <f>+G1947-H1947+I1947</f>
        <v>32877278</v>
      </c>
      <c r="K1947" s="28">
        <v>0</v>
      </c>
      <c r="L1947" s="32">
        <v>0</v>
      </c>
      <c r="M1947" s="35">
        <f>+J1947+L1947</f>
        <v>32877278</v>
      </c>
      <c r="N1947" s="28" t="s">
        <v>2684</v>
      </c>
      <c r="O1947" s="29" t="s">
        <v>2685</v>
      </c>
      <c r="P1947" s="36">
        <v>42727</v>
      </c>
      <c r="Q1947" s="31">
        <v>26341.19</v>
      </c>
      <c r="R1947" s="33">
        <f>M1947/Q1947</f>
        <v>1248.131842183288</v>
      </c>
    </row>
    <row r="1948" spans="1:18" s="30" customFormat="1" ht="15" customHeight="1">
      <c r="A1948" s="37" t="s">
        <v>688</v>
      </c>
      <c r="B1948" s="26" t="s">
        <v>1728</v>
      </c>
      <c r="C1948" s="39">
        <v>24</v>
      </c>
      <c r="D1948" s="40" t="s">
        <v>2766</v>
      </c>
      <c r="E1948" s="38" t="s">
        <v>4</v>
      </c>
      <c r="F1948" s="38" t="s">
        <v>12</v>
      </c>
      <c r="G1948" s="32">
        <v>181837</v>
      </c>
      <c r="H1948" s="32">
        <v>0</v>
      </c>
      <c r="I1948" s="52">
        <v>0</v>
      </c>
      <c r="J1948" s="35">
        <f>+G1948-H1948+I1948</f>
        <v>181837</v>
      </c>
      <c r="K1948" s="28">
        <v>0</v>
      </c>
      <c r="L1948" s="32">
        <v>0</v>
      </c>
      <c r="M1948" s="35">
        <f>+J1948+L1948</f>
        <v>181837</v>
      </c>
      <c r="N1948" s="28" t="s">
        <v>2343</v>
      </c>
      <c r="O1948" s="29" t="s">
        <v>2344</v>
      </c>
      <c r="P1948" s="36">
        <v>42810</v>
      </c>
      <c r="Q1948" s="31">
        <v>26446.36</v>
      </c>
      <c r="R1948" s="33">
        <f>M1948/Q1948</f>
        <v>6.8756910213730738</v>
      </c>
    </row>
    <row r="1949" spans="1:18" s="30" customFormat="1" ht="15" customHeight="1">
      <c r="A1949" s="37" t="s">
        <v>236</v>
      </c>
      <c r="B1949" s="26" t="s">
        <v>237</v>
      </c>
      <c r="C1949" s="39">
        <v>23</v>
      </c>
      <c r="D1949" s="40" t="s">
        <v>2767</v>
      </c>
      <c r="E1949" s="38" t="s">
        <v>3</v>
      </c>
      <c r="F1949" s="38" t="s">
        <v>15</v>
      </c>
      <c r="G1949" s="32">
        <v>182760194</v>
      </c>
      <c r="H1949" s="32">
        <v>0</v>
      </c>
      <c r="I1949" s="32">
        <v>70968595</v>
      </c>
      <c r="J1949" s="35">
        <f>+G1949-H1949+I1949</f>
        <v>253728789</v>
      </c>
      <c r="K1949" s="28">
        <v>0</v>
      </c>
      <c r="L1949" s="32">
        <v>0</v>
      </c>
      <c r="M1949" s="35">
        <f>+J1949+L1949</f>
        <v>253728789</v>
      </c>
      <c r="N1949" s="28" t="s">
        <v>2690</v>
      </c>
      <c r="O1949" s="29" t="s">
        <v>2691</v>
      </c>
      <c r="P1949" s="36">
        <v>44729</v>
      </c>
      <c r="Q1949" s="31">
        <v>32916.25</v>
      </c>
      <c r="R1949" s="33">
        <f>M1949/Q1949</f>
        <v>7708.3139482778261</v>
      </c>
    </row>
    <row r="1950" spans="1:18" s="30" customFormat="1" ht="15" customHeight="1">
      <c r="A1950" s="37" t="s">
        <v>874</v>
      </c>
      <c r="B1950" s="26" t="s">
        <v>875</v>
      </c>
      <c r="C1950" s="39">
        <v>23</v>
      </c>
      <c r="D1950" s="40" t="s">
        <v>2768</v>
      </c>
      <c r="E1950" s="38" t="s">
        <v>3</v>
      </c>
      <c r="F1950" s="38" t="s">
        <v>14</v>
      </c>
      <c r="G1950" s="32">
        <v>6643226</v>
      </c>
      <c r="H1950" s="32"/>
      <c r="I1950" s="32"/>
      <c r="J1950" s="35">
        <f>+G1950-H1950+I1950</f>
        <v>6643226</v>
      </c>
      <c r="K1950" s="28">
        <v>0</v>
      </c>
      <c r="L1950" s="32">
        <v>0</v>
      </c>
      <c r="M1950" s="35">
        <f>+J1950+L1950</f>
        <v>6643226</v>
      </c>
      <c r="N1950" s="28" t="s">
        <v>1179</v>
      </c>
      <c r="O1950" s="29" t="s">
        <v>1180</v>
      </c>
      <c r="P1950" s="36">
        <v>44454</v>
      </c>
      <c r="Q1950" s="31">
        <v>30028</v>
      </c>
      <c r="R1950" s="33">
        <v>221.23</v>
      </c>
    </row>
    <row r="1951" spans="1:18" s="30" customFormat="1" ht="15" customHeight="1">
      <c r="A1951" s="37" t="s">
        <v>356</v>
      </c>
      <c r="B1951" s="26" t="s">
        <v>1841</v>
      </c>
      <c r="C1951" s="39">
        <v>23</v>
      </c>
      <c r="D1951" s="40" t="s">
        <v>2769</v>
      </c>
      <c r="E1951" s="38" t="s">
        <v>198</v>
      </c>
      <c r="F1951" s="38" t="s">
        <v>9</v>
      </c>
      <c r="G1951" s="32">
        <v>0</v>
      </c>
      <c r="H1951" s="32">
        <v>0</v>
      </c>
      <c r="I1951" s="32">
        <v>4236790</v>
      </c>
      <c r="J1951" s="35">
        <f>+G1951-H1951+I1951</f>
        <v>4236790</v>
      </c>
      <c r="K1951" s="28">
        <v>0</v>
      </c>
      <c r="L1951" s="32">
        <v>0</v>
      </c>
      <c r="M1951" s="35">
        <f>+J1951+L1951</f>
        <v>4236790</v>
      </c>
      <c r="N1951" s="28" t="s">
        <v>2651</v>
      </c>
      <c r="O1951" s="29" t="s">
        <v>2652</v>
      </c>
      <c r="P1951" s="36">
        <v>43907</v>
      </c>
      <c r="Q1951" s="31">
        <v>28545.95</v>
      </c>
      <c r="R1951" s="33">
        <f>M1951/Q1951</f>
        <v>148.42000353815516</v>
      </c>
    </row>
    <row r="1952" spans="1:18" s="30" customFormat="1" ht="15" customHeight="1">
      <c r="A1952" s="37" t="s">
        <v>39</v>
      </c>
      <c r="B1952" s="26" t="s">
        <v>1658</v>
      </c>
      <c r="C1952" s="39">
        <v>23</v>
      </c>
      <c r="D1952" s="40" t="s">
        <v>2770</v>
      </c>
      <c r="E1952" s="38" t="s">
        <v>4</v>
      </c>
      <c r="F1952" s="38" t="s">
        <v>11</v>
      </c>
      <c r="G1952" s="32">
        <v>0</v>
      </c>
      <c r="H1952" s="32">
        <v>159647248</v>
      </c>
      <c r="I1952" s="52">
        <v>0</v>
      </c>
      <c r="J1952" s="35">
        <f>+G1952-H1952+I1952</f>
        <v>-159647248</v>
      </c>
      <c r="K1952" s="28">
        <v>0</v>
      </c>
      <c r="L1952" s="32">
        <v>0</v>
      </c>
      <c r="M1952" s="35">
        <f>+J1952+L1952</f>
        <v>-159647248</v>
      </c>
      <c r="N1952" s="28" t="s">
        <v>2430</v>
      </c>
      <c r="O1952" s="29" t="s">
        <v>2431</v>
      </c>
      <c r="P1952" s="36">
        <v>43133</v>
      </c>
      <c r="Q1952" s="31">
        <v>26826.67</v>
      </c>
      <c r="R1952" s="33">
        <f>M1952/Q1952</f>
        <v>-5951.0646681082671</v>
      </c>
    </row>
    <row r="1953" spans="1:18" s="30" customFormat="1" ht="15" customHeight="1">
      <c r="A1953" s="37" t="s">
        <v>52</v>
      </c>
      <c r="B1953" s="26" t="s">
        <v>555</v>
      </c>
      <c r="C1953" s="65">
        <v>23</v>
      </c>
      <c r="D1953" s="51" t="s">
        <v>2771</v>
      </c>
      <c r="E1953" s="38" t="s">
        <v>3</v>
      </c>
      <c r="F1953" s="38" t="s">
        <v>11</v>
      </c>
      <c r="G1953" s="52">
        <v>0</v>
      </c>
      <c r="H1953" s="52">
        <v>23981026</v>
      </c>
      <c r="I1953" s="52">
        <v>12411701</v>
      </c>
      <c r="J1953" s="53">
        <f>+G1953-H1953+I1953</f>
        <v>-11569325</v>
      </c>
      <c r="K1953" s="28">
        <v>0</v>
      </c>
      <c r="L1953" s="32">
        <v>0</v>
      </c>
      <c r="M1953" s="53">
        <f>+J1953+L1953</f>
        <v>-11569325</v>
      </c>
      <c r="N1953" s="55" t="s">
        <v>1160</v>
      </c>
      <c r="O1953" s="29" t="s">
        <v>1161</v>
      </c>
      <c r="P1953" s="36">
        <v>42689</v>
      </c>
      <c r="Q1953" s="49">
        <v>26287.25</v>
      </c>
      <c r="R1953" s="33">
        <f>M1953/Q1953</f>
        <v>-440.11165108560232</v>
      </c>
    </row>
    <row r="1954" spans="1:18" s="30" customFormat="1" ht="15" customHeight="1">
      <c r="A1954" s="37" t="s">
        <v>2639</v>
      </c>
      <c r="B1954" s="26" t="s">
        <v>2640</v>
      </c>
      <c r="C1954" s="39">
        <v>23</v>
      </c>
      <c r="D1954" s="40" t="s">
        <v>2772</v>
      </c>
      <c r="E1954" s="38" t="s">
        <v>3</v>
      </c>
      <c r="F1954" s="38" t="s">
        <v>11</v>
      </c>
      <c r="G1954" s="32">
        <v>0</v>
      </c>
      <c r="H1954" s="32">
        <v>0</v>
      </c>
      <c r="I1954" s="32">
        <v>810926</v>
      </c>
      <c r="J1954" s="35">
        <f>+G1954-H1954+I1954</f>
        <v>810926</v>
      </c>
      <c r="K1954" s="28">
        <v>0</v>
      </c>
      <c r="L1954" s="32">
        <v>0</v>
      </c>
      <c r="M1954" s="35">
        <f>+J1954+L1954</f>
        <v>810926</v>
      </c>
      <c r="N1954" s="28" t="s">
        <v>2754</v>
      </c>
      <c r="O1954" s="29" t="s">
        <v>2755</v>
      </c>
      <c r="P1954" s="36">
        <v>43356</v>
      </c>
      <c r="Q1954" s="31">
        <v>27326.49</v>
      </c>
      <c r="R1954" s="33">
        <f>M1954/Q1954</f>
        <v>29.675454110645017</v>
      </c>
    </row>
    <row r="1955" spans="1:18" s="30" customFormat="1" ht="15" customHeight="1">
      <c r="A1955" s="46" t="s">
        <v>52</v>
      </c>
      <c r="B1955" s="47" t="s">
        <v>2606</v>
      </c>
      <c r="C1955" s="65">
        <v>23</v>
      </c>
      <c r="D1955" s="51" t="s">
        <v>2773</v>
      </c>
      <c r="E1955" s="38" t="s">
        <v>3</v>
      </c>
      <c r="F1955" s="38" t="s">
        <v>13</v>
      </c>
      <c r="G1955" s="52">
        <v>0</v>
      </c>
      <c r="H1955" s="52">
        <v>0</v>
      </c>
      <c r="I1955" s="52">
        <v>1884756</v>
      </c>
      <c r="J1955" s="53">
        <f>+G1955-H1955+I1955</f>
        <v>1884756</v>
      </c>
      <c r="K1955" s="70">
        <v>0</v>
      </c>
      <c r="L1955" s="52">
        <v>0</v>
      </c>
      <c r="M1955" s="53">
        <f>+J1955+L1955</f>
        <v>1884756</v>
      </c>
      <c r="N1955" s="55" t="s">
        <v>2608</v>
      </c>
      <c r="O1955" s="56" t="s">
        <v>2609</v>
      </c>
      <c r="P1955" s="56">
        <v>44488</v>
      </c>
      <c r="Q1955" s="49">
        <v>30240.57</v>
      </c>
      <c r="R1955" s="57">
        <f>M1955/Q1955</f>
        <v>62.325412517025967</v>
      </c>
    </row>
    <row r="1956" spans="1:18" s="30" customFormat="1" ht="15" customHeight="1">
      <c r="A1956" s="37" t="s">
        <v>52</v>
      </c>
      <c r="B1956" s="26" t="s">
        <v>2606</v>
      </c>
      <c r="C1956" s="39">
        <v>23</v>
      </c>
      <c r="D1956" s="40" t="s">
        <v>2774</v>
      </c>
      <c r="E1956" s="38" t="s">
        <v>4</v>
      </c>
      <c r="F1956" s="38" t="s">
        <v>12</v>
      </c>
      <c r="G1956" s="32">
        <v>19567450</v>
      </c>
      <c r="H1956" s="32">
        <v>-5905610</v>
      </c>
      <c r="I1956" s="32">
        <v>4154600</v>
      </c>
      <c r="J1956" s="35">
        <f>+G1956-H1956+I1956</f>
        <v>29627660</v>
      </c>
      <c r="K1956" s="28">
        <v>0</v>
      </c>
      <c r="L1956" s="32">
        <v>0</v>
      </c>
      <c r="M1956" s="35">
        <f>+J1956+L1956</f>
        <v>29627660</v>
      </c>
      <c r="N1956" s="28" t="s">
        <v>2738</v>
      </c>
      <c r="O1956" s="29" t="s">
        <v>2609</v>
      </c>
      <c r="P1956" s="36">
        <v>42863</v>
      </c>
      <c r="Q1956" s="31">
        <v>26589.71</v>
      </c>
      <c r="R1956" s="33">
        <f>M1956/Q1956</f>
        <v>1114.2528444274119</v>
      </c>
    </row>
    <row r="1957" spans="1:18" s="30" customFormat="1" ht="15" customHeight="1">
      <c r="A1957" s="37" t="s">
        <v>293</v>
      </c>
      <c r="B1957" s="26" t="s">
        <v>294</v>
      </c>
      <c r="C1957" s="39">
        <v>548</v>
      </c>
      <c r="D1957" s="40" t="s">
        <v>2775</v>
      </c>
      <c r="E1957" s="38" t="s">
        <v>3</v>
      </c>
      <c r="F1957" s="38" t="s">
        <v>678</v>
      </c>
      <c r="G1957" s="32">
        <v>49162388</v>
      </c>
      <c r="H1957" s="32">
        <v>26344526</v>
      </c>
      <c r="I1957" s="32">
        <v>5926863</v>
      </c>
      <c r="J1957" s="35">
        <f>+G1957-H1957+I1957</f>
        <v>28744725</v>
      </c>
      <c r="K1957" s="27" t="s">
        <v>401</v>
      </c>
      <c r="L1957" s="32">
        <v>0</v>
      </c>
      <c r="M1957" s="35">
        <f>+J1957+L1957</f>
        <v>28744725</v>
      </c>
      <c r="N1957" s="55" t="s">
        <v>402</v>
      </c>
      <c r="O1957" s="56" t="s">
        <v>403</v>
      </c>
      <c r="P1957" s="56">
        <v>44524</v>
      </c>
      <c r="Q1957" s="49">
        <v>30683.439999999999</v>
      </c>
      <c r="R1957" s="57">
        <f>+M1957/Q1957</f>
        <v>936.81559173286962</v>
      </c>
    </row>
    <row r="1958" spans="1:18" s="30" customFormat="1" ht="15" customHeight="1">
      <c r="A1958" s="37" t="s">
        <v>688</v>
      </c>
      <c r="B1958" s="26" t="s">
        <v>1728</v>
      </c>
      <c r="C1958" s="39">
        <v>23</v>
      </c>
      <c r="D1958" s="40" t="s">
        <v>2776</v>
      </c>
      <c r="E1958" s="38" t="s">
        <v>4</v>
      </c>
      <c r="F1958" s="38" t="s">
        <v>20</v>
      </c>
      <c r="G1958" s="32">
        <v>9482</v>
      </c>
      <c r="H1958" s="32">
        <v>0</v>
      </c>
      <c r="I1958" s="52">
        <v>0</v>
      </c>
      <c r="J1958" s="35">
        <f>+G1958-H1958+I1958</f>
        <v>9482</v>
      </c>
      <c r="K1958" s="28">
        <v>0</v>
      </c>
      <c r="L1958" s="32">
        <v>0</v>
      </c>
      <c r="M1958" s="35">
        <f>+J1958+L1958</f>
        <v>9482</v>
      </c>
      <c r="N1958" s="28" t="s">
        <v>2343</v>
      </c>
      <c r="O1958" s="29" t="s">
        <v>2344</v>
      </c>
      <c r="P1958" s="36">
        <v>42810</v>
      </c>
      <c r="Q1958" s="31">
        <v>26446.36</v>
      </c>
      <c r="R1958" s="33">
        <f>M1958/Q1958</f>
        <v>0.35853705387055157</v>
      </c>
    </row>
    <row r="1959" spans="1:18" s="30" customFormat="1" ht="15" customHeight="1">
      <c r="A1959" s="37" t="s">
        <v>391</v>
      </c>
      <c r="B1959" s="26" t="s">
        <v>392</v>
      </c>
      <c r="C1959" s="39">
        <v>22</v>
      </c>
      <c r="D1959" s="40" t="s">
        <v>2777</v>
      </c>
      <c r="E1959" s="38" t="s">
        <v>4</v>
      </c>
      <c r="F1959" s="38" t="s">
        <v>13</v>
      </c>
      <c r="G1959" s="32">
        <v>0</v>
      </c>
      <c r="H1959" s="32">
        <v>0</v>
      </c>
      <c r="I1959" s="32">
        <v>2134289</v>
      </c>
      <c r="J1959" s="35">
        <f>+G1959-H1959+I1959</f>
        <v>2134289</v>
      </c>
      <c r="K1959" s="28">
        <v>0</v>
      </c>
      <c r="L1959" s="32">
        <v>0</v>
      </c>
      <c r="M1959" s="35">
        <f>+J1959+L1959</f>
        <v>2134289</v>
      </c>
      <c r="N1959" s="28" t="s">
        <v>2449</v>
      </c>
      <c r="O1959" s="29" t="s">
        <v>2450</v>
      </c>
      <c r="P1959" s="36">
        <v>43427</v>
      </c>
      <c r="Q1959" s="31">
        <v>27507.17</v>
      </c>
      <c r="R1959" s="33">
        <f>M1959/Q1959</f>
        <v>77.590279189025992</v>
      </c>
    </row>
    <row r="1960" spans="1:18" s="30" customFormat="1" ht="15" customHeight="1">
      <c r="A1960" s="37" t="s">
        <v>874</v>
      </c>
      <c r="B1960" s="26" t="s">
        <v>875</v>
      </c>
      <c r="C1960" s="39">
        <v>22</v>
      </c>
      <c r="D1960" s="40" t="s">
        <v>2778</v>
      </c>
      <c r="E1960" s="38" t="s">
        <v>3</v>
      </c>
      <c r="F1960" s="38" t="s">
        <v>10</v>
      </c>
      <c r="G1960" s="32">
        <v>39367981</v>
      </c>
      <c r="H1960" s="32">
        <v>29633475</v>
      </c>
      <c r="I1960" s="52">
        <v>0</v>
      </c>
      <c r="J1960" s="35">
        <f>+G1960-H1960+I1960</f>
        <v>9734506</v>
      </c>
      <c r="K1960" s="28">
        <v>0</v>
      </c>
      <c r="L1960" s="32">
        <v>0</v>
      </c>
      <c r="M1960" s="35">
        <f>+J1960+L1960</f>
        <v>9734506</v>
      </c>
      <c r="N1960" s="28" t="s">
        <v>2048</v>
      </c>
      <c r="O1960" s="29" t="s">
        <v>2049</v>
      </c>
      <c r="P1960" s="36">
        <v>44379</v>
      </c>
      <c r="Q1960" s="31">
        <v>29716</v>
      </c>
      <c r="R1960" s="33">
        <v>327.58999999999997</v>
      </c>
    </row>
    <row r="1961" spans="1:18" s="30" customFormat="1" ht="15" customHeight="1">
      <c r="A1961" s="37" t="s">
        <v>356</v>
      </c>
      <c r="B1961" s="26" t="s">
        <v>1841</v>
      </c>
      <c r="C1961" s="39">
        <v>22</v>
      </c>
      <c r="D1961" s="40" t="s">
        <v>2779</v>
      </c>
      <c r="E1961" s="38" t="s">
        <v>3</v>
      </c>
      <c r="F1961" s="38" t="s">
        <v>10</v>
      </c>
      <c r="G1961" s="32">
        <v>3455997</v>
      </c>
      <c r="H1961" s="32">
        <v>0</v>
      </c>
      <c r="I1961" s="32">
        <v>497817</v>
      </c>
      <c r="J1961" s="35">
        <f>+G1961-H1961+I1961</f>
        <v>3953814</v>
      </c>
      <c r="K1961" s="28">
        <v>0</v>
      </c>
      <c r="L1961" s="32">
        <v>0</v>
      </c>
      <c r="M1961" s="35">
        <f>+J1961+L1961</f>
        <v>3953814</v>
      </c>
      <c r="N1961" s="28" t="s">
        <v>2651</v>
      </c>
      <c r="O1961" s="29" t="s">
        <v>2652</v>
      </c>
      <c r="P1961" s="36">
        <v>43907</v>
      </c>
      <c r="Q1961" s="31">
        <v>28545.95</v>
      </c>
      <c r="R1961" s="33">
        <f>M1961/Q1961</f>
        <v>138.50700362047857</v>
      </c>
    </row>
    <row r="1962" spans="1:18" s="30" customFormat="1" ht="15" customHeight="1">
      <c r="A1962" s="37" t="s">
        <v>356</v>
      </c>
      <c r="B1962" s="26" t="s">
        <v>1540</v>
      </c>
      <c r="C1962" s="39">
        <v>22</v>
      </c>
      <c r="D1962" s="40" t="s">
        <v>2780</v>
      </c>
      <c r="E1962" s="38" t="s">
        <v>3</v>
      </c>
      <c r="F1962" s="38" t="s">
        <v>11</v>
      </c>
      <c r="G1962" s="32">
        <v>3354988.3570737368</v>
      </c>
      <c r="H1962" s="32">
        <v>16709.624332012099</v>
      </c>
      <c r="I1962" s="32">
        <v>80401</v>
      </c>
      <c r="J1962" s="35">
        <f>+G1962-H1962+I1962</f>
        <v>3418679.7327417247</v>
      </c>
      <c r="K1962" s="28">
        <v>0</v>
      </c>
      <c r="L1962" s="32">
        <v>0</v>
      </c>
      <c r="M1962" s="35">
        <f>+J1962+L1962</f>
        <v>3418679.7327417247</v>
      </c>
      <c r="N1962" s="28" t="s">
        <v>2635</v>
      </c>
      <c r="O1962" s="29" t="s">
        <v>2636</v>
      </c>
      <c r="P1962" s="36">
        <v>42655</v>
      </c>
      <c r="Q1962" s="31">
        <v>26229.37</v>
      </c>
      <c r="R1962" s="33">
        <f>M1962/Q1962</f>
        <v>130.33785152833349</v>
      </c>
    </row>
    <row r="1963" spans="1:18" s="30" customFormat="1" ht="15" customHeight="1">
      <c r="A1963" s="37" t="s">
        <v>39</v>
      </c>
      <c r="B1963" s="26" t="s">
        <v>1658</v>
      </c>
      <c r="C1963" s="39">
        <v>22</v>
      </c>
      <c r="D1963" s="40" t="s">
        <v>2781</v>
      </c>
      <c r="E1963" s="38" t="s">
        <v>3</v>
      </c>
      <c r="F1963" s="38" t="s">
        <v>10</v>
      </c>
      <c r="G1963" s="32">
        <v>11890191.579</v>
      </c>
      <c r="H1963" s="32">
        <v>7257400.6349999998</v>
      </c>
      <c r="I1963" s="52">
        <v>0</v>
      </c>
      <c r="J1963" s="35">
        <f>+G1963-H1963+I1963</f>
        <v>4632790.9440000001</v>
      </c>
      <c r="K1963" s="28">
        <v>0</v>
      </c>
      <c r="L1963" s="32">
        <v>0</v>
      </c>
      <c r="M1963" s="35">
        <f>+J1963+L1963</f>
        <v>4632790.9440000001</v>
      </c>
      <c r="N1963" s="28" t="s">
        <v>2430</v>
      </c>
      <c r="O1963" s="29" t="s">
        <v>2431</v>
      </c>
      <c r="P1963" s="36">
        <v>43133</v>
      </c>
      <c r="Q1963" s="31">
        <v>26826.67</v>
      </c>
      <c r="R1963" s="33">
        <f>M1963/Q1963</f>
        <v>172.69347794564143</v>
      </c>
    </row>
    <row r="1964" spans="1:18" s="30" customFormat="1" ht="15" customHeight="1">
      <c r="A1964" s="37" t="s">
        <v>52</v>
      </c>
      <c r="B1964" s="26" t="s">
        <v>555</v>
      </c>
      <c r="C1964" s="65">
        <v>22</v>
      </c>
      <c r="D1964" s="51" t="s">
        <v>2782</v>
      </c>
      <c r="E1964" s="38" t="s">
        <v>4</v>
      </c>
      <c r="F1964" s="38" t="s">
        <v>15</v>
      </c>
      <c r="G1964" s="52">
        <v>114339901</v>
      </c>
      <c r="H1964" s="52">
        <v>115364363</v>
      </c>
      <c r="I1964" s="52">
        <v>1024463</v>
      </c>
      <c r="J1964" s="53">
        <f>+G1964-H1964+I1964</f>
        <v>1</v>
      </c>
      <c r="K1964" s="28">
        <v>0</v>
      </c>
      <c r="L1964" s="32">
        <v>0</v>
      </c>
      <c r="M1964" s="53">
        <f>+J1964+L1964</f>
        <v>1</v>
      </c>
      <c r="N1964" s="55" t="s">
        <v>1160</v>
      </c>
      <c r="O1964" s="29" t="s">
        <v>1161</v>
      </c>
      <c r="P1964" s="36">
        <v>42689</v>
      </c>
      <c r="Q1964" s="49">
        <v>26287.25</v>
      </c>
      <c r="R1964" s="33">
        <f>M1964/Q1964</f>
        <v>3.8041255741852036E-5</v>
      </c>
    </row>
    <row r="1965" spans="1:18" s="30" customFormat="1" ht="15" customHeight="1">
      <c r="A1965" s="37" t="s">
        <v>166</v>
      </c>
      <c r="B1965" s="26" t="s">
        <v>167</v>
      </c>
      <c r="C1965" s="39" t="s">
        <v>2783</v>
      </c>
      <c r="D1965" s="40" t="s">
        <v>2784</v>
      </c>
      <c r="E1965" s="38" t="s">
        <v>3</v>
      </c>
      <c r="F1965" s="38" t="s">
        <v>12</v>
      </c>
      <c r="G1965" s="32">
        <v>50224421</v>
      </c>
      <c r="H1965" s="32">
        <v>0</v>
      </c>
      <c r="I1965" s="32">
        <v>126916</v>
      </c>
      <c r="J1965" s="35">
        <f>+G1965-H1965+I1965</f>
        <v>50351337</v>
      </c>
      <c r="K1965" s="27">
        <v>17</v>
      </c>
      <c r="L1965" s="32">
        <v>0</v>
      </c>
      <c r="M1965" s="35">
        <f>+J1965+L1965</f>
        <v>50351337</v>
      </c>
      <c r="N1965" s="28" t="s">
        <v>171</v>
      </c>
      <c r="O1965" s="29" t="s">
        <v>1531</v>
      </c>
      <c r="P1965" s="36">
        <v>44341</v>
      </c>
      <c r="Q1965" s="31">
        <v>29513.759999999998</v>
      </c>
      <c r="R1965" s="33">
        <v>1706</v>
      </c>
    </row>
    <row r="1966" spans="1:18" s="30" customFormat="1" ht="15" customHeight="1">
      <c r="A1966" s="37" t="s">
        <v>52</v>
      </c>
      <c r="B1966" s="26" t="s">
        <v>195</v>
      </c>
      <c r="C1966" s="39">
        <v>22</v>
      </c>
      <c r="D1966" s="40" t="s">
        <v>2785</v>
      </c>
      <c r="E1966" s="38" t="s">
        <v>198</v>
      </c>
      <c r="F1966" s="38" t="s">
        <v>12</v>
      </c>
      <c r="G1966" s="32">
        <v>5752512</v>
      </c>
      <c r="H1966" s="32">
        <v>0</v>
      </c>
      <c r="I1966" s="32">
        <v>141959316</v>
      </c>
      <c r="J1966" s="35">
        <f>+G1966-H1966+I1966</f>
        <v>147711828</v>
      </c>
      <c r="K1966" s="28">
        <v>0</v>
      </c>
      <c r="L1966" s="32">
        <v>0</v>
      </c>
      <c r="M1966" s="35">
        <f>+J1966+L1966</f>
        <v>147711828</v>
      </c>
      <c r="N1966" s="28" t="s">
        <v>2512</v>
      </c>
      <c r="O1966" s="29" t="s">
        <v>2513</v>
      </c>
      <c r="P1966" s="36">
        <v>44301</v>
      </c>
      <c r="Q1966" s="31">
        <v>29662.41</v>
      </c>
      <c r="R1966" s="33">
        <f>M1966/Q1966</f>
        <v>4979.7648943561899</v>
      </c>
    </row>
    <row r="1967" spans="1:18" s="30" customFormat="1" ht="15" customHeight="1">
      <c r="A1967" s="37" t="s">
        <v>2639</v>
      </c>
      <c r="B1967" s="26" t="s">
        <v>2640</v>
      </c>
      <c r="C1967" s="39">
        <v>22</v>
      </c>
      <c r="D1967" s="40" t="s">
        <v>2786</v>
      </c>
      <c r="E1967" s="38" t="s">
        <v>4</v>
      </c>
      <c r="F1967" s="38" t="s">
        <v>11</v>
      </c>
      <c r="G1967" s="32">
        <v>5389232</v>
      </c>
      <c r="H1967" s="32">
        <v>372451</v>
      </c>
      <c r="I1967" s="32">
        <v>2784956</v>
      </c>
      <c r="J1967" s="35">
        <f>+G1967-H1967+I1967</f>
        <v>7801737</v>
      </c>
      <c r="K1967" s="28">
        <v>0</v>
      </c>
      <c r="L1967" s="32">
        <v>0</v>
      </c>
      <c r="M1967" s="35">
        <f>+J1967+L1967</f>
        <v>7801737</v>
      </c>
      <c r="N1967" s="28" t="s">
        <v>2754</v>
      </c>
      <c r="O1967" s="29" t="s">
        <v>2755</v>
      </c>
      <c r="P1967" s="36">
        <v>43356</v>
      </c>
      <c r="Q1967" s="31">
        <v>27326.49</v>
      </c>
      <c r="R1967" s="33">
        <f>M1967/Q1967</f>
        <v>285.50088211109437</v>
      </c>
    </row>
    <row r="1968" spans="1:18" s="30" customFormat="1" ht="15" customHeight="1">
      <c r="A1968" s="46" t="s">
        <v>52</v>
      </c>
      <c r="B1968" s="47" t="s">
        <v>2606</v>
      </c>
      <c r="C1968" s="65">
        <v>22</v>
      </c>
      <c r="D1968" s="51" t="s">
        <v>2787</v>
      </c>
      <c r="E1968" s="38" t="s">
        <v>3</v>
      </c>
      <c r="F1968" s="48" t="s">
        <v>11</v>
      </c>
      <c r="G1968" s="52">
        <v>2490157</v>
      </c>
      <c r="H1968" s="52">
        <v>0</v>
      </c>
      <c r="I1968" s="52">
        <v>0</v>
      </c>
      <c r="J1968" s="53">
        <f>+G1968-H1968+I1968</f>
        <v>2490157</v>
      </c>
      <c r="K1968" s="70">
        <v>0</v>
      </c>
      <c r="L1968" s="52">
        <v>0</v>
      </c>
      <c r="M1968" s="53">
        <f>+J1968+L1968</f>
        <v>2490157</v>
      </c>
      <c r="N1968" s="55" t="s">
        <v>2608</v>
      </c>
      <c r="O1968" s="56" t="s">
        <v>2609</v>
      </c>
      <c r="P1968" s="56">
        <v>44488</v>
      </c>
      <c r="Q1968" s="49">
        <v>30240.57</v>
      </c>
      <c r="R1968" s="57">
        <f>M1968/Q1968</f>
        <v>82.344909504020592</v>
      </c>
    </row>
    <row r="1969" spans="1:18" s="30" customFormat="1" ht="15" customHeight="1">
      <c r="A1969" s="37" t="s">
        <v>52</v>
      </c>
      <c r="B1969" s="26" t="s">
        <v>2606</v>
      </c>
      <c r="C1969" s="39">
        <v>22</v>
      </c>
      <c r="D1969" s="40" t="s">
        <v>2788</v>
      </c>
      <c r="E1969" s="38" t="s">
        <v>4</v>
      </c>
      <c r="F1969" s="38" t="s">
        <v>12</v>
      </c>
      <c r="G1969" s="32">
        <v>5903957</v>
      </c>
      <c r="H1969" s="32">
        <v>-7730407</v>
      </c>
      <c r="I1969" s="52">
        <v>0</v>
      </c>
      <c r="J1969" s="35">
        <f>+G1969-H1969+I1969</f>
        <v>13634364</v>
      </c>
      <c r="K1969" s="28">
        <v>0</v>
      </c>
      <c r="L1969" s="32">
        <v>0</v>
      </c>
      <c r="M1969" s="35">
        <f>+J1969+L1969</f>
        <v>13634364</v>
      </c>
      <c r="N1969" s="28" t="s">
        <v>2738</v>
      </c>
      <c r="O1969" s="29" t="s">
        <v>2609</v>
      </c>
      <c r="P1969" s="36">
        <v>42863</v>
      </c>
      <c r="Q1969" s="31">
        <v>26589.71</v>
      </c>
      <c r="R1969" s="33">
        <f>M1969/Q1969</f>
        <v>512.76843560911345</v>
      </c>
    </row>
    <row r="1970" spans="1:18" s="30" customFormat="1" ht="15" customHeight="1">
      <c r="A1970" s="37" t="s">
        <v>688</v>
      </c>
      <c r="B1970" s="26" t="s">
        <v>1728</v>
      </c>
      <c r="C1970" s="39">
        <v>22</v>
      </c>
      <c r="D1970" s="40" t="s">
        <v>2789</v>
      </c>
      <c r="E1970" s="38" t="s">
        <v>4</v>
      </c>
      <c r="F1970" s="38" t="s">
        <v>20</v>
      </c>
      <c r="G1970" s="32">
        <v>183312</v>
      </c>
      <c r="H1970" s="32">
        <v>0</v>
      </c>
      <c r="I1970" s="52">
        <v>0</v>
      </c>
      <c r="J1970" s="35">
        <f>+G1970-H1970+I1970</f>
        <v>183312</v>
      </c>
      <c r="K1970" s="28">
        <v>0</v>
      </c>
      <c r="L1970" s="32">
        <v>0</v>
      </c>
      <c r="M1970" s="35">
        <f>+J1970+L1970</f>
        <v>183312</v>
      </c>
      <c r="N1970" s="28" t="s">
        <v>2343</v>
      </c>
      <c r="O1970" s="29" t="s">
        <v>2344</v>
      </c>
      <c r="P1970" s="36">
        <v>42810</v>
      </c>
      <c r="Q1970" s="31">
        <v>26446.36</v>
      </c>
      <c r="R1970" s="33">
        <f>M1970/Q1970</f>
        <v>6.9314642922504266</v>
      </c>
    </row>
    <row r="1971" spans="1:18" s="30" customFormat="1" ht="15" customHeight="1">
      <c r="A1971" s="37" t="s">
        <v>627</v>
      </c>
      <c r="B1971" s="26" t="s">
        <v>628</v>
      </c>
      <c r="C1971" s="39">
        <v>21</v>
      </c>
      <c r="D1971" s="40" t="s">
        <v>2790</v>
      </c>
      <c r="E1971" s="38" t="s">
        <v>4</v>
      </c>
      <c r="F1971" s="38" t="s">
        <v>21</v>
      </c>
      <c r="G1971" s="32">
        <v>0</v>
      </c>
      <c r="H1971" s="32">
        <v>1387581.6214399999</v>
      </c>
      <c r="I1971" s="32">
        <v>2006896.8819199998</v>
      </c>
      <c r="J1971" s="35">
        <f>+G1971-H1971+I1971</f>
        <v>619315.26047999994</v>
      </c>
      <c r="K1971" s="28">
        <v>0</v>
      </c>
      <c r="L1971" s="32">
        <v>0</v>
      </c>
      <c r="M1971" s="35">
        <f>+J1971+L1971</f>
        <v>619315.26047999994</v>
      </c>
      <c r="N1971" s="28" t="s">
        <v>631</v>
      </c>
      <c r="O1971" s="29" t="s">
        <v>632</v>
      </c>
      <c r="P1971" s="36">
        <v>43826</v>
      </c>
      <c r="Q1971" s="31">
        <v>28306.29</v>
      </c>
      <c r="R1971" s="33">
        <f>M1971/Q1971</f>
        <v>21.879068591468535</v>
      </c>
    </row>
    <row r="1972" spans="1:18" s="30" customFormat="1" ht="15" customHeight="1">
      <c r="A1972" s="37" t="s">
        <v>391</v>
      </c>
      <c r="B1972" s="26" t="s">
        <v>392</v>
      </c>
      <c r="C1972" s="39">
        <v>21</v>
      </c>
      <c r="D1972" s="40" t="s">
        <v>2791</v>
      </c>
      <c r="E1972" s="38" t="s">
        <v>3</v>
      </c>
      <c r="F1972" s="38" t="s">
        <v>10</v>
      </c>
      <c r="G1972" s="32">
        <v>19504046</v>
      </c>
      <c r="H1972" s="32">
        <v>0</v>
      </c>
      <c r="I1972" s="52">
        <v>0</v>
      </c>
      <c r="J1972" s="35">
        <f>+G1972-H1972+I1972</f>
        <v>19504046</v>
      </c>
      <c r="K1972" s="28">
        <v>0</v>
      </c>
      <c r="L1972" s="32">
        <v>0</v>
      </c>
      <c r="M1972" s="35">
        <f>+J1972+L1972</f>
        <v>19504046</v>
      </c>
      <c r="N1972" s="28" t="s">
        <v>2792</v>
      </c>
      <c r="O1972" s="29" t="s">
        <v>2793</v>
      </c>
      <c r="P1972" s="36">
        <v>43122</v>
      </c>
      <c r="Q1972" s="31">
        <v>26817.16</v>
      </c>
      <c r="R1972" s="33">
        <f>M1972/Q1972</f>
        <v>727.29722312131491</v>
      </c>
    </row>
    <row r="1973" spans="1:18" s="30" customFormat="1" ht="15" customHeight="1">
      <c r="A1973" s="37" t="s">
        <v>293</v>
      </c>
      <c r="B1973" s="26" t="s">
        <v>294</v>
      </c>
      <c r="C1973" s="39">
        <v>21</v>
      </c>
      <c r="D1973" s="40" t="s">
        <v>2794</v>
      </c>
      <c r="E1973" s="38" t="s">
        <v>3</v>
      </c>
      <c r="F1973" s="38" t="s">
        <v>10</v>
      </c>
      <c r="G1973" s="32">
        <v>3253429</v>
      </c>
      <c r="H1973" s="32">
        <v>1851228</v>
      </c>
      <c r="I1973" s="52">
        <v>0</v>
      </c>
      <c r="J1973" s="35">
        <f>+G1973-H1973+I1973</f>
        <v>1402201</v>
      </c>
      <c r="K1973" s="28">
        <v>0</v>
      </c>
      <c r="L1973" s="32">
        <v>0</v>
      </c>
      <c r="M1973" s="35">
        <f>+J1973+L1973</f>
        <v>1402201</v>
      </c>
      <c r="N1973" s="28" t="s">
        <v>1626</v>
      </c>
      <c r="O1973" s="29" t="s">
        <v>1627</v>
      </c>
      <c r="P1973" s="36">
        <v>43886</v>
      </c>
      <c r="Q1973" s="31">
        <v>28440.19</v>
      </c>
      <c r="R1973" s="33">
        <f>M1973/Q1973</f>
        <v>49.303503246637945</v>
      </c>
    </row>
    <row r="1974" spans="1:18" s="30" customFormat="1" ht="15" customHeight="1">
      <c r="A1974" s="37" t="s">
        <v>874</v>
      </c>
      <c r="B1974" s="26" t="s">
        <v>875</v>
      </c>
      <c r="C1974" s="39">
        <v>21</v>
      </c>
      <c r="D1974" s="40" t="s">
        <v>2795</v>
      </c>
      <c r="E1974" s="38" t="s">
        <v>3</v>
      </c>
      <c r="F1974" s="38" t="s">
        <v>10</v>
      </c>
      <c r="G1974" s="32">
        <v>55097409</v>
      </c>
      <c r="H1974" s="32">
        <v>18550779</v>
      </c>
      <c r="I1974" s="32"/>
      <c r="J1974" s="35">
        <f>+G1974-H1974+I1974</f>
        <v>36546630</v>
      </c>
      <c r="K1974" s="28">
        <v>0</v>
      </c>
      <c r="L1974" s="32">
        <v>0</v>
      </c>
      <c r="M1974" s="35">
        <f>+J1974+L1974</f>
        <v>36546630</v>
      </c>
      <c r="N1974" s="28" t="s">
        <v>1179</v>
      </c>
      <c r="O1974" s="29" t="s">
        <v>1180</v>
      </c>
      <c r="P1974" s="36">
        <v>44454</v>
      </c>
      <c r="Q1974" s="31">
        <v>30028</v>
      </c>
      <c r="R1974" s="33">
        <v>1217.07</v>
      </c>
    </row>
    <row r="1975" spans="1:18" s="30" customFormat="1" ht="15" customHeight="1">
      <c r="A1975" s="37" t="s">
        <v>356</v>
      </c>
      <c r="B1975" s="26" t="s">
        <v>1841</v>
      </c>
      <c r="C1975" s="39">
        <v>21</v>
      </c>
      <c r="D1975" s="40" t="s">
        <v>2796</v>
      </c>
      <c r="E1975" s="38" t="s">
        <v>3</v>
      </c>
      <c r="F1975" s="38" t="s">
        <v>11</v>
      </c>
      <c r="G1975" s="32">
        <v>29442193</v>
      </c>
      <c r="H1975" s="32">
        <v>13138866</v>
      </c>
      <c r="I1975" s="52">
        <v>0</v>
      </c>
      <c r="J1975" s="35">
        <f>+G1975-H1975+I1975</f>
        <v>16303327</v>
      </c>
      <c r="K1975" s="28">
        <v>0</v>
      </c>
      <c r="L1975" s="32">
        <v>0</v>
      </c>
      <c r="M1975" s="35">
        <f>+J1975+L1975</f>
        <v>16303327</v>
      </c>
      <c r="N1975" s="28" t="s">
        <v>2797</v>
      </c>
      <c r="O1975" s="29" t="s">
        <v>2798</v>
      </c>
      <c r="P1975" s="36">
        <v>43844</v>
      </c>
      <c r="Q1975" s="31">
        <v>28322.73</v>
      </c>
      <c r="R1975" s="33">
        <f>M1975/Q1975</f>
        <v>575.62696110156048</v>
      </c>
    </row>
    <row r="1976" spans="1:18" s="30" customFormat="1" ht="15" customHeight="1">
      <c r="A1976" s="37" t="s">
        <v>356</v>
      </c>
      <c r="B1976" s="26" t="s">
        <v>1540</v>
      </c>
      <c r="C1976" s="39">
        <v>21</v>
      </c>
      <c r="D1976" s="40" t="s">
        <v>2799</v>
      </c>
      <c r="E1976" s="38" t="s">
        <v>3</v>
      </c>
      <c r="F1976" s="38" t="s">
        <v>10</v>
      </c>
      <c r="G1976" s="32">
        <v>4979544.9507161491</v>
      </c>
      <c r="H1976" s="32">
        <v>16709.624332012139</v>
      </c>
      <c r="I1976" s="32">
        <v>22670</v>
      </c>
      <c r="J1976" s="35">
        <f>+G1976-H1976+I1976</f>
        <v>4985505.3263841374</v>
      </c>
      <c r="K1976" s="28">
        <v>0</v>
      </c>
      <c r="L1976" s="32">
        <v>0</v>
      </c>
      <c r="M1976" s="35">
        <f>+J1976+L1976</f>
        <v>4985505.3263841374</v>
      </c>
      <c r="N1976" s="28" t="s">
        <v>2635</v>
      </c>
      <c r="O1976" s="29" t="s">
        <v>2636</v>
      </c>
      <c r="P1976" s="36">
        <v>42655</v>
      </c>
      <c r="Q1976" s="31">
        <v>26229.37</v>
      </c>
      <c r="R1976" s="33">
        <f>M1976/Q1976</f>
        <v>190.07339201757944</v>
      </c>
    </row>
    <row r="1977" spans="1:18" s="30" customFormat="1" ht="15" customHeight="1">
      <c r="A1977" s="37" t="s">
        <v>39</v>
      </c>
      <c r="B1977" s="26" t="s">
        <v>1658</v>
      </c>
      <c r="C1977" s="39">
        <v>21</v>
      </c>
      <c r="D1977" s="40" t="s">
        <v>2800</v>
      </c>
      <c r="E1977" s="38" t="s">
        <v>3</v>
      </c>
      <c r="F1977" s="38" t="s">
        <v>10</v>
      </c>
      <c r="G1977" s="32">
        <v>128304696.81</v>
      </c>
      <c r="H1977" s="32">
        <v>40750120.25</v>
      </c>
      <c r="I1977" s="52">
        <v>0</v>
      </c>
      <c r="J1977" s="35">
        <f>+G1977-H1977+I1977</f>
        <v>87554576.560000002</v>
      </c>
      <c r="K1977" s="28">
        <v>0</v>
      </c>
      <c r="L1977" s="32">
        <v>0</v>
      </c>
      <c r="M1977" s="35">
        <f>+J1977+L1977</f>
        <v>87554576.560000002</v>
      </c>
      <c r="N1977" s="28" t="s">
        <v>2381</v>
      </c>
      <c r="O1977" s="29" t="s">
        <v>2407</v>
      </c>
      <c r="P1977" s="36">
        <v>43277</v>
      </c>
      <c r="Q1977" s="31">
        <v>27147.919999999998</v>
      </c>
      <c r="R1977" s="33">
        <f>M1977/Q1977</f>
        <v>3225.0933611120117</v>
      </c>
    </row>
    <row r="1978" spans="1:18" s="30" customFormat="1" ht="15" customHeight="1">
      <c r="A1978" s="37" t="s">
        <v>52</v>
      </c>
      <c r="B1978" s="26" t="s">
        <v>555</v>
      </c>
      <c r="C1978" s="65">
        <v>21</v>
      </c>
      <c r="D1978" s="51" t="s">
        <v>2801</v>
      </c>
      <c r="E1978" s="38" t="s">
        <v>3</v>
      </c>
      <c r="F1978" s="38" t="s">
        <v>15</v>
      </c>
      <c r="G1978" s="52">
        <v>0</v>
      </c>
      <c r="H1978" s="52">
        <v>18790096</v>
      </c>
      <c r="I1978" s="52">
        <v>0</v>
      </c>
      <c r="J1978" s="53">
        <f>+G1978-H1978+I1978</f>
        <v>-18790096</v>
      </c>
      <c r="K1978" s="28">
        <v>0</v>
      </c>
      <c r="L1978" s="32">
        <v>0</v>
      </c>
      <c r="M1978" s="53">
        <f>+J1978+L1978</f>
        <v>-18790096</v>
      </c>
      <c r="N1978" s="55" t="s">
        <v>1160</v>
      </c>
      <c r="O1978" s="29" t="s">
        <v>1161</v>
      </c>
      <c r="P1978" s="36">
        <v>42689</v>
      </c>
      <c r="Q1978" s="49">
        <v>26287.25</v>
      </c>
      <c r="R1978" s="33">
        <f>M1978/Q1978</f>
        <v>-714.79884734995107</v>
      </c>
    </row>
    <row r="1979" spans="1:18" s="30" customFormat="1" ht="15" customHeight="1">
      <c r="A1979" s="37" t="s">
        <v>52</v>
      </c>
      <c r="B1979" s="26" t="s">
        <v>195</v>
      </c>
      <c r="C1979" s="39">
        <v>21</v>
      </c>
      <c r="D1979" s="40" t="s">
        <v>2802</v>
      </c>
      <c r="E1979" s="38" t="s">
        <v>3</v>
      </c>
      <c r="F1979" s="38" t="s">
        <v>14</v>
      </c>
      <c r="G1979" s="32">
        <v>80131631</v>
      </c>
      <c r="H1979" s="32">
        <v>111088442</v>
      </c>
      <c r="I1979" s="32">
        <v>100399348</v>
      </c>
      <c r="J1979" s="35">
        <f>+G1979-H1979+I1979</f>
        <v>69442537</v>
      </c>
      <c r="K1979" s="28">
        <v>0</v>
      </c>
      <c r="L1979" s="32">
        <v>0</v>
      </c>
      <c r="M1979" s="35">
        <f>+J1979+L1979</f>
        <v>69442537</v>
      </c>
      <c r="N1979" s="28" t="s">
        <v>2512</v>
      </c>
      <c r="O1979" s="29" t="s">
        <v>2513</v>
      </c>
      <c r="P1979" s="36">
        <v>44301</v>
      </c>
      <c r="Q1979" s="31">
        <v>29662.41</v>
      </c>
      <c r="R1979" s="33">
        <f>M1979/Q1979</f>
        <v>2341.0955819166411</v>
      </c>
    </row>
    <row r="1980" spans="1:18" s="30" customFormat="1" ht="15" customHeight="1">
      <c r="A1980" s="37" t="s">
        <v>2639</v>
      </c>
      <c r="B1980" s="26" t="s">
        <v>2640</v>
      </c>
      <c r="C1980" s="39">
        <v>21</v>
      </c>
      <c r="D1980" s="40" t="s">
        <v>2803</v>
      </c>
      <c r="E1980" s="38" t="s">
        <v>3</v>
      </c>
      <c r="F1980" s="38" t="s">
        <v>11</v>
      </c>
      <c r="G1980" s="32">
        <v>2407174</v>
      </c>
      <c r="H1980" s="32">
        <v>7660823</v>
      </c>
      <c r="I1980" s="32">
        <v>3488733</v>
      </c>
      <c r="J1980" s="35">
        <f>+G1980-H1980+I1980</f>
        <v>-1764916</v>
      </c>
      <c r="K1980" s="28">
        <v>0</v>
      </c>
      <c r="L1980" s="32">
        <v>0</v>
      </c>
      <c r="M1980" s="35">
        <f>+J1980+L1980</f>
        <v>-1764916</v>
      </c>
      <c r="N1980" s="28" t="s">
        <v>2754</v>
      </c>
      <c r="O1980" s="29" t="s">
        <v>2755</v>
      </c>
      <c r="P1980" s="36">
        <v>43356</v>
      </c>
      <c r="Q1980" s="31">
        <v>27326.49</v>
      </c>
      <c r="R1980" s="33">
        <f>M1980/Q1980</f>
        <v>-64.58626775703722</v>
      </c>
    </row>
    <row r="1981" spans="1:18" s="30" customFormat="1" ht="15" customHeight="1">
      <c r="A1981" s="37" t="s">
        <v>52</v>
      </c>
      <c r="B1981" s="26" t="s">
        <v>2606</v>
      </c>
      <c r="C1981" s="39">
        <v>21</v>
      </c>
      <c r="D1981" s="40" t="s">
        <v>2804</v>
      </c>
      <c r="E1981" s="38" t="s">
        <v>6</v>
      </c>
      <c r="F1981" s="38" t="s">
        <v>11</v>
      </c>
      <c r="G1981" s="32">
        <v>1083930</v>
      </c>
      <c r="H1981" s="32">
        <v>-2665789</v>
      </c>
      <c r="I1981" s="32">
        <v>6288379</v>
      </c>
      <c r="J1981" s="35">
        <f>+G1981-H1981+I1981</f>
        <v>10038098</v>
      </c>
      <c r="K1981" s="28">
        <v>0</v>
      </c>
      <c r="L1981" s="32">
        <v>0</v>
      </c>
      <c r="M1981" s="35">
        <f>+J1981+L1981</f>
        <v>10038098</v>
      </c>
      <c r="N1981" s="28" t="s">
        <v>2684</v>
      </c>
      <c r="O1981" s="29" t="s">
        <v>2685</v>
      </c>
      <c r="P1981" s="36">
        <v>42727</v>
      </c>
      <c r="Q1981" s="31">
        <v>26341.19</v>
      </c>
      <c r="R1981" s="33">
        <f>M1981/Q1981</f>
        <v>381.07989806079377</v>
      </c>
    </row>
    <row r="1982" spans="1:18" s="30" customFormat="1" ht="15" customHeight="1">
      <c r="A1982" s="37" t="s">
        <v>688</v>
      </c>
      <c r="B1982" s="26" t="s">
        <v>1728</v>
      </c>
      <c r="C1982" s="39">
        <v>21</v>
      </c>
      <c r="D1982" s="40" t="s">
        <v>2805</v>
      </c>
      <c r="E1982" s="38" t="s">
        <v>4</v>
      </c>
      <c r="F1982" s="38" t="s">
        <v>12</v>
      </c>
      <c r="G1982" s="32">
        <v>78698</v>
      </c>
      <c r="H1982" s="32">
        <v>21003</v>
      </c>
      <c r="I1982" s="52">
        <v>0</v>
      </c>
      <c r="J1982" s="35">
        <f>+G1982-H1982+I1982</f>
        <v>57695</v>
      </c>
      <c r="K1982" s="28">
        <v>0</v>
      </c>
      <c r="L1982" s="32">
        <v>0</v>
      </c>
      <c r="M1982" s="35">
        <f>+J1982+L1982</f>
        <v>57695</v>
      </c>
      <c r="N1982" s="28" t="s">
        <v>2343</v>
      </c>
      <c r="O1982" s="29" t="s">
        <v>2344</v>
      </c>
      <c r="P1982" s="36">
        <v>42810</v>
      </c>
      <c r="Q1982" s="31">
        <v>26446.36</v>
      </c>
      <c r="R1982" s="33">
        <f>M1982/Q1982</f>
        <v>2.1815856700128107</v>
      </c>
    </row>
    <row r="1983" spans="1:18" s="30" customFormat="1" ht="15" customHeight="1">
      <c r="A1983" s="37" t="s">
        <v>627</v>
      </c>
      <c r="B1983" s="26" t="s">
        <v>628</v>
      </c>
      <c r="C1983" s="39">
        <v>20</v>
      </c>
      <c r="D1983" s="40" t="s">
        <v>2806</v>
      </c>
      <c r="E1983" s="38" t="s">
        <v>3</v>
      </c>
      <c r="F1983" s="38" t="s">
        <v>11</v>
      </c>
      <c r="G1983" s="32">
        <v>0</v>
      </c>
      <c r="H1983" s="32">
        <v>0</v>
      </c>
      <c r="I1983" s="32">
        <v>1991156.5862719999</v>
      </c>
      <c r="J1983" s="35">
        <f>+G1983-H1983+I1983</f>
        <v>1991156.5862719999</v>
      </c>
      <c r="K1983" s="28">
        <v>0</v>
      </c>
      <c r="L1983" s="32">
        <v>0</v>
      </c>
      <c r="M1983" s="35">
        <f>+J1983+L1983</f>
        <v>1991156.5862719999</v>
      </c>
      <c r="N1983" s="28" t="s">
        <v>631</v>
      </c>
      <c r="O1983" s="29" t="s">
        <v>632</v>
      </c>
      <c r="P1983" s="36">
        <v>43826</v>
      </c>
      <c r="Q1983" s="31">
        <v>28306.29</v>
      </c>
      <c r="R1983" s="33">
        <f>M1983/Q1983</f>
        <v>70.343255377938959</v>
      </c>
    </row>
    <row r="1984" spans="1:18" s="30" customFormat="1" ht="15" customHeight="1">
      <c r="A1984" s="37" t="s">
        <v>391</v>
      </c>
      <c r="B1984" s="26" t="s">
        <v>392</v>
      </c>
      <c r="C1984" s="39">
        <v>20</v>
      </c>
      <c r="D1984" s="40" t="s">
        <v>2807</v>
      </c>
      <c r="E1984" s="38" t="s">
        <v>3</v>
      </c>
      <c r="F1984" s="38" t="s">
        <v>10</v>
      </c>
      <c r="G1984" s="32">
        <v>147708</v>
      </c>
      <c r="H1984" s="32">
        <v>0</v>
      </c>
      <c r="I1984" s="32">
        <v>914100</v>
      </c>
      <c r="J1984" s="35">
        <f>+G1984-H1984+I1984</f>
        <v>1061808</v>
      </c>
      <c r="K1984" s="28">
        <v>0</v>
      </c>
      <c r="L1984" s="32">
        <v>0</v>
      </c>
      <c r="M1984" s="35">
        <f>+J1984+L1984</f>
        <v>1061808</v>
      </c>
      <c r="N1984" s="28" t="s">
        <v>2549</v>
      </c>
      <c r="O1984" s="29" t="s">
        <v>2550</v>
      </c>
      <c r="P1984" s="36">
        <v>43269</v>
      </c>
      <c r="Q1984" s="31">
        <v>27126.25</v>
      </c>
      <c r="R1984" s="33">
        <f>M1984/Q1984</f>
        <v>39.143191557992722</v>
      </c>
    </row>
    <row r="1985" spans="1:18" s="30" customFormat="1" ht="15" customHeight="1">
      <c r="A1985" s="37" t="s">
        <v>52</v>
      </c>
      <c r="B1985" s="26" t="s">
        <v>555</v>
      </c>
      <c r="C1985" s="39">
        <v>62</v>
      </c>
      <c r="D1985" s="40" t="s">
        <v>2808</v>
      </c>
      <c r="E1985" s="38" t="s">
        <v>3</v>
      </c>
      <c r="F1985" s="38" t="s">
        <v>11</v>
      </c>
      <c r="G1985" s="32">
        <v>55987576</v>
      </c>
      <c r="H1985" s="32">
        <v>0</v>
      </c>
      <c r="I1985" s="32">
        <v>23426920</v>
      </c>
      <c r="J1985" s="35">
        <f>+G1985-H1985+I1985</f>
        <v>79414496</v>
      </c>
      <c r="K1985" s="27">
        <v>30</v>
      </c>
      <c r="L1985" s="32">
        <v>223487340</v>
      </c>
      <c r="M1985" s="35">
        <f>+J1985+L1985</f>
        <v>302901836</v>
      </c>
      <c r="N1985" s="28" t="s">
        <v>2809</v>
      </c>
      <c r="O1985" s="29" t="s">
        <v>2810</v>
      </c>
      <c r="P1985" s="36">
        <v>42774</v>
      </c>
      <c r="Q1985" s="31">
        <v>26304.62</v>
      </c>
      <c r="R1985" s="33">
        <f>M1985/Q1985</f>
        <v>11515.157261348008</v>
      </c>
    </row>
    <row r="1986" spans="1:18" s="30" customFormat="1" ht="15" customHeight="1">
      <c r="A1986" s="37" t="s">
        <v>52</v>
      </c>
      <c r="B1986" s="26" t="s">
        <v>622</v>
      </c>
      <c r="C1986" s="65">
        <v>20</v>
      </c>
      <c r="D1986" s="51" t="s">
        <v>2811</v>
      </c>
      <c r="E1986" s="38" t="s">
        <v>3</v>
      </c>
      <c r="F1986" s="38" t="s">
        <v>21</v>
      </c>
      <c r="G1986" s="52">
        <v>2306937</v>
      </c>
      <c r="H1986" s="52">
        <v>0</v>
      </c>
      <c r="I1986" s="52">
        <v>691510</v>
      </c>
      <c r="J1986" s="53">
        <f>+G1986-H1986+I1986</f>
        <v>2998447</v>
      </c>
      <c r="K1986" s="28">
        <v>0</v>
      </c>
      <c r="L1986" s="32">
        <v>0</v>
      </c>
      <c r="M1986" s="53">
        <f>+J1986+L1986</f>
        <v>2998447</v>
      </c>
      <c r="N1986" s="55" t="s">
        <v>2085</v>
      </c>
      <c r="O1986" s="29" t="s">
        <v>2086</v>
      </c>
      <c r="P1986" s="36">
        <v>43735</v>
      </c>
      <c r="Q1986" s="49">
        <v>28042.93</v>
      </c>
      <c r="R1986" s="33">
        <f>M1986/Q1986</f>
        <v>106.92345628648647</v>
      </c>
    </row>
    <row r="1987" spans="1:18" s="30" customFormat="1" ht="15" customHeight="1">
      <c r="A1987" s="37" t="s">
        <v>39</v>
      </c>
      <c r="B1987" s="26" t="s">
        <v>1658</v>
      </c>
      <c r="C1987" s="39">
        <v>20</v>
      </c>
      <c r="D1987" s="40" t="s">
        <v>2812</v>
      </c>
      <c r="E1987" s="38" t="s">
        <v>3</v>
      </c>
      <c r="F1987" s="38" t="s">
        <v>10</v>
      </c>
      <c r="G1987" s="32">
        <v>13712244</v>
      </c>
      <c r="H1987" s="32">
        <v>58259</v>
      </c>
      <c r="I1987" s="32">
        <v>185955.35</v>
      </c>
      <c r="J1987" s="35">
        <f>+G1987-H1987+I1987</f>
        <v>13839940.35</v>
      </c>
      <c r="K1987" s="28">
        <v>0</v>
      </c>
      <c r="L1987" s="32">
        <v>0</v>
      </c>
      <c r="M1987" s="35">
        <f>+J1987+L1987</f>
        <v>13839940.35</v>
      </c>
      <c r="N1987" s="28" t="s">
        <v>2430</v>
      </c>
      <c r="O1987" s="29" t="s">
        <v>2431</v>
      </c>
      <c r="P1987" s="36">
        <v>43133</v>
      </c>
      <c r="Q1987" s="31">
        <v>26826.67</v>
      </c>
      <c r="R1987" s="33">
        <f>M1987/Q1987</f>
        <v>515.90228492764857</v>
      </c>
    </row>
    <row r="1988" spans="1:18" s="30" customFormat="1" ht="15" customHeight="1">
      <c r="A1988" s="37" t="s">
        <v>52</v>
      </c>
      <c r="B1988" s="26" t="s">
        <v>555</v>
      </c>
      <c r="C1988" s="65">
        <v>20</v>
      </c>
      <c r="D1988" s="51" t="s">
        <v>2813</v>
      </c>
      <c r="E1988" s="38" t="s">
        <v>3</v>
      </c>
      <c r="F1988" s="38" t="s">
        <v>11</v>
      </c>
      <c r="G1988" s="52">
        <v>0</v>
      </c>
      <c r="H1988" s="52">
        <v>29408049</v>
      </c>
      <c r="I1988" s="52">
        <v>0</v>
      </c>
      <c r="J1988" s="53">
        <f>+G1988-H1988+I1988</f>
        <v>-29408049</v>
      </c>
      <c r="K1988" s="28">
        <v>0</v>
      </c>
      <c r="L1988" s="32">
        <v>0</v>
      </c>
      <c r="M1988" s="53">
        <f>+J1988+L1988</f>
        <v>-29408049</v>
      </c>
      <c r="N1988" s="55" t="s">
        <v>1160</v>
      </c>
      <c r="O1988" s="29" t="s">
        <v>1161</v>
      </c>
      <c r="P1988" s="36">
        <v>42689</v>
      </c>
      <c r="Q1988" s="49">
        <v>26287.25</v>
      </c>
      <c r="R1988" s="33">
        <f>M1988/Q1988</f>
        <v>-1118.7191128779161</v>
      </c>
    </row>
    <row r="1989" spans="1:18" s="30" customFormat="1" ht="15" customHeight="1">
      <c r="A1989" s="37" t="s">
        <v>2639</v>
      </c>
      <c r="B1989" s="26" t="s">
        <v>2640</v>
      </c>
      <c r="C1989" s="39">
        <v>20</v>
      </c>
      <c r="D1989" s="40" t="s">
        <v>2814</v>
      </c>
      <c r="E1989" s="38" t="s">
        <v>4</v>
      </c>
      <c r="F1989" s="38" t="s">
        <v>11</v>
      </c>
      <c r="G1989" s="32">
        <v>3374283</v>
      </c>
      <c r="H1989" s="32">
        <v>0</v>
      </c>
      <c r="I1989" s="32">
        <v>1466080</v>
      </c>
      <c r="J1989" s="35">
        <f>+G1989-H1989+I1989</f>
        <v>4840363</v>
      </c>
      <c r="K1989" s="28">
        <v>0</v>
      </c>
      <c r="L1989" s="32">
        <v>0</v>
      </c>
      <c r="M1989" s="35">
        <f>+J1989+L1989</f>
        <v>4840363</v>
      </c>
      <c r="N1989" s="28" t="s">
        <v>2754</v>
      </c>
      <c r="O1989" s="29" t="s">
        <v>2755</v>
      </c>
      <c r="P1989" s="36">
        <v>43356</v>
      </c>
      <c r="Q1989" s="31">
        <v>27326.49</v>
      </c>
      <c r="R1989" s="33">
        <f>M1989/Q1989</f>
        <v>177.13079872314373</v>
      </c>
    </row>
    <row r="1990" spans="1:18" s="30" customFormat="1" ht="15" customHeight="1">
      <c r="A1990" s="37" t="s">
        <v>688</v>
      </c>
      <c r="B1990" s="26" t="s">
        <v>1728</v>
      </c>
      <c r="C1990" s="39">
        <v>20</v>
      </c>
      <c r="D1990" s="40" t="s">
        <v>2815</v>
      </c>
      <c r="E1990" s="38" t="s">
        <v>4</v>
      </c>
      <c r="F1990" s="38" t="s">
        <v>12</v>
      </c>
      <c r="G1990" s="32">
        <v>41126.400000000001</v>
      </c>
      <c r="H1990" s="32">
        <v>19040</v>
      </c>
      <c r="I1990" s="52">
        <v>0</v>
      </c>
      <c r="J1990" s="35">
        <f>+G1990-H1990+I1990</f>
        <v>22086.400000000001</v>
      </c>
      <c r="K1990" s="28">
        <v>0</v>
      </c>
      <c r="L1990" s="32">
        <v>0</v>
      </c>
      <c r="M1990" s="35">
        <f>+J1990+L1990</f>
        <v>22086.400000000001</v>
      </c>
      <c r="N1990" s="28" t="s">
        <v>2343</v>
      </c>
      <c r="O1990" s="29" t="s">
        <v>2344</v>
      </c>
      <c r="P1990" s="36">
        <v>42810</v>
      </c>
      <c r="Q1990" s="31">
        <v>26446.36</v>
      </c>
      <c r="R1990" s="33">
        <f>M1990/Q1990</f>
        <v>0.83513950502072876</v>
      </c>
    </row>
    <row r="1991" spans="1:18" s="30" customFormat="1" ht="15" customHeight="1">
      <c r="A1991" s="37" t="s">
        <v>627</v>
      </c>
      <c r="B1991" s="26" t="s">
        <v>628</v>
      </c>
      <c r="C1991" s="39">
        <v>19</v>
      </c>
      <c r="D1991" s="40" t="s">
        <v>2816</v>
      </c>
      <c r="E1991" s="38" t="s">
        <v>3</v>
      </c>
      <c r="F1991" s="38" t="s">
        <v>11</v>
      </c>
      <c r="G1991" s="32">
        <v>0</v>
      </c>
      <c r="H1991" s="32">
        <v>0</v>
      </c>
      <c r="I1991" s="52">
        <v>0</v>
      </c>
      <c r="J1991" s="35">
        <f>+G1991-H1991+I1991</f>
        <v>0</v>
      </c>
      <c r="K1991" s="28">
        <v>0</v>
      </c>
      <c r="L1991" s="32">
        <v>0</v>
      </c>
      <c r="M1991" s="35">
        <f>+J1991+L1991</f>
        <v>0</v>
      </c>
      <c r="N1991" s="28" t="s">
        <v>631</v>
      </c>
      <c r="O1991" s="29" t="s">
        <v>632</v>
      </c>
      <c r="P1991" s="36">
        <v>43826</v>
      </c>
      <c r="Q1991" s="31">
        <v>28306.29</v>
      </c>
      <c r="R1991" s="33">
        <f>M1991/Q1991</f>
        <v>0</v>
      </c>
    </row>
    <row r="1992" spans="1:18" s="30" customFormat="1" ht="15" customHeight="1">
      <c r="A1992" s="37" t="s">
        <v>236</v>
      </c>
      <c r="B1992" s="26" t="s">
        <v>237</v>
      </c>
      <c r="C1992" s="39">
        <v>19</v>
      </c>
      <c r="D1992" s="40" t="s">
        <v>2817</v>
      </c>
      <c r="E1992" s="38" t="s">
        <v>3</v>
      </c>
      <c r="F1992" s="38" t="s">
        <v>15</v>
      </c>
      <c r="G1992" s="32">
        <v>0</v>
      </c>
      <c r="H1992" s="32">
        <v>75826677</v>
      </c>
      <c r="I1992" s="52">
        <v>0</v>
      </c>
      <c r="J1992" s="35">
        <f>+G1992-H1992+I1992</f>
        <v>-75826677</v>
      </c>
      <c r="K1992" s="28">
        <v>0</v>
      </c>
      <c r="L1992" s="32">
        <v>0</v>
      </c>
      <c r="M1992" s="35">
        <f>+J1992+L1992</f>
        <v>-75826677</v>
      </c>
      <c r="N1992" s="28" t="s">
        <v>2690</v>
      </c>
      <c r="O1992" s="29" t="s">
        <v>2691</v>
      </c>
      <c r="P1992" s="36">
        <v>44729</v>
      </c>
      <c r="Q1992" s="31">
        <v>32916.25</v>
      </c>
      <c r="R1992" s="33">
        <f>M1992/Q1992</f>
        <v>-2303.6244104355751</v>
      </c>
    </row>
    <row r="1993" spans="1:18" s="30" customFormat="1" ht="15" customHeight="1">
      <c r="A1993" s="37" t="s">
        <v>627</v>
      </c>
      <c r="B1993" s="26" t="s">
        <v>1895</v>
      </c>
      <c r="C1993" s="39">
        <v>19</v>
      </c>
      <c r="D1993" s="40" t="s">
        <v>2818</v>
      </c>
      <c r="E1993" s="38" t="s">
        <v>3</v>
      </c>
      <c r="F1993" s="38" t="s">
        <v>18</v>
      </c>
      <c r="G1993" s="32">
        <v>0</v>
      </c>
      <c r="H1993" s="32">
        <v>11135306</v>
      </c>
      <c r="I1993" s="52">
        <v>0</v>
      </c>
      <c r="J1993" s="35">
        <f>+G1993-H1993+I1993</f>
        <v>-11135306</v>
      </c>
      <c r="K1993" s="28">
        <v>0</v>
      </c>
      <c r="L1993" s="32">
        <v>0</v>
      </c>
      <c r="M1993" s="35">
        <f>+J1993+L1993</f>
        <v>-11135306</v>
      </c>
      <c r="N1993" s="28" t="s">
        <v>1898</v>
      </c>
      <c r="O1993" s="29" t="s">
        <v>1899</v>
      </c>
      <c r="P1993" s="36">
        <v>43829</v>
      </c>
      <c r="Q1993" s="31">
        <v>28309.03</v>
      </c>
      <c r="R1993" s="33">
        <f>M1993/Q1993</f>
        <v>-393.34820020325674</v>
      </c>
    </row>
    <row r="1994" spans="1:18" s="30" customFormat="1" ht="15" customHeight="1">
      <c r="A1994" s="37" t="s">
        <v>874</v>
      </c>
      <c r="B1994" s="26" t="s">
        <v>875</v>
      </c>
      <c r="C1994" s="39">
        <v>19</v>
      </c>
      <c r="D1994" s="40" t="s">
        <v>2819</v>
      </c>
      <c r="E1994" s="38" t="s">
        <v>6</v>
      </c>
      <c r="F1994" s="38" t="s">
        <v>11</v>
      </c>
      <c r="G1994" s="32">
        <v>16850106</v>
      </c>
      <c r="H1994" s="32">
        <v>77382</v>
      </c>
      <c r="I1994" s="32">
        <v>112316</v>
      </c>
      <c r="J1994" s="35">
        <f>+G1994-H1994+I1994</f>
        <v>16885040</v>
      </c>
      <c r="K1994" s="28">
        <v>0</v>
      </c>
      <c r="L1994" s="32">
        <v>0</v>
      </c>
      <c r="M1994" s="35">
        <f>+J1994+L1994</f>
        <v>16885040</v>
      </c>
      <c r="N1994" s="28" t="s">
        <v>1179</v>
      </c>
      <c r="O1994" s="29" t="s">
        <v>1180</v>
      </c>
      <c r="P1994" s="36">
        <v>44454</v>
      </c>
      <c r="Q1994" s="31">
        <v>30028</v>
      </c>
      <c r="R1994" s="33">
        <v>562.29999999999995</v>
      </c>
    </row>
    <row r="1995" spans="1:18" s="30" customFormat="1" ht="15" customHeight="1">
      <c r="A1995" s="37" t="s">
        <v>52</v>
      </c>
      <c r="B1995" s="26" t="s">
        <v>622</v>
      </c>
      <c r="C1995" s="65">
        <v>19</v>
      </c>
      <c r="D1995" s="51" t="s">
        <v>2820</v>
      </c>
      <c r="E1995" s="38" t="s">
        <v>4</v>
      </c>
      <c r="F1995" s="38" t="s">
        <v>13</v>
      </c>
      <c r="G1995" s="52">
        <v>3151398</v>
      </c>
      <c r="H1995" s="52">
        <v>592621</v>
      </c>
      <c r="I1995" s="52">
        <v>323011</v>
      </c>
      <c r="J1995" s="53">
        <f>+G1995-H1995+I1995</f>
        <v>2881788</v>
      </c>
      <c r="K1995" s="28">
        <v>0</v>
      </c>
      <c r="L1995" s="32">
        <v>0</v>
      </c>
      <c r="M1995" s="53">
        <f>+J1995+L1995</f>
        <v>2881788</v>
      </c>
      <c r="N1995" s="55" t="s">
        <v>2085</v>
      </c>
      <c r="O1995" s="29" t="s">
        <v>2086</v>
      </c>
      <c r="P1995" s="36">
        <v>43735</v>
      </c>
      <c r="Q1995" s="49">
        <v>28042.93</v>
      </c>
      <c r="R1995" s="33">
        <f>M1995/Q1995</f>
        <v>102.76344162325405</v>
      </c>
    </row>
    <row r="1996" spans="1:18" s="30" customFormat="1" ht="15" customHeight="1">
      <c r="A1996" s="37" t="s">
        <v>356</v>
      </c>
      <c r="B1996" s="26" t="s">
        <v>1841</v>
      </c>
      <c r="C1996" s="39">
        <v>19</v>
      </c>
      <c r="D1996" s="40" t="s">
        <v>2821</v>
      </c>
      <c r="E1996" s="38" t="s">
        <v>4</v>
      </c>
      <c r="F1996" s="38" t="s">
        <v>10</v>
      </c>
      <c r="G1996" s="32">
        <v>20781870</v>
      </c>
      <c r="H1996" s="32">
        <v>1347964</v>
      </c>
      <c r="I1996" s="52">
        <v>0</v>
      </c>
      <c r="J1996" s="35">
        <f>+G1996-H1996+I1996</f>
        <v>19433906</v>
      </c>
      <c r="K1996" s="28">
        <v>0</v>
      </c>
      <c r="L1996" s="32">
        <v>0</v>
      </c>
      <c r="M1996" s="35">
        <f>+J1996+L1996</f>
        <v>19433906</v>
      </c>
      <c r="N1996" s="28" t="s">
        <v>2797</v>
      </c>
      <c r="O1996" s="29" t="s">
        <v>2798</v>
      </c>
      <c r="P1996" s="36">
        <v>43844</v>
      </c>
      <c r="Q1996" s="31">
        <v>28322.73</v>
      </c>
      <c r="R1996" s="33">
        <f>M1996/Q1996</f>
        <v>686.15934975194841</v>
      </c>
    </row>
    <row r="1997" spans="1:18" s="30" customFormat="1" ht="15" customHeight="1">
      <c r="A1997" s="37" t="s">
        <v>356</v>
      </c>
      <c r="B1997" s="26" t="s">
        <v>1540</v>
      </c>
      <c r="C1997" s="39">
        <v>19</v>
      </c>
      <c r="D1997" s="40" t="s">
        <v>2822</v>
      </c>
      <c r="E1997" s="38" t="s">
        <v>3</v>
      </c>
      <c r="F1997" s="38" t="s">
        <v>10</v>
      </c>
      <c r="G1997" s="32">
        <v>2649064.9317978215</v>
      </c>
      <c r="H1997" s="32">
        <v>0</v>
      </c>
      <c r="I1997" s="32">
        <v>3155093.4</v>
      </c>
      <c r="J1997" s="35">
        <f>+G1997-H1997+I1997</f>
        <v>5804158.3317978214</v>
      </c>
      <c r="K1997" s="28">
        <v>0</v>
      </c>
      <c r="L1997" s="32">
        <v>0</v>
      </c>
      <c r="M1997" s="35">
        <f>+J1997+L1997</f>
        <v>5804158.3317978214</v>
      </c>
      <c r="N1997" s="28" t="s">
        <v>2635</v>
      </c>
      <c r="O1997" s="29" t="s">
        <v>2636</v>
      </c>
      <c r="P1997" s="36">
        <v>42655</v>
      </c>
      <c r="Q1997" s="31">
        <v>26229.37</v>
      </c>
      <c r="R1997" s="33">
        <f>M1997/Q1997</f>
        <v>221.28470229356716</v>
      </c>
    </row>
    <row r="1998" spans="1:18" s="30" customFormat="1" ht="15" customHeight="1">
      <c r="A1998" s="37" t="s">
        <v>39</v>
      </c>
      <c r="B1998" s="26" t="s">
        <v>1658</v>
      </c>
      <c r="C1998" s="39">
        <v>19</v>
      </c>
      <c r="D1998" s="40" t="s">
        <v>2823</v>
      </c>
      <c r="E1998" s="38" t="s">
        <v>4</v>
      </c>
      <c r="F1998" s="38" t="s">
        <v>11</v>
      </c>
      <c r="G1998" s="32">
        <v>11887519</v>
      </c>
      <c r="H1998" s="32">
        <v>0</v>
      </c>
      <c r="I1998" s="52">
        <v>0</v>
      </c>
      <c r="J1998" s="35">
        <f>+G1998-H1998+I1998</f>
        <v>11887519</v>
      </c>
      <c r="K1998" s="28">
        <v>0</v>
      </c>
      <c r="L1998" s="32">
        <v>0</v>
      </c>
      <c r="M1998" s="35">
        <f>+J1998+L1998</f>
        <v>11887519</v>
      </c>
      <c r="N1998" s="28" t="s">
        <v>2430</v>
      </c>
      <c r="O1998" s="29" t="s">
        <v>2431</v>
      </c>
      <c r="P1998" s="36">
        <v>43133</v>
      </c>
      <c r="Q1998" s="31">
        <v>26826.67</v>
      </c>
      <c r="R1998" s="33">
        <f>M1998/Q1998</f>
        <v>443.12316810099804</v>
      </c>
    </row>
    <row r="1999" spans="1:18" s="30" customFormat="1" ht="15" customHeight="1">
      <c r="A1999" s="37" t="s">
        <v>2639</v>
      </c>
      <c r="B1999" s="26" t="s">
        <v>2640</v>
      </c>
      <c r="C1999" s="39">
        <v>19</v>
      </c>
      <c r="D1999" s="40" t="s">
        <v>2824</v>
      </c>
      <c r="E1999" s="38" t="s">
        <v>4</v>
      </c>
      <c r="F1999" s="38" t="s">
        <v>15</v>
      </c>
      <c r="G1999" s="32">
        <v>1641943</v>
      </c>
      <c r="H1999" s="32">
        <v>12164299</v>
      </c>
      <c r="I1999" s="32">
        <v>7579289</v>
      </c>
      <c r="J1999" s="35">
        <f>+G1999-H1999+I1999</f>
        <v>-2943067</v>
      </c>
      <c r="K1999" s="28">
        <v>0</v>
      </c>
      <c r="L1999" s="32">
        <v>0</v>
      </c>
      <c r="M1999" s="35">
        <f>+J1999+L1999</f>
        <v>-2943067</v>
      </c>
      <c r="N1999" s="28" t="s">
        <v>2642</v>
      </c>
      <c r="O1999" s="29" t="s">
        <v>2643</v>
      </c>
      <c r="P1999" s="36">
        <v>43494</v>
      </c>
      <c r="Q1999" s="31">
        <v>27548</v>
      </c>
      <c r="R1999" s="33">
        <f>M1999/Q1999</f>
        <v>-106.8341440394947</v>
      </c>
    </row>
    <row r="2000" spans="1:18" s="30" customFormat="1" ht="15" customHeight="1">
      <c r="A2000" s="46" t="s">
        <v>52</v>
      </c>
      <c r="B2000" s="47" t="s">
        <v>2606</v>
      </c>
      <c r="C2000" s="65">
        <v>19</v>
      </c>
      <c r="D2000" s="51" t="s">
        <v>2825</v>
      </c>
      <c r="E2000" s="38" t="s">
        <v>3</v>
      </c>
      <c r="F2000" s="38" t="s">
        <v>12</v>
      </c>
      <c r="G2000" s="52">
        <v>0</v>
      </c>
      <c r="H2000" s="52">
        <v>0</v>
      </c>
      <c r="I2000" s="52">
        <v>14681392</v>
      </c>
      <c r="J2000" s="53">
        <f>+G2000-H2000+I2000</f>
        <v>14681392</v>
      </c>
      <c r="K2000" s="70">
        <v>0</v>
      </c>
      <c r="L2000" s="52">
        <v>0</v>
      </c>
      <c r="M2000" s="53">
        <f>+J2000+L2000</f>
        <v>14681392</v>
      </c>
      <c r="N2000" s="55" t="s">
        <v>2608</v>
      </c>
      <c r="O2000" s="56" t="s">
        <v>2609</v>
      </c>
      <c r="P2000" s="56">
        <v>44488</v>
      </c>
      <c r="Q2000" s="49">
        <v>30240.57</v>
      </c>
      <c r="R2000" s="57">
        <f>M2000/Q2000</f>
        <v>485.48661615835948</v>
      </c>
    </row>
    <row r="2001" spans="1:18" s="30" customFormat="1" ht="15" customHeight="1">
      <c r="A2001" s="37" t="s">
        <v>52</v>
      </c>
      <c r="B2001" s="26" t="s">
        <v>2606</v>
      </c>
      <c r="C2001" s="39">
        <v>19</v>
      </c>
      <c r="D2001" s="40" t="s">
        <v>2826</v>
      </c>
      <c r="E2001" s="38" t="s">
        <v>4</v>
      </c>
      <c r="F2001" s="38" t="s">
        <v>11</v>
      </c>
      <c r="G2001" s="32">
        <v>647649</v>
      </c>
      <c r="H2001" s="32">
        <v>-2400758</v>
      </c>
      <c r="I2001" s="52">
        <v>0</v>
      </c>
      <c r="J2001" s="35">
        <f>+G2001-H2001+I2001</f>
        <v>3048407</v>
      </c>
      <c r="K2001" s="28">
        <v>0</v>
      </c>
      <c r="L2001" s="32">
        <v>0</v>
      </c>
      <c r="M2001" s="35">
        <f>+J2001+L2001</f>
        <v>3048407</v>
      </c>
      <c r="N2001" s="28" t="s">
        <v>2684</v>
      </c>
      <c r="O2001" s="29" t="s">
        <v>2685</v>
      </c>
      <c r="P2001" s="36">
        <v>42727</v>
      </c>
      <c r="Q2001" s="31">
        <v>26341.19</v>
      </c>
      <c r="R2001" s="33">
        <f>M2001/Q2001</f>
        <v>115.72776324835742</v>
      </c>
    </row>
    <row r="2002" spans="1:18" s="30" customFormat="1" ht="15" customHeight="1">
      <c r="A2002" s="37" t="s">
        <v>627</v>
      </c>
      <c r="B2002" s="26" t="s">
        <v>628</v>
      </c>
      <c r="C2002" s="39">
        <v>18</v>
      </c>
      <c r="D2002" s="40" t="s">
        <v>2827</v>
      </c>
      <c r="E2002" s="38" t="s">
        <v>6</v>
      </c>
      <c r="F2002" s="38" t="s">
        <v>11</v>
      </c>
      <c r="G2002" s="32">
        <v>2181174.15264</v>
      </c>
      <c r="H2002" s="32">
        <v>1934633.51312</v>
      </c>
      <c r="I2002" s="32">
        <v>1849758.5052799999</v>
      </c>
      <c r="J2002" s="35">
        <f>+G2002-H2002+I2002</f>
        <v>2096299.1447999999</v>
      </c>
      <c r="K2002" s="28">
        <v>0</v>
      </c>
      <c r="L2002" s="32">
        <v>0</v>
      </c>
      <c r="M2002" s="35">
        <f>+J2002+L2002</f>
        <v>2096299.1447999999</v>
      </c>
      <c r="N2002" s="28" t="s">
        <v>631</v>
      </c>
      <c r="O2002" s="29" t="s">
        <v>632</v>
      </c>
      <c r="P2002" s="36">
        <v>43826</v>
      </c>
      <c r="Q2002" s="31">
        <v>28306.29</v>
      </c>
      <c r="R2002" s="33">
        <f>M2002/Q2002</f>
        <v>74.05771455037025</v>
      </c>
    </row>
    <row r="2003" spans="1:18" s="30" customFormat="1" ht="15" customHeight="1">
      <c r="A2003" s="37" t="s">
        <v>52</v>
      </c>
      <c r="B2003" s="26" t="s">
        <v>53</v>
      </c>
      <c r="C2003" s="39" t="s">
        <v>2828</v>
      </c>
      <c r="D2003" s="40" t="s">
        <v>2829</v>
      </c>
      <c r="E2003" s="38" t="s">
        <v>6</v>
      </c>
      <c r="F2003" s="38" t="s">
        <v>12</v>
      </c>
      <c r="G2003" s="32">
        <v>65368386.229999997</v>
      </c>
      <c r="H2003" s="32">
        <v>2496315.36</v>
      </c>
      <c r="I2003" s="32">
        <v>17724233.66</v>
      </c>
      <c r="J2003" s="35">
        <f>+G2003-H2003+I2003</f>
        <v>80596304.530000001</v>
      </c>
      <c r="K2003" s="27">
        <v>140</v>
      </c>
      <c r="L2003" s="32">
        <v>0</v>
      </c>
      <c r="M2003" s="35">
        <f>+J2003+L2003</f>
        <v>80596304.530000001</v>
      </c>
      <c r="N2003" s="28" t="s">
        <v>56</v>
      </c>
      <c r="O2003" s="29" t="s">
        <v>57</v>
      </c>
      <c r="P2003" s="36">
        <v>42884</v>
      </c>
      <c r="Q2003" s="31">
        <v>26627.55</v>
      </c>
      <c r="R2003" s="33">
        <f>M2003/Q2003</f>
        <v>3026.8013591186573</v>
      </c>
    </row>
    <row r="2004" spans="1:18" s="30" customFormat="1" ht="15" customHeight="1">
      <c r="A2004" s="37" t="s">
        <v>166</v>
      </c>
      <c r="B2004" s="26" t="s">
        <v>167</v>
      </c>
      <c r="C2004" s="39" t="s">
        <v>2830</v>
      </c>
      <c r="D2004" s="40" t="s">
        <v>2831</v>
      </c>
      <c r="E2004" s="38" t="s">
        <v>3</v>
      </c>
      <c r="F2004" s="38" t="s">
        <v>10</v>
      </c>
      <c r="G2004" s="32">
        <v>65410486</v>
      </c>
      <c r="H2004" s="32">
        <v>0</v>
      </c>
      <c r="I2004" s="52">
        <v>0</v>
      </c>
      <c r="J2004" s="35">
        <f>+G2004-H2004+I2004</f>
        <v>65410486</v>
      </c>
      <c r="K2004" s="27">
        <v>137</v>
      </c>
      <c r="L2004" s="32">
        <v>0</v>
      </c>
      <c r="M2004" s="35">
        <f>+J2004+L2004</f>
        <v>65410486</v>
      </c>
      <c r="N2004" s="28" t="s">
        <v>171</v>
      </c>
      <c r="O2004" s="29" t="s">
        <v>642</v>
      </c>
      <c r="P2004" s="36">
        <v>44341</v>
      </c>
      <c r="Q2004" s="31">
        <v>29513.759999999998</v>
      </c>
      <c r="R2004" s="33">
        <v>2216</v>
      </c>
    </row>
    <row r="2005" spans="1:18" s="30" customFormat="1" ht="15" customHeight="1">
      <c r="A2005" s="37" t="s">
        <v>391</v>
      </c>
      <c r="B2005" s="26" t="s">
        <v>392</v>
      </c>
      <c r="C2005" s="39">
        <v>18</v>
      </c>
      <c r="D2005" s="40" t="s">
        <v>2832</v>
      </c>
      <c r="E2005" s="38" t="s">
        <v>3</v>
      </c>
      <c r="F2005" s="38" t="s">
        <v>10</v>
      </c>
      <c r="G2005" s="32">
        <v>21001467</v>
      </c>
      <c r="H2005" s="32">
        <v>0</v>
      </c>
      <c r="I2005" s="52">
        <v>0</v>
      </c>
      <c r="J2005" s="35">
        <f>+G2005-H2005+I2005</f>
        <v>21001467</v>
      </c>
      <c r="K2005" s="28">
        <v>0</v>
      </c>
      <c r="L2005" s="32">
        <v>0</v>
      </c>
      <c r="M2005" s="35">
        <f>+J2005+L2005</f>
        <v>21001467</v>
      </c>
      <c r="N2005" s="28" t="s">
        <v>2792</v>
      </c>
      <c r="O2005" s="29" t="s">
        <v>2793</v>
      </c>
      <c r="P2005" s="36">
        <v>43122</v>
      </c>
      <c r="Q2005" s="31">
        <v>26817.16</v>
      </c>
      <c r="R2005" s="33">
        <f>M2005/Q2005</f>
        <v>783.13538793817099</v>
      </c>
    </row>
    <row r="2006" spans="1:18" s="30" customFormat="1" ht="15" customHeight="1">
      <c r="A2006" s="37" t="s">
        <v>166</v>
      </c>
      <c r="B2006" s="26" t="s">
        <v>167</v>
      </c>
      <c r="C2006" s="39" t="s">
        <v>2833</v>
      </c>
      <c r="D2006" s="40" t="s">
        <v>2834</v>
      </c>
      <c r="E2006" s="38" t="s">
        <v>3</v>
      </c>
      <c r="F2006" s="38" t="s">
        <v>11</v>
      </c>
      <c r="G2006" s="32">
        <v>66471864</v>
      </c>
      <c r="H2006" s="32">
        <v>0</v>
      </c>
      <c r="I2006" s="52">
        <v>0</v>
      </c>
      <c r="J2006" s="35">
        <f>+G2006-H2006+I2006</f>
        <v>66471864</v>
      </c>
      <c r="K2006" s="27" t="s">
        <v>170</v>
      </c>
      <c r="L2006" s="32">
        <v>0</v>
      </c>
      <c r="M2006" s="35">
        <f>+J2006+L2006</f>
        <v>66471864</v>
      </c>
      <c r="N2006" s="28" t="s">
        <v>171</v>
      </c>
      <c r="O2006" s="29" t="s">
        <v>1531</v>
      </c>
      <c r="P2006" s="36">
        <v>44341</v>
      </c>
      <c r="Q2006" s="31">
        <v>29513.759999999998</v>
      </c>
      <c r="R2006" s="33">
        <v>2252</v>
      </c>
    </row>
    <row r="2007" spans="1:18" s="30" customFormat="1" ht="15" customHeight="1">
      <c r="A2007" s="37" t="s">
        <v>874</v>
      </c>
      <c r="B2007" s="26" t="s">
        <v>875</v>
      </c>
      <c r="C2007" s="39">
        <v>18</v>
      </c>
      <c r="D2007" s="40" t="s">
        <v>2835</v>
      </c>
      <c r="E2007" s="38" t="s">
        <v>4</v>
      </c>
      <c r="F2007" s="38" t="s">
        <v>11</v>
      </c>
      <c r="G2007" s="32">
        <v>1626735</v>
      </c>
      <c r="H2007" s="32">
        <v>2555363</v>
      </c>
      <c r="I2007" s="32"/>
      <c r="J2007" s="35">
        <f>+G2007-H2007+I2007</f>
        <v>-928628</v>
      </c>
      <c r="K2007" s="28">
        <v>0</v>
      </c>
      <c r="L2007" s="32">
        <v>0</v>
      </c>
      <c r="M2007" s="35">
        <f>+J2007+L2007</f>
        <v>-928628</v>
      </c>
      <c r="N2007" s="28" t="s">
        <v>1179</v>
      </c>
      <c r="O2007" s="29" t="s">
        <v>1180</v>
      </c>
      <c r="P2007" s="36">
        <v>44454</v>
      </c>
      <c r="Q2007" s="31">
        <v>30028</v>
      </c>
      <c r="R2007" s="33">
        <v>-30.93</v>
      </c>
    </row>
    <row r="2008" spans="1:18" s="30" customFormat="1" ht="15" customHeight="1">
      <c r="A2008" s="37" t="s">
        <v>52</v>
      </c>
      <c r="B2008" s="26" t="s">
        <v>622</v>
      </c>
      <c r="C2008" s="65">
        <v>18</v>
      </c>
      <c r="D2008" s="51" t="s">
        <v>2836</v>
      </c>
      <c r="E2008" s="38" t="s">
        <v>3</v>
      </c>
      <c r="F2008" s="38" t="s">
        <v>11</v>
      </c>
      <c r="G2008" s="52"/>
      <c r="H2008" s="52">
        <v>31842260</v>
      </c>
      <c r="I2008" s="52">
        <v>806386</v>
      </c>
      <c r="J2008" s="53">
        <f>+G2008-H2008+I2008</f>
        <v>-31035874</v>
      </c>
      <c r="K2008" s="28">
        <v>0</v>
      </c>
      <c r="L2008" s="32">
        <v>0</v>
      </c>
      <c r="M2008" s="53">
        <f>+J2008+L2008</f>
        <v>-31035874</v>
      </c>
      <c r="N2008" s="55" t="s">
        <v>2085</v>
      </c>
      <c r="O2008" s="29" t="s">
        <v>2086</v>
      </c>
      <c r="P2008" s="36">
        <v>43735</v>
      </c>
      <c r="Q2008" s="49">
        <v>28042.93</v>
      </c>
      <c r="R2008" s="33">
        <f>M2008/Q2008</f>
        <v>-1106.7272214422674</v>
      </c>
    </row>
    <row r="2009" spans="1:18" s="30" customFormat="1" ht="15" customHeight="1">
      <c r="A2009" s="37" t="s">
        <v>166</v>
      </c>
      <c r="B2009" s="26" t="s">
        <v>167</v>
      </c>
      <c r="C2009" s="39" t="s">
        <v>2837</v>
      </c>
      <c r="D2009" s="40" t="s">
        <v>2838</v>
      </c>
      <c r="E2009" s="38" t="s">
        <v>3</v>
      </c>
      <c r="F2009" s="38" t="s">
        <v>10</v>
      </c>
      <c r="G2009" s="32">
        <v>68605741</v>
      </c>
      <c r="H2009" s="32">
        <v>0</v>
      </c>
      <c r="I2009" s="52">
        <v>0</v>
      </c>
      <c r="J2009" s="35">
        <f>+G2009-H2009+I2009</f>
        <v>68605741</v>
      </c>
      <c r="K2009" s="27" t="s">
        <v>170</v>
      </c>
      <c r="L2009" s="32">
        <v>0</v>
      </c>
      <c r="M2009" s="35">
        <f>+J2009+L2009</f>
        <v>68605741</v>
      </c>
      <c r="N2009" s="28" t="s">
        <v>171</v>
      </c>
      <c r="O2009" s="29" t="s">
        <v>172</v>
      </c>
      <c r="P2009" s="36">
        <v>44341</v>
      </c>
      <c r="Q2009" s="31">
        <v>29513.759999999998</v>
      </c>
      <c r="R2009" s="33">
        <v>2325</v>
      </c>
    </row>
    <row r="2010" spans="1:18" s="30" customFormat="1" ht="15" customHeight="1">
      <c r="A2010" s="37" t="s">
        <v>874</v>
      </c>
      <c r="B2010" s="26" t="s">
        <v>875</v>
      </c>
      <c r="C2010" s="39">
        <v>82</v>
      </c>
      <c r="D2010" s="40" t="s">
        <v>2839</v>
      </c>
      <c r="E2010" s="38" t="s">
        <v>198</v>
      </c>
      <c r="F2010" s="38" t="s">
        <v>20</v>
      </c>
      <c r="G2010" s="32">
        <v>69423722</v>
      </c>
      <c r="H2010" s="32">
        <v>10309819</v>
      </c>
      <c r="I2010" s="32">
        <v>254146109</v>
      </c>
      <c r="J2010" s="35">
        <f>+G2010-H2010+I2010</f>
        <v>313260012</v>
      </c>
      <c r="K2010" s="27">
        <v>240</v>
      </c>
      <c r="L2010" s="32">
        <v>0</v>
      </c>
      <c r="M2010" s="35">
        <f>+J2010+L2010</f>
        <v>313260012</v>
      </c>
      <c r="N2010" s="28" t="s">
        <v>877</v>
      </c>
      <c r="O2010" s="29" t="s">
        <v>878</v>
      </c>
      <c r="P2010" s="36">
        <v>44902</v>
      </c>
      <c r="Q2010" s="31">
        <v>34852.33</v>
      </c>
      <c r="R2010" s="33">
        <f>M2010/Q2010</f>
        <v>8988.2085932274822</v>
      </c>
    </row>
    <row r="2011" spans="1:18" s="30" customFormat="1" ht="15" customHeight="1">
      <c r="A2011" s="37" t="s">
        <v>874</v>
      </c>
      <c r="B2011" s="26" t="s">
        <v>875</v>
      </c>
      <c r="C2011" s="39">
        <v>31</v>
      </c>
      <c r="D2011" s="40" t="s">
        <v>2840</v>
      </c>
      <c r="E2011" s="38" t="s">
        <v>3</v>
      </c>
      <c r="F2011" s="38" t="s">
        <v>11</v>
      </c>
      <c r="G2011" s="32">
        <v>71803236</v>
      </c>
      <c r="H2011" s="32">
        <v>56010602</v>
      </c>
      <c r="I2011" s="32"/>
      <c r="J2011" s="35">
        <f>+G2011-H2011+I2011</f>
        <v>15792634</v>
      </c>
      <c r="K2011" s="27">
        <v>125</v>
      </c>
      <c r="L2011" s="32">
        <v>0</v>
      </c>
      <c r="M2011" s="35">
        <f>+J2011+L2011</f>
        <v>15792634</v>
      </c>
      <c r="N2011" s="28" t="s">
        <v>1179</v>
      </c>
      <c r="O2011" s="29" t="s">
        <v>1180</v>
      </c>
      <c r="P2011" s="36">
        <v>44454</v>
      </c>
      <c r="Q2011" s="31">
        <v>30028</v>
      </c>
      <c r="R2011" s="33">
        <v>525.91999999999996</v>
      </c>
    </row>
    <row r="2012" spans="1:18" s="30" customFormat="1" ht="15" customHeight="1">
      <c r="A2012" s="37" t="s">
        <v>356</v>
      </c>
      <c r="B2012" s="26" t="s">
        <v>1841</v>
      </c>
      <c r="C2012" s="39">
        <v>18</v>
      </c>
      <c r="D2012" s="40" t="s">
        <v>2841</v>
      </c>
      <c r="E2012" s="38" t="s">
        <v>3</v>
      </c>
      <c r="F2012" s="38" t="s">
        <v>15</v>
      </c>
      <c r="G2012" s="32">
        <v>31136392</v>
      </c>
      <c r="H2012" s="32">
        <v>21377512</v>
      </c>
      <c r="I2012" s="52">
        <v>0</v>
      </c>
      <c r="J2012" s="35">
        <f>+G2012-H2012+I2012</f>
        <v>9758880</v>
      </c>
      <c r="K2012" s="28">
        <v>0</v>
      </c>
      <c r="L2012" s="32">
        <v>0</v>
      </c>
      <c r="M2012" s="35">
        <f>+J2012+L2012</f>
        <v>9758880</v>
      </c>
      <c r="N2012" s="28" t="s">
        <v>2797</v>
      </c>
      <c r="O2012" s="29" t="s">
        <v>2798</v>
      </c>
      <c r="P2012" s="36">
        <v>43844</v>
      </c>
      <c r="Q2012" s="31">
        <v>28322.73</v>
      </c>
      <c r="R2012" s="33">
        <f>M2012/Q2012</f>
        <v>344.56000533846844</v>
      </c>
    </row>
    <row r="2013" spans="1:18" s="30" customFormat="1" ht="15" customHeight="1">
      <c r="A2013" s="37" t="s">
        <v>356</v>
      </c>
      <c r="B2013" s="26" t="s">
        <v>1540</v>
      </c>
      <c r="C2013" s="39">
        <v>18</v>
      </c>
      <c r="D2013" s="40" t="s">
        <v>2842</v>
      </c>
      <c r="E2013" s="38" t="s">
        <v>3</v>
      </c>
      <c r="F2013" s="38" t="s">
        <v>10</v>
      </c>
      <c r="G2013" s="32">
        <v>405854.66804271337</v>
      </c>
      <c r="H2013" s="32">
        <v>0</v>
      </c>
      <c r="I2013" s="32">
        <v>4708905.63</v>
      </c>
      <c r="J2013" s="35">
        <f>+G2013-H2013+I2013</f>
        <v>5114760.2980427137</v>
      </c>
      <c r="K2013" s="28">
        <v>0</v>
      </c>
      <c r="L2013" s="32">
        <v>0</v>
      </c>
      <c r="M2013" s="35">
        <f>+J2013+L2013</f>
        <v>5114760.2980427137</v>
      </c>
      <c r="N2013" s="28" t="s">
        <v>2635</v>
      </c>
      <c r="O2013" s="29" t="s">
        <v>2636</v>
      </c>
      <c r="P2013" s="36">
        <v>42655</v>
      </c>
      <c r="Q2013" s="31">
        <v>26229.37</v>
      </c>
      <c r="R2013" s="33">
        <f>M2013/Q2013</f>
        <v>195.00126377578698</v>
      </c>
    </row>
    <row r="2014" spans="1:18" s="30" customFormat="1" ht="15" customHeight="1">
      <c r="A2014" s="37" t="s">
        <v>39</v>
      </c>
      <c r="B2014" s="26" t="s">
        <v>1658</v>
      </c>
      <c r="C2014" s="39">
        <v>18</v>
      </c>
      <c r="D2014" s="40" t="s">
        <v>2843</v>
      </c>
      <c r="E2014" s="38" t="s">
        <v>3</v>
      </c>
      <c r="F2014" s="38" t="s">
        <v>10</v>
      </c>
      <c r="G2014" s="32">
        <v>15429175</v>
      </c>
      <c r="H2014" s="32">
        <v>3519587</v>
      </c>
      <c r="I2014" s="52">
        <v>0</v>
      </c>
      <c r="J2014" s="35">
        <f>+G2014-H2014+I2014</f>
        <v>11909588</v>
      </c>
      <c r="K2014" s="28">
        <v>0</v>
      </c>
      <c r="L2014" s="32">
        <v>0</v>
      </c>
      <c r="M2014" s="35">
        <f>+J2014+L2014</f>
        <v>11909588</v>
      </c>
      <c r="N2014" s="28" t="s">
        <v>2430</v>
      </c>
      <c r="O2014" s="29" t="s">
        <v>2431</v>
      </c>
      <c r="P2014" s="36">
        <v>43133</v>
      </c>
      <c r="Q2014" s="31">
        <v>26826.67</v>
      </c>
      <c r="R2014" s="33">
        <f>M2014/Q2014</f>
        <v>443.94581958923715</v>
      </c>
    </row>
    <row r="2015" spans="1:18" s="30" customFormat="1" ht="15" customHeight="1">
      <c r="A2015" s="37" t="s">
        <v>52</v>
      </c>
      <c r="B2015" s="26" t="s">
        <v>622</v>
      </c>
      <c r="C2015" s="65">
        <v>13</v>
      </c>
      <c r="D2015" s="51" t="s">
        <v>2844</v>
      </c>
      <c r="E2015" s="38" t="s">
        <v>3</v>
      </c>
      <c r="F2015" s="38" t="s">
        <v>10</v>
      </c>
      <c r="G2015" s="52">
        <v>73152745</v>
      </c>
      <c r="H2015" s="52">
        <v>11447146</v>
      </c>
      <c r="I2015" s="52">
        <v>320450</v>
      </c>
      <c r="J2015" s="53">
        <f>+G2015-H2015+I2015</f>
        <v>62026049</v>
      </c>
      <c r="K2015" s="27">
        <v>125</v>
      </c>
      <c r="L2015" s="32">
        <v>0</v>
      </c>
      <c r="M2015" s="53">
        <f>+J2015+L2015</f>
        <v>62026049</v>
      </c>
      <c r="N2015" s="55" t="s">
        <v>2085</v>
      </c>
      <c r="O2015" s="29" t="s">
        <v>2086</v>
      </c>
      <c r="P2015" s="36">
        <v>43735</v>
      </c>
      <c r="Q2015" s="49">
        <v>28042.93</v>
      </c>
      <c r="R2015" s="33">
        <f>M2015/Q2015</f>
        <v>2211.8248342808688</v>
      </c>
    </row>
    <row r="2016" spans="1:18" s="30" customFormat="1" ht="15" customHeight="1">
      <c r="A2016" s="37" t="s">
        <v>52</v>
      </c>
      <c r="B2016" s="26" t="s">
        <v>555</v>
      </c>
      <c r="C2016" s="65">
        <v>18</v>
      </c>
      <c r="D2016" s="51" t="s">
        <v>2845</v>
      </c>
      <c r="E2016" s="38" t="s">
        <v>3</v>
      </c>
      <c r="F2016" s="38" t="s">
        <v>16</v>
      </c>
      <c r="G2016" s="52">
        <v>0</v>
      </c>
      <c r="H2016" s="52">
        <v>16940750</v>
      </c>
      <c r="I2016" s="52">
        <v>6223274</v>
      </c>
      <c r="J2016" s="53">
        <f>+G2016-H2016+I2016</f>
        <v>-10717476</v>
      </c>
      <c r="K2016" s="28">
        <v>0</v>
      </c>
      <c r="L2016" s="32">
        <v>0</v>
      </c>
      <c r="M2016" s="53">
        <f>+J2016+L2016</f>
        <v>-10717476</v>
      </c>
      <c r="N2016" s="55" t="s">
        <v>1160</v>
      </c>
      <c r="O2016" s="29" t="s">
        <v>1161</v>
      </c>
      <c r="P2016" s="36">
        <v>42689</v>
      </c>
      <c r="Q2016" s="49">
        <v>26287.25</v>
      </c>
      <c r="R2016" s="33">
        <f>M2016/Q2016</f>
        <v>-407.70624542316142</v>
      </c>
    </row>
    <row r="2017" spans="1:18" s="30" customFormat="1" ht="15" customHeight="1">
      <c r="A2017" s="37" t="s">
        <v>2639</v>
      </c>
      <c r="B2017" s="26" t="s">
        <v>2640</v>
      </c>
      <c r="C2017" s="39">
        <v>18</v>
      </c>
      <c r="D2017" s="40" t="s">
        <v>2846</v>
      </c>
      <c r="E2017" s="38" t="s">
        <v>3</v>
      </c>
      <c r="F2017" s="38" t="s">
        <v>12</v>
      </c>
      <c r="G2017" s="32">
        <v>155338</v>
      </c>
      <c r="H2017" s="32">
        <v>7335398</v>
      </c>
      <c r="I2017" s="32">
        <v>7703051</v>
      </c>
      <c r="J2017" s="35">
        <f>+G2017-H2017+I2017</f>
        <v>522991</v>
      </c>
      <c r="K2017" s="28">
        <v>0</v>
      </c>
      <c r="L2017" s="32">
        <v>0</v>
      </c>
      <c r="M2017" s="35">
        <f>+J2017+L2017</f>
        <v>522991</v>
      </c>
      <c r="N2017" s="28" t="s">
        <v>2754</v>
      </c>
      <c r="O2017" s="29" t="s">
        <v>2755</v>
      </c>
      <c r="P2017" s="36">
        <v>43356</v>
      </c>
      <c r="Q2017" s="31">
        <v>27326.49</v>
      </c>
      <c r="R2017" s="33">
        <f>M2017/Q2017</f>
        <v>19.138608727282573</v>
      </c>
    </row>
    <row r="2018" spans="1:18" s="30" customFormat="1" ht="15" customHeight="1">
      <c r="A2018" s="37" t="s">
        <v>52</v>
      </c>
      <c r="B2018" s="26" t="s">
        <v>2606</v>
      </c>
      <c r="C2018" s="39">
        <v>18</v>
      </c>
      <c r="D2018" s="40" t="s">
        <v>2847</v>
      </c>
      <c r="E2018" s="38" t="s">
        <v>4</v>
      </c>
      <c r="F2018" s="38" t="s">
        <v>11</v>
      </c>
      <c r="G2018" s="32">
        <v>604555</v>
      </c>
      <c r="H2018" s="32">
        <v>-3954880</v>
      </c>
      <c r="I2018" s="32">
        <v>658598</v>
      </c>
      <c r="J2018" s="35">
        <f>+G2018-H2018+I2018</f>
        <v>5218033</v>
      </c>
      <c r="K2018" s="28">
        <v>0</v>
      </c>
      <c r="L2018" s="32">
        <v>0</v>
      </c>
      <c r="M2018" s="35">
        <f>+J2018+L2018</f>
        <v>5218033</v>
      </c>
      <c r="N2018" s="28" t="s">
        <v>2684</v>
      </c>
      <c r="O2018" s="29" t="s">
        <v>2685</v>
      </c>
      <c r="P2018" s="36">
        <v>42727</v>
      </c>
      <c r="Q2018" s="31">
        <v>26341.19</v>
      </c>
      <c r="R2018" s="33">
        <f>M2018/Q2018</f>
        <v>198.09404966138584</v>
      </c>
    </row>
    <row r="2019" spans="1:18" s="30" customFormat="1" ht="15" customHeight="1">
      <c r="A2019" s="37" t="s">
        <v>627</v>
      </c>
      <c r="B2019" s="26" t="s">
        <v>628</v>
      </c>
      <c r="C2019" s="39">
        <v>17</v>
      </c>
      <c r="D2019" s="40" t="s">
        <v>2848</v>
      </c>
      <c r="E2019" s="38" t="s">
        <v>4</v>
      </c>
      <c r="F2019" s="38" t="s">
        <v>11</v>
      </c>
      <c r="G2019" s="32">
        <v>258224.41175999999</v>
      </c>
      <c r="H2019" s="32">
        <v>140673.79368</v>
      </c>
      <c r="I2019" s="32">
        <v>786753.87728000002</v>
      </c>
      <c r="J2019" s="35">
        <f>+G2019-H2019+I2019</f>
        <v>904304.49536000006</v>
      </c>
      <c r="K2019" s="28">
        <v>0</v>
      </c>
      <c r="L2019" s="32">
        <v>0</v>
      </c>
      <c r="M2019" s="35">
        <f>+J2019+L2019</f>
        <v>904304.49536000006</v>
      </c>
      <c r="N2019" s="28" t="s">
        <v>631</v>
      </c>
      <c r="O2019" s="29" t="s">
        <v>632</v>
      </c>
      <c r="P2019" s="36">
        <v>43826</v>
      </c>
      <c r="Q2019" s="31">
        <v>28306.29</v>
      </c>
      <c r="R2019" s="33">
        <f>M2019/Q2019</f>
        <v>31.947121836171394</v>
      </c>
    </row>
    <row r="2020" spans="1:18" s="30" customFormat="1" ht="15" customHeight="1">
      <c r="A2020" s="37" t="s">
        <v>391</v>
      </c>
      <c r="B2020" s="26" t="s">
        <v>392</v>
      </c>
      <c r="C2020" s="39">
        <v>64</v>
      </c>
      <c r="D2020" s="40" t="s">
        <v>2849</v>
      </c>
      <c r="E2020" s="38" t="s">
        <v>198</v>
      </c>
      <c r="F2020" s="38" t="s">
        <v>10</v>
      </c>
      <c r="G2020" s="32">
        <v>74917703</v>
      </c>
      <c r="H2020" s="32">
        <v>8991932</v>
      </c>
      <c r="I2020" s="32">
        <v>642030</v>
      </c>
      <c r="J2020" s="35">
        <f>+G2020-H2020+I2020</f>
        <v>66567801</v>
      </c>
      <c r="K2020" s="27">
        <v>18</v>
      </c>
      <c r="L2020" s="32">
        <v>0</v>
      </c>
      <c r="M2020" s="35">
        <f>+J2020+L2020</f>
        <v>66567801</v>
      </c>
      <c r="N2020" s="28" t="s">
        <v>481</v>
      </c>
      <c r="O2020" s="29" t="s">
        <v>482</v>
      </c>
      <c r="P2020" s="36">
        <v>44130</v>
      </c>
      <c r="Q2020" s="31">
        <v>28810.82</v>
      </c>
      <c r="R2020" s="33">
        <f>M2020/Q2020</f>
        <v>2310.5139319186333</v>
      </c>
    </row>
    <row r="2021" spans="1:18" s="30" customFormat="1" ht="15" customHeight="1">
      <c r="A2021" s="37" t="s">
        <v>627</v>
      </c>
      <c r="B2021" s="26" t="s">
        <v>1895</v>
      </c>
      <c r="C2021" s="39">
        <v>17</v>
      </c>
      <c r="D2021" s="40" t="s">
        <v>2850</v>
      </c>
      <c r="E2021" s="38" t="s">
        <v>3</v>
      </c>
      <c r="F2021" s="38" t="s">
        <v>10</v>
      </c>
      <c r="G2021" s="32">
        <v>1202639</v>
      </c>
      <c r="H2021" s="32">
        <v>0</v>
      </c>
      <c r="I2021" s="32">
        <v>129484</v>
      </c>
      <c r="J2021" s="35">
        <f>+G2021-H2021+I2021</f>
        <v>1332123</v>
      </c>
      <c r="K2021" s="28">
        <v>0</v>
      </c>
      <c r="L2021" s="32">
        <v>0</v>
      </c>
      <c r="M2021" s="35">
        <f>+J2021+L2021</f>
        <v>1332123</v>
      </c>
      <c r="N2021" s="28" t="s">
        <v>1898</v>
      </c>
      <c r="O2021" s="29" t="s">
        <v>1899</v>
      </c>
      <c r="P2021" s="36">
        <v>43829</v>
      </c>
      <c r="Q2021" s="31">
        <v>28309.03</v>
      </c>
      <c r="R2021" s="33">
        <f>M2021/Q2021</f>
        <v>47.056469260868354</v>
      </c>
    </row>
    <row r="2022" spans="1:18" ht="15" customHeight="1">
      <c r="A2022" s="37" t="s">
        <v>391</v>
      </c>
      <c r="B2022" s="26" t="s">
        <v>392</v>
      </c>
      <c r="C2022" s="39">
        <v>17</v>
      </c>
      <c r="D2022" s="40" t="s">
        <v>2851</v>
      </c>
      <c r="E2022" s="38" t="s">
        <v>3</v>
      </c>
      <c r="F2022" s="38" t="s">
        <v>10</v>
      </c>
      <c r="G2022" s="32">
        <v>1723617</v>
      </c>
      <c r="H2022" s="32">
        <v>0</v>
      </c>
      <c r="I2022" s="52">
        <v>0</v>
      </c>
      <c r="J2022" s="35">
        <f>+G2022-H2022+I2022</f>
        <v>1723617</v>
      </c>
      <c r="K2022" s="28">
        <v>0</v>
      </c>
      <c r="L2022" s="32">
        <v>0</v>
      </c>
      <c r="M2022" s="35">
        <f>+J2022+L2022</f>
        <v>1723617</v>
      </c>
      <c r="N2022" s="28" t="s">
        <v>2792</v>
      </c>
      <c r="O2022" s="29" t="s">
        <v>2793</v>
      </c>
      <c r="P2022" s="36">
        <v>43122</v>
      </c>
      <c r="Q2022" s="31">
        <v>26817.16</v>
      </c>
      <c r="R2022" s="33">
        <f>M2022/Q2022</f>
        <v>64.272913313714056</v>
      </c>
    </row>
    <row r="2023" spans="1:18" ht="15" customHeight="1">
      <c r="A2023" s="37" t="s">
        <v>52</v>
      </c>
      <c r="B2023" s="26" t="s">
        <v>555</v>
      </c>
      <c r="C2023" s="65">
        <v>17</v>
      </c>
      <c r="D2023" s="51" t="s">
        <v>2852</v>
      </c>
      <c r="E2023" s="38" t="s">
        <v>3</v>
      </c>
      <c r="F2023" s="38" t="s">
        <v>11</v>
      </c>
      <c r="G2023" s="52">
        <v>2135806</v>
      </c>
      <c r="H2023" s="52">
        <v>966041</v>
      </c>
      <c r="I2023" s="52">
        <v>372562</v>
      </c>
      <c r="J2023" s="53">
        <f>+G2023-H2023+I2023</f>
        <v>1542327</v>
      </c>
      <c r="K2023" s="28">
        <v>0</v>
      </c>
      <c r="L2023" s="32">
        <v>0</v>
      </c>
      <c r="M2023" s="53">
        <f>+J2023+L2023</f>
        <v>1542327</v>
      </c>
      <c r="N2023" s="55" t="s">
        <v>1160</v>
      </c>
      <c r="O2023" s="29" t="s">
        <v>1161</v>
      </c>
      <c r="P2023" s="36">
        <v>42689</v>
      </c>
      <c r="Q2023" s="49">
        <v>26287.25</v>
      </c>
      <c r="R2023" s="33">
        <f>M2023/Q2023</f>
        <v>58.672055844563431</v>
      </c>
    </row>
    <row r="2024" spans="1:18" ht="15" customHeight="1">
      <c r="A2024" s="37" t="s">
        <v>2639</v>
      </c>
      <c r="B2024" s="26" t="s">
        <v>2640</v>
      </c>
      <c r="C2024" s="39">
        <v>17</v>
      </c>
      <c r="D2024" s="40" t="s">
        <v>2853</v>
      </c>
      <c r="E2024" s="38" t="s">
        <v>4</v>
      </c>
      <c r="F2024" s="38" t="s">
        <v>11</v>
      </c>
      <c r="G2024" s="32">
        <v>3802278</v>
      </c>
      <c r="H2024" s="32">
        <v>150773</v>
      </c>
      <c r="I2024" s="32">
        <v>5898715</v>
      </c>
      <c r="J2024" s="35">
        <f>+G2024-H2024+I2024</f>
        <v>9550220</v>
      </c>
      <c r="K2024" s="28">
        <v>0</v>
      </c>
      <c r="L2024" s="32">
        <v>0</v>
      </c>
      <c r="M2024" s="35">
        <f>+J2024+L2024</f>
        <v>9550220</v>
      </c>
      <c r="N2024" s="28" t="s">
        <v>2854</v>
      </c>
      <c r="O2024" s="29" t="s">
        <v>2855</v>
      </c>
      <c r="P2024" s="36">
        <v>43179</v>
      </c>
      <c r="Q2024" s="31">
        <v>26966.89</v>
      </c>
      <c r="R2024" s="33">
        <f>M2024/Q2024</f>
        <v>354.14613995162216</v>
      </c>
    </row>
    <row r="2025" spans="1:18" ht="15" customHeight="1">
      <c r="A2025" s="46" t="s">
        <v>52</v>
      </c>
      <c r="B2025" s="47" t="s">
        <v>2606</v>
      </c>
      <c r="C2025" s="65">
        <v>17</v>
      </c>
      <c r="D2025" s="51" t="s">
        <v>2856</v>
      </c>
      <c r="E2025" s="38" t="s">
        <v>3</v>
      </c>
      <c r="F2025" s="38" t="s">
        <v>12</v>
      </c>
      <c r="G2025" s="52">
        <v>0</v>
      </c>
      <c r="H2025" s="52">
        <v>0</v>
      </c>
      <c r="I2025" s="52">
        <v>19989788</v>
      </c>
      <c r="J2025" s="53">
        <f>+G2025-H2025+I2025</f>
        <v>19989788</v>
      </c>
      <c r="K2025" s="70">
        <v>0</v>
      </c>
      <c r="L2025" s="52">
        <v>0</v>
      </c>
      <c r="M2025" s="53">
        <f>+J2025+L2025</f>
        <v>19989788</v>
      </c>
      <c r="N2025" s="55" t="s">
        <v>2608</v>
      </c>
      <c r="O2025" s="56" t="s">
        <v>2609</v>
      </c>
      <c r="P2025" s="56">
        <v>44488</v>
      </c>
      <c r="Q2025" s="49">
        <v>30240.57</v>
      </c>
      <c r="R2025" s="57">
        <f>M2025/Q2025</f>
        <v>661.02550315685187</v>
      </c>
    </row>
    <row r="2026" spans="1:18" ht="15" customHeight="1">
      <c r="A2026" s="37" t="s">
        <v>52</v>
      </c>
      <c r="B2026" s="26" t="s">
        <v>2606</v>
      </c>
      <c r="C2026" s="39">
        <v>17</v>
      </c>
      <c r="D2026" s="40" t="s">
        <v>2857</v>
      </c>
      <c r="E2026" s="38" t="s">
        <v>6</v>
      </c>
      <c r="F2026" s="38" t="s">
        <v>11</v>
      </c>
      <c r="G2026" s="32">
        <v>24732598</v>
      </c>
      <c r="H2026" s="32">
        <v>-22311589</v>
      </c>
      <c r="I2026" s="52">
        <v>0</v>
      </c>
      <c r="J2026" s="35">
        <f>+G2026-H2026+I2026</f>
        <v>47044187</v>
      </c>
      <c r="K2026" s="28">
        <v>0</v>
      </c>
      <c r="L2026" s="32">
        <v>0</v>
      </c>
      <c r="M2026" s="35">
        <f>+J2026+L2026</f>
        <v>47044187</v>
      </c>
      <c r="N2026" s="28" t="s">
        <v>2684</v>
      </c>
      <c r="O2026" s="29" t="s">
        <v>2685</v>
      </c>
      <c r="P2026" s="36">
        <v>42727</v>
      </c>
      <c r="Q2026" s="31">
        <v>26341.19</v>
      </c>
      <c r="R2026" s="33">
        <f>M2026/Q2026</f>
        <v>1785.9552662579026</v>
      </c>
    </row>
    <row r="2027" spans="1:18" ht="15" customHeight="1">
      <c r="A2027" s="37" t="s">
        <v>627</v>
      </c>
      <c r="B2027" s="26" t="s">
        <v>628</v>
      </c>
      <c r="C2027" s="39">
        <v>16</v>
      </c>
      <c r="D2027" s="40" t="s">
        <v>2858</v>
      </c>
      <c r="E2027" s="38" t="s">
        <v>3</v>
      </c>
      <c r="F2027" s="38" t="s">
        <v>11</v>
      </c>
      <c r="G2027" s="32">
        <v>0</v>
      </c>
      <c r="H2027" s="32">
        <v>1453471.1884000001</v>
      </c>
      <c r="I2027" s="32">
        <v>2562097.8326719995</v>
      </c>
      <c r="J2027" s="35">
        <f>+G2027-H2027+I2027</f>
        <v>1108626.6442719994</v>
      </c>
      <c r="K2027" s="28">
        <v>0</v>
      </c>
      <c r="L2027" s="32">
        <v>0</v>
      </c>
      <c r="M2027" s="35">
        <f>+J2027+L2027</f>
        <v>1108626.6442719994</v>
      </c>
      <c r="N2027" s="28" t="s">
        <v>631</v>
      </c>
      <c r="O2027" s="29" t="s">
        <v>632</v>
      </c>
      <c r="P2027" s="36">
        <v>43826</v>
      </c>
      <c r="Q2027" s="31">
        <v>28306.29</v>
      </c>
      <c r="R2027" s="33">
        <f>M2027/Q2027</f>
        <v>39.165381414236883</v>
      </c>
    </row>
    <row r="2028" spans="1:18" ht="15" customHeight="1">
      <c r="A2028" s="37" t="s">
        <v>627</v>
      </c>
      <c r="B2028" s="26" t="s">
        <v>1895</v>
      </c>
      <c r="C2028" s="39">
        <v>16</v>
      </c>
      <c r="D2028" s="40" t="s">
        <v>2859</v>
      </c>
      <c r="E2028" s="38" t="s">
        <v>3</v>
      </c>
      <c r="F2028" s="38" t="s">
        <v>11</v>
      </c>
      <c r="G2028" s="32">
        <v>2065172</v>
      </c>
      <c r="H2028" s="32">
        <v>0</v>
      </c>
      <c r="I2028" s="32">
        <v>2269172</v>
      </c>
      <c r="J2028" s="35">
        <f>+G2028-H2028+I2028</f>
        <v>4334344</v>
      </c>
      <c r="K2028" s="28">
        <v>0</v>
      </c>
      <c r="L2028" s="32">
        <v>0</v>
      </c>
      <c r="M2028" s="35">
        <f>+J2028+L2028</f>
        <v>4334344</v>
      </c>
      <c r="N2028" s="28" t="s">
        <v>1898</v>
      </c>
      <c r="O2028" s="29" t="s">
        <v>1899</v>
      </c>
      <c r="P2028" s="36">
        <v>43829</v>
      </c>
      <c r="Q2028" s="31">
        <v>28309.03</v>
      </c>
      <c r="R2028" s="33">
        <f>M2028/Q2028</f>
        <v>153.10817784996519</v>
      </c>
    </row>
    <row r="2029" spans="1:18" ht="15" customHeight="1">
      <c r="A2029" s="37" t="s">
        <v>391</v>
      </c>
      <c r="B2029" s="26" t="s">
        <v>392</v>
      </c>
      <c r="C2029" s="39">
        <v>16</v>
      </c>
      <c r="D2029" s="40" t="s">
        <v>2860</v>
      </c>
      <c r="E2029" s="38" t="s">
        <v>3</v>
      </c>
      <c r="F2029" s="38" t="s">
        <v>10</v>
      </c>
      <c r="G2029" s="32">
        <v>19471521</v>
      </c>
      <c r="H2029" s="32">
        <v>0</v>
      </c>
      <c r="I2029" s="52">
        <v>0</v>
      </c>
      <c r="J2029" s="35">
        <f>+G2029-H2029+I2029</f>
        <v>19471521</v>
      </c>
      <c r="K2029" s="28">
        <v>0</v>
      </c>
      <c r="L2029" s="32">
        <v>0</v>
      </c>
      <c r="M2029" s="35">
        <f>+J2029+L2029</f>
        <v>19471521</v>
      </c>
      <c r="N2029" s="28" t="s">
        <v>2792</v>
      </c>
      <c r="O2029" s="29" t="s">
        <v>2793</v>
      </c>
      <c r="P2029" s="36">
        <v>43122</v>
      </c>
      <c r="Q2029" s="31">
        <v>26817.16</v>
      </c>
      <c r="R2029" s="33">
        <f>M2029/Q2029</f>
        <v>726.08438029977822</v>
      </c>
    </row>
    <row r="2030" spans="1:18" s="30" customFormat="1" ht="15" customHeight="1">
      <c r="A2030" s="37" t="s">
        <v>356</v>
      </c>
      <c r="B2030" s="26" t="s">
        <v>1841</v>
      </c>
      <c r="C2030" s="39">
        <v>16</v>
      </c>
      <c r="D2030" s="40" t="s">
        <v>2861</v>
      </c>
      <c r="E2030" s="38" t="s">
        <v>3</v>
      </c>
      <c r="F2030" s="38" t="s">
        <v>15</v>
      </c>
      <c r="G2030" s="32">
        <v>4190247</v>
      </c>
      <c r="H2030" s="32">
        <v>1594322</v>
      </c>
      <c r="I2030" s="52">
        <v>0</v>
      </c>
      <c r="J2030" s="35">
        <f>+G2030-H2030+I2030</f>
        <v>2595925</v>
      </c>
      <c r="K2030" s="28">
        <v>0</v>
      </c>
      <c r="L2030" s="32">
        <v>0</v>
      </c>
      <c r="M2030" s="35">
        <f>+J2030+L2030</f>
        <v>2595925</v>
      </c>
      <c r="N2030" s="28" t="s">
        <v>2797</v>
      </c>
      <c r="O2030" s="29" t="s">
        <v>2798</v>
      </c>
      <c r="P2030" s="36">
        <v>43844</v>
      </c>
      <c r="Q2030" s="31">
        <v>28322.73</v>
      </c>
      <c r="R2030" s="33">
        <f>M2030/Q2030</f>
        <v>91.65518295729261</v>
      </c>
    </row>
    <row r="2031" spans="1:18" s="30" customFormat="1" ht="15" customHeight="1">
      <c r="A2031" s="37" t="s">
        <v>39</v>
      </c>
      <c r="B2031" s="26" t="s">
        <v>1658</v>
      </c>
      <c r="C2031" s="39">
        <v>16</v>
      </c>
      <c r="D2031" s="40" t="s">
        <v>2862</v>
      </c>
      <c r="E2031" s="38" t="s">
        <v>4</v>
      </c>
      <c r="F2031" s="38" t="s">
        <v>11</v>
      </c>
      <c r="G2031" s="32">
        <v>63118420</v>
      </c>
      <c r="H2031" s="32">
        <v>9931807</v>
      </c>
      <c r="I2031" s="52">
        <v>0</v>
      </c>
      <c r="J2031" s="35">
        <f>+G2031-H2031+I2031</f>
        <v>53186613</v>
      </c>
      <c r="K2031" s="28">
        <v>0</v>
      </c>
      <c r="L2031" s="32">
        <v>0</v>
      </c>
      <c r="M2031" s="35">
        <f>+J2031+L2031</f>
        <v>53186613</v>
      </c>
      <c r="N2031" s="28" t="s">
        <v>2430</v>
      </c>
      <c r="O2031" s="29" t="s">
        <v>2431</v>
      </c>
      <c r="P2031" s="36">
        <v>43133</v>
      </c>
      <c r="Q2031" s="31">
        <v>26826.67</v>
      </c>
      <c r="R2031" s="33">
        <f>M2031/Q2031</f>
        <v>1982.6021269132548</v>
      </c>
    </row>
    <row r="2032" spans="1:18" s="30" customFormat="1" ht="15" customHeight="1">
      <c r="A2032" s="37" t="s">
        <v>52</v>
      </c>
      <c r="B2032" s="26" t="s">
        <v>195</v>
      </c>
      <c r="C2032" s="39">
        <v>16</v>
      </c>
      <c r="D2032" s="40" t="s">
        <v>2863</v>
      </c>
      <c r="E2032" s="38" t="s">
        <v>3</v>
      </c>
      <c r="F2032" s="38" t="s">
        <v>10</v>
      </c>
      <c r="G2032" s="32">
        <v>0</v>
      </c>
      <c r="H2032" s="32">
        <v>0</v>
      </c>
      <c r="I2032" s="32">
        <v>155643020</v>
      </c>
      <c r="J2032" s="35">
        <f>+G2032-H2032+I2032</f>
        <v>155643020</v>
      </c>
      <c r="K2032" s="28">
        <v>0</v>
      </c>
      <c r="L2032" s="32">
        <v>0</v>
      </c>
      <c r="M2032" s="35">
        <f>+J2032+L2032</f>
        <v>155643020</v>
      </c>
      <c r="N2032" s="28" t="s">
        <v>2512</v>
      </c>
      <c r="O2032" s="29" t="s">
        <v>2513</v>
      </c>
      <c r="P2032" s="36">
        <v>44301</v>
      </c>
      <c r="Q2032" s="31">
        <v>29662.41</v>
      </c>
      <c r="R2032" s="33">
        <f>M2032/Q2032</f>
        <v>5247.1468097164052</v>
      </c>
    </row>
    <row r="2033" spans="1:18" s="30" customFormat="1" ht="15" customHeight="1">
      <c r="A2033" s="37" t="s">
        <v>293</v>
      </c>
      <c r="B2033" s="26" t="s">
        <v>294</v>
      </c>
      <c r="C2033" s="39">
        <v>575</v>
      </c>
      <c r="D2033" s="40" t="s">
        <v>2864</v>
      </c>
      <c r="E2033" s="38" t="s">
        <v>3</v>
      </c>
      <c r="F2033" s="38" t="s">
        <v>13</v>
      </c>
      <c r="G2033" s="32">
        <v>81433503</v>
      </c>
      <c r="H2033" s="32">
        <v>9035126</v>
      </c>
      <c r="I2033" s="32">
        <v>65232573</v>
      </c>
      <c r="J2033" s="35">
        <f>+G2033-H2033+I2033</f>
        <v>137630950</v>
      </c>
      <c r="K2033" s="27" t="s">
        <v>297</v>
      </c>
      <c r="L2033" s="32">
        <v>0</v>
      </c>
      <c r="M2033" s="35">
        <f>+J2033+L2033</f>
        <v>137630950</v>
      </c>
      <c r="N2033" s="55" t="s">
        <v>298</v>
      </c>
      <c r="O2033" s="56" t="s">
        <v>299</v>
      </c>
      <c r="P2033" s="56">
        <v>44502</v>
      </c>
      <c r="Q2033" s="49">
        <v>30403.919999999998</v>
      </c>
      <c r="R2033" s="57">
        <f>+M2033/Q2033</f>
        <v>4526.750169057148</v>
      </c>
    </row>
    <row r="2034" spans="1:18" s="30" customFormat="1" ht="15" customHeight="1">
      <c r="A2034" s="37" t="s">
        <v>2639</v>
      </c>
      <c r="B2034" s="26" t="s">
        <v>2640</v>
      </c>
      <c r="C2034" s="39">
        <v>16</v>
      </c>
      <c r="D2034" s="40" t="s">
        <v>2865</v>
      </c>
      <c r="E2034" s="38" t="s">
        <v>4</v>
      </c>
      <c r="F2034" s="38" t="s">
        <v>15</v>
      </c>
      <c r="G2034" s="32">
        <v>557277</v>
      </c>
      <c r="H2034" s="32">
        <v>3365684</v>
      </c>
      <c r="I2034" s="52">
        <v>0</v>
      </c>
      <c r="J2034" s="35">
        <f>+G2034-H2034+I2034</f>
        <v>-2808407</v>
      </c>
      <c r="K2034" s="28">
        <v>0</v>
      </c>
      <c r="L2034" s="32">
        <v>0</v>
      </c>
      <c r="M2034" s="35">
        <f>+J2034+L2034</f>
        <v>-2808407</v>
      </c>
      <c r="N2034" s="28" t="s">
        <v>2754</v>
      </c>
      <c r="O2034" s="29" t="s">
        <v>2755</v>
      </c>
      <c r="P2034" s="36">
        <v>43356</v>
      </c>
      <c r="Q2034" s="31">
        <v>27326.49</v>
      </c>
      <c r="R2034" s="33">
        <f>M2034/Q2034</f>
        <v>-102.77232824266855</v>
      </c>
    </row>
    <row r="2035" spans="1:18" s="30" customFormat="1" ht="15" customHeight="1">
      <c r="A2035" s="37" t="s">
        <v>39</v>
      </c>
      <c r="B2035" s="26" t="s">
        <v>2428</v>
      </c>
      <c r="C2035" s="39">
        <v>13</v>
      </c>
      <c r="D2035" s="40" t="s">
        <v>2866</v>
      </c>
      <c r="E2035" s="38" t="s">
        <v>3</v>
      </c>
      <c r="F2035" s="38" t="s">
        <v>11</v>
      </c>
      <c r="G2035" s="32">
        <v>84407396</v>
      </c>
      <c r="H2035" s="32">
        <v>79513651</v>
      </c>
      <c r="I2035" s="52">
        <v>0</v>
      </c>
      <c r="J2035" s="35">
        <f>+G2035-H2035+I2035</f>
        <v>4893745</v>
      </c>
      <c r="K2035" s="27">
        <v>2</v>
      </c>
      <c r="L2035" s="32">
        <v>27360734</v>
      </c>
      <c r="M2035" s="35">
        <f>+J2035+L2035</f>
        <v>32254479</v>
      </c>
      <c r="N2035" s="28" t="s">
        <v>2430</v>
      </c>
      <c r="O2035" s="29" t="s">
        <v>2431</v>
      </c>
      <c r="P2035" s="36">
        <v>43133</v>
      </c>
      <c r="Q2035" s="31">
        <v>26826.67</v>
      </c>
      <c r="R2035" s="33">
        <f>M2035/Q2035</f>
        <v>1202.328839173852</v>
      </c>
    </row>
    <row r="2036" spans="1:18" s="30" customFormat="1" ht="15" customHeight="1">
      <c r="A2036" s="37" t="s">
        <v>52</v>
      </c>
      <c r="B2036" s="26" t="s">
        <v>195</v>
      </c>
      <c r="C2036" s="65" t="s">
        <v>1076</v>
      </c>
      <c r="D2036" s="51" t="s">
        <v>2867</v>
      </c>
      <c r="E2036" s="38" t="s">
        <v>3</v>
      </c>
      <c r="F2036" s="38" t="s">
        <v>15</v>
      </c>
      <c r="G2036" s="52">
        <v>86488466</v>
      </c>
      <c r="H2036" s="52">
        <v>2792315719</v>
      </c>
      <c r="I2036" s="52">
        <v>3972200087</v>
      </c>
      <c r="J2036" s="53">
        <f>+G2036-H2036+I2036</f>
        <v>1266372834</v>
      </c>
      <c r="K2036" s="54">
        <v>170</v>
      </c>
      <c r="L2036" s="52"/>
      <c r="M2036" s="53">
        <f>+J2036+L2036</f>
        <v>1266372834</v>
      </c>
      <c r="N2036" s="55" t="s">
        <v>504</v>
      </c>
      <c r="O2036" s="29" t="s">
        <v>505</v>
      </c>
      <c r="P2036" s="36">
        <v>44496</v>
      </c>
      <c r="Q2036" s="49">
        <v>30971.8</v>
      </c>
      <c r="R2036" s="33">
        <f>M2036/Q2036</f>
        <v>40887.931408571669</v>
      </c>
    </row>
    <row r="2037" spans="1:18" s="30" customFormat="1" ht="15" customHeight="1">
      <c r="A2037" s="37" t="s">
        <v>52</v>
      </c>
      <c r="B2037" s="26" t="s">
        <v>2606</v>
      </c>
      <c r="C2037" s="39">
        <v>16</v>
      </c>
      <c r="D2037" s="40" t="s">
        <v>2868</v>
      </c>
      <c r="E2037" s="38" t="s">
        <v>4</v>
      </c>
      <c r="F2037" s="38" t="s">
        <v>11</v>
      </c>
      <c r="G2037" s="32">
        <v>3651145</v>
      </c>
      <c r="H2037" s="32">
        <v>-4820143</v>
      </c>
      <c r="I2037" s="32">
        <v>393863</v>
      </c>
      <c r="J2037" s="35">
        <f>+G2037-H2037+I2037</f>
        <v>8865151</v>
      </c>
      <c r="K2037" s="28">
        <v>0</v>
      </c>
      <c r="L2037" s="32">
        <v>0</v>
      </c>
      <c r="M2037" s="35">
        <f>+J2037+L2037</f>
        <v>8865151</v>
      </c>
      <c r="N2037" s="28" t="s">
        <v>2684</v>
      </c>
      <c r="O2037" s="29" t="s">
        <v>2685</v>
      </c>
      <c r="P2037" s="36">
        <v>42727</v>
      </c>
      <c r="Q2037" s="31">
        <v>26341.19</v>
      </c>
      <c r="R2037" s="33">
        <f>M2037/Q2037</f>
        <v>336.5508923476882</v>
      </c>
    </row>
    <row r="2038" spans="1:18" s="30" customFormat="1" ht="15" customHeight="1">
      <c r="A2038" s="37" t="s">
        <v>627</v>
      </c>
      <c r="B2038" s="26" t="s">
        <v>628</v>
      </c>
      <c r="C2038" s="39">
        <v>15</v>
      </c>
      <c r="D2038" s="40" t="s">
        <v>2869</v>
      </c>
      <c r="E2038" s="38" t="s">
        <v>3</v>
      </c>
      <c r="F2038" s="38" t="s">
        <v>13</v>
      </c>
      <c r="G2038" s="32">
        <v>19934547.5616</v>
      </c>
      <c r="H2038" s="32">
        <v>0</v>
      </c>
      <c r="I2038" s="32">
        <v>4527269.7388800001</v>
      </c>
      <c r="J2038" s="35">
        <f>+G2038-H2038+I2038</f>
        <v>24461817.300480001</v>
      </c>
      <c r="K2038" s="28">
        <v>0</v>
      </c>
      <c r="L2038" s="32">
        <v>0</v>
      </c>
      <c r="M2038" s="35">
        <f>+J2038+L2038</f>
        <v>24461817.300480001</v>
      </c>
      <c r="N2038" s="28" t="s">
        <v>631</v>
      </c>
      <c r="O2038" s="29" t="s">
        <v>632</v>
      </c>
      <c r="P2038" s="36">
        <v>43826</v>
      </c>
      <c r="Q2038" s="31">
        <v>28306.29</v>
      </c>
      <c r="R2038" s="33">
        <f>M2038/Q2038</f>
        <v>864.18309501103818</v>
      </c>
    </row>
    <row r="2039" spans="1:18" s="30" customFormat="1" ht="15" customHeight="1">
      <c r="A2039" s="37" t="s">
        <v>688</v>
      </c>
      <c r="B2039" s="26" t="s">
        <v>736</v>
      </c>
      <c r="C2039" s="39">
        <v>15</v>
      </c>
      <c r="D2039" s="40" t="s">
        <v>2870</v>
      </c>
      <c r="E2039" s="38" t="s">
        <v>3</v>
      </c>
      <c r="F2039" s="38" t="s">
        <v>11</v>
      </c>
      <c r="G2039" s="32">
        <v>780866.44272000005</v>
      </c>
      <c r="H2039" s="32">
        <v>0</v>
      </c>
      <c r="I2039" s="32">
        <v>354389.33218500001</v>
      </c>
      <c r="J2039" s="35">
        <f>+G2039-H2039+I2039</f>
        <v>1135255.7749050001</v>
      </c>
      <c r="K2039" s="28">
        <v>0</v>
      </c>
      <c r="L2039" s="32">
        <v>0</v>
      </c>
      <c r="M2039" s="35">
        <f>+J2039+L2039</f>
        <v>1135255.7749050001</v>
      </c>
      <c r="N2039" s="28" t="s">
        <v>2569</v>
      </c>
      <c r="O2039" s="29" t="s">
        <v>2570</v>
      </c>
      <c r="P2039" s="36">
        <v>43427</v>
      </c>
      <c r="Q2039" s="31">
        <v>27507.17</v>
      </c>
      <c r="R2039" s="33">
        <f>M2039/Q2039</f>
        <v>41.271267633311609</v>
      </c>
    </row>
    <row r="2040" spans="1:18" s="30" customFormat="1" ht="15" customHeight="1">
      <c r="A2040" s="37" t="s">
        <v>874</v>
      </c>
      <c r="B2040" s="26" t="s">
        <v>875</v>
      </c>
      <c r="C2040" s="39">
        <v>15</v>
      </c>
      <c r="D2040" s="40" t="s">
        <v>2871</v>
      </c>
      <c r="E2040" s="38" t="s">
        <v>3</v>
      </c>
      <c r="F2040" s="38" t="s">
        <v>10</v>
      </c>
      <c r="G2040" s="32">
        <v>45489148</v>
      </c>
      <c r="H2040" s="32"/>
      <c r="I2040" s="32">
        <v>11294704</v>
      </c>
      <c r="J2040" s="35">
        <f>+G2040-H2040+I2040</f>
        <v>56783852</v>
      </c>
      <c r="K2040" s="28">
        <v>0</v>
      </c>
      <c r="L2040" s="32">
        <v>0</v>
      </c>
      <c r="M2040" s="35">
        <f>+J2040+L2040</f>
        <v>56783852</v>
      </c>
      <c r="N2040" s="28" t="s">
        <v>1179</v>
      </c>
      <c r="O2040" s="29" t="s">
        <v>1180</v>
      </c>
      <c r="P2040" s="36">
        <v>44454</v>
      </c>
      <c r="Q2040" s="31">
        <v>30028</v>
      </c>
      <c r="R2040" s="33">
        <v>1891.01</v>
      </c>
    </row>
    <row r="2041" spans="1:18" s="30" customFormat="1" ht="15" customHeight="1">
      <c r="A2041" s="37" t="s">
        <v>52</v>
      </c>
      <c r="B2041" s="26" t="s">
        <v>622</v>
      </c>
      <c r="C2041" s="65">
        <v>15</v>
      </c>
      <c r="D2041" s="51" t="s">
        <v>2872</v>
      </c>
      <c r="E2041" s="38" t="s">
        <v>3</v>
      </c>
      <c r="F2041" s="38" t="s">
        <v>13</v>
      </c>
      <c r="G2041" s="52"/>
      <c r="H2041" s="52"/>
      <c r="I2041" s="52">
        <v>14150356</v>
      </c>
      <c r="J2041" s="53">
        <f>+G2041-H2041+I2041</f>
        <v>14150356</v>
      </c>
      <c r="K2041" s="28">
        <v>0</v>
      </c>
      <c r="L2041" s="32">
        <v>0</v>
      </c>
      <c r="M2041" s="53">
        <f>+J2041+L2041</f>
        <v>14150356</v>
      </c>
      <c r="N2041" s="55" t="s">
        <v>2085</v>
      </c>
      <c r="O2041" s="29" t="s">
        <v>2086</v>
      </c>
      <c r="P2041" s="36">
        <v>43735</v>
      </c>
      <c r="Q2041" s="49">
        <v>28042.93</v>
      </c>
      <c r="R2041" s="33">
        <f>M2041/Q2041</f>
        <v>504.59620303584541</v>
      </c>
    </row>
    <row r="2042" spans="1:18" s="30" customFormat="1" ht="15" customHeight="1">
      <c r="A2042" s="37" t="s">
        <v>356</v>
      </c>
      <c r="B2042" s="26" t="s">
        <v>1841</v>
      </c>
      <c r="C2042" s="39">
        <v>15</v>
      </c>
      <c r="D2042" s="40" t="s">
        <v>2873</v>
      </c>
      <c r="E2042" s="38" t="s">
        <v>3</v>
      </c>
      <c r="F2042" s="38" t="s">
        <v>15</v>
      </c>
      <c r="G2042" s="32">
        <v>209698</v>
      </c>
      <c r="H2042" s="32">
        <v>0</v>
      </c>
      <c r="I2042" s="52">
        <v>0</v>
      </c>
      <c r="J2042" s="35">
        <f>+G2042-H2042+I2042</f>
        <v>209698</v>
      </c>
      <c r="K2042" s="28">
        <v>0</v>
      </c>
      <c r="L2042" s="32">
        <v>0</v>
      </c>
      <c r="M2042" s="35">
        <f>+J2042+L2042</f>
        <v>209698</v>
      </c>
      <c r="N2042" s="28" t="s">
        <v>2797</v>
      </c>
      <c r="O2042" s="29" t="s">
        <v>2798</v>
      </c>
      <c r="P2042" s="36">
        <v>43844</v>
      </c>
      <c r="Q2042" s="31">
        <v>28322.73</v>
      </c>
      <c r="R2042" s="33">
        <f>M2042/Q2042</f>
        <v>7.4038766743177655</v>
      </c>
    </row>
    <row r="2043" spans="1:18" s="30" customFormat="1" ht="15" customHeight="1">
      <c r="A2043" s="37" t="s">
        <v>356</v>
      </c>
      <c r="B2043" s="26" t="s">
        <v>1540</v>
      </c>
      <c r="C2043" s="39">
        <v>15</v>
      </c>
      <c r="D2043" s="40" t="s">
        <v>2874</v>
      </c>
      <c r="E2043" s="38" t="s">
        <v>3</v>
      </c>
      <c r="F2043" s="38" t="s">
        <v>10</v>
      </c>
      <c r="G2043" s="32">
        <v>48261301.388411194</v>
      </c>
      <c r="H2043" s="32">
        <v>0</v>
      </c>
      <c r="I2043" s="32">
        <v>3650694</v>
      </c>
      <c r="J2043" s="35">
        <f>+G2043-H2043+I2043</f>
        <v>51911995.388411194</v>
      </c>
      <c r="K2043" s="28">
        <v>0</v>
      </c>
      <c r="L2043" s="32">
        <v>0</v>
      </c>
      <c r="M2043" s="35">
        <f>+J2043+L2043</f>
        <v>51911995.388411194</v>
      </c>
      <c r="N2043" s="28" t="s">
        <v>2635</v>
      </c>
      <c r="O2043" s="29" t="s">
        <v>2636</v>
      </c>
      <c r="P2043" s="36">
        <v>42655</v>
      </c>
      <c r="Q2043" s="31">
        <v>26229.37</v>
      </c>
      <c r="R2043" s="33">
        <f>M2043/Q2043</f>
        <v>1979.1552518574101</v>
      </c>
    </row>
    <row r="2044" spans="1:18" s="30" customFormat="1" ht="15" customHeight="1">
      <c r="A2044" s="37" t="s">
        <v>166</v>
      </c>
      <c r="B2044" s="26" t="s">
        <v>167</v>
      </c>
      <c r="C2044" s="39" t="s">
        <v>2875</v>
      </c>
      <c r="D2044" s="40" t="s">
        <v>2876</v>
      </c>
      <c r="E2044" s="38" t="s">
        <v>3</v>
      </c>
      <c r="F2044" s="38" t="s">
        <v>13</v>
      </c>
      <c r="G2044" s="32">
        <v>94693086</v>
      </c>
      <c r="H2044" s="32">
        <v>0</v>
      </c>
      <c r="I2044" s="32">
        <v>11879519</v>
      </c>
      <c r="J2044" s="35">
        <f>+G2044-H2044+I2044</f>
        <v>106572605</v>
      </c>
      <c r="K2044" s="27" t="s">
        <v>170</v>
      </c>
      <c r="L2044" s="32">
        <v>0</v>
      </c>
      <c r="M2044" s="35">
        <f>+J2044+L2044</f>
        <v>106572605</v>
      </c>
      <c r="N2044" s="28" t="s">
        <v>171</v>
      </c>
      <c r="O2044" s="29" t="s">
        <v>1531</v>
      </c>
      <c r="P2044" s="36">
        <v>44341</v>
      </c>
      <c r="Q2044" s="31">
        <v>29513.759999999998</v>
      </c>
      <c r="R2044" s="33">
        <v>3611</v>
      </c>
    </row>
    <row r="2045" spans="1:18" s="30" customFormat="1" ht="15" customHeight="1">
      <c r="A2045" s="37" t="s">
        <v>39</v>
      </c>
      <c r="B2045" s="26" t="s">
        <v>1658</v>
      </c>
      <c r="C2045" s="39">
        <v>15</v>
      </c>
      <c r="D2045" s="40" t="s">
        <v>2877</v>
      </c>
      <c r="E2045" s="38" t="s">
        <v>4</v>
      </c>
      <c r="F2045" s="38" t="s">
        <v>11</v>
      </c>
      <c r="G2045" s="32">
        <v>198210829.53097814</v>
      </c>
      <c r="H2045" s="32">
        <v>187409043.92838231</v>
      </c>
      <c r="I2045" s="32">
        <v>547230</v>
      </c>
      <c r="J2045" s="35">
        <f>+G2045-H2045+I2045</f>
        <v>11349015.602595836</v>
      </c>
      <c r="K2045" s="28">
        <v>0</v>
      </c>
      <c r="L2045" s="32">
        <v>0</v>
      </c>
      <c r="M2045" s="35">
        <f>+J2045+L2045</f>
        <v>11349015.602595836</v>
      </c>
      <c r="N2045" s="28" t="s">
        <v>2381</v>
      </c>
      <c r="O2045" s="29" t="s">
        <v>2382</v>
      </c>
      <c r="P2045" s="36">
        <v>43277</v>
      </c>
      <c r="Q2045" s="31">
        <v>27131.66</v>
      </c>
      <c r="R2045" s="33">
        <f>M2045/Q2045</f>
        <v>418.29418482303834</v>
      </c>
    </row>
    <row r="2046" spans="1:18" s="30" customFormat="1" ht="15" customHeight="1">
      <c r="A2046" s="37" t="s">
        <v>166</v>
      </c>
      <c r="B2046" s="26" t="s">
        <v>167</v>
      </c>
      <c r="C2046" s="39" t="s">
        <v>2878</v>
      </c>
      <c r="D2046" s="40" t="s">
        <v>2879</v>
      </c>
      <c r="E2046" s="38" t="s">
        <v>3</v>
      </c>
      <c r="F2046" s="38" t="s">
        <v>10</v>
      </c>
      <c r="G2046" s="32">
        <v>97180334</v>
      </c>
      <c r="H2046" s="32">
        <v>111122229</v>
      </c>
      <c r="I2046" s="32">
        <v>130817053</v>
      </c>
      <c r="J2046" s="35">
        <f>+G2046-H2046+I2046</f>
        <v>116875158</v>
      </c>
      <c r="K2046" s="27" t="s">
        <v>170</v>
      </c>
      <c r="L2046" s="32">
        <v>0</v>
      </c>
      <c r="M2046" s="35">
        <f>+J2046+L2046</f>
        <v>116875158</v>
      </c>
      <c r="N2046" s="28" t="s">
        <v>171</v>
      </c>
      <c r="O2046" s="29" t="s">
        <v>642</v>
      </c>
      <c r="P2046" s="36">
        <v>44341</v>
      </c>
      <c r="Q2046" s="31">
        <v>29513.759999999998</v>
      </c>
      <c r="R2046" s="33">
        <v>3960</v>
      </c>
    </row>
    <row r="2047" spans="1:18" s="30" customFormat="1" ht="15" customHeight="1">
      <c r="A2047" s="37" t="s">
        <v>52</v>
      </c>
      <c r="B2047" s="26" t="s">
        <v>555</v>
      </c>
      <c r="C2047" s="65">
        <v>15</v>
      </c>
      <c r="D2047" s="51" t="s">
        <v>2880</v>
      </c>
      <c r="E2047" s="38" t="s">
        <v>3</v>
      </c>
      <c r="F2047" s="38" t="s">
        <v>11</v>
      </c>
      <c r="G2047" s="52">
        <v>376070</v>
      </c>
      <c r="H2047" s="52">
        <v>29403410</v>
      </c>
      <c r="I2047" s="52">
        <v>25856959</v>
      </c>
      <c r="J2047" s="53">
        <f>+G2047-H2047+I2047</f>
        <v>-3170381</v>
      </c>
      <c r="K2047" s="28">
        <v>0</v>
      </c>
      <c r="L2047" s="32">
        <v>0</v>
      </c>
      <c r="M2047" s="53">
        <f>+J2047+L2047</f>
        <v>-3170381</v>
      </c>
      <c r="N2047" s="55" t="s">
        <v>1160</v>
      </c>
      <c r="O2047" s="29" t="s">
        <v>1161</v>
      </c>
      <c r="P2047" s="36">
        <v>42689</v>
      </c>
      <c r="Q2047" s="49">
        <v>26287.25</v>
      </c>
      <c r="R2047" s="33">
        <f>M2047/Q2047</f>
        <v>-120.60527442010861</v>
      </c>
    </row>
    <row r="2048" spans="1:18" s="30" customFormat="1" ht="15" customHeight="1">
      <c r="A2048" s="37" t="s">
        <v>39</v>
      </c>
      <c r="B2048" s="26" t="s">
        <v>2428</v>
      </c>
      <c r="C2048" s="39">
        <v>40</v>
      </c>
      <c r="D2048" s="40" t="s">
        <v>2881</v>
      </c>
      <c r="E2048" s="38" t="s">
        <v>3</v>
      </c>
      <c r="F2048" s="38" t="s">
        <v>10</v>
      </c>
      <c r="G2048" s="32">
        <v>99090581.479999989</v>
      </c>
      <c r="H2048" s="32">
        <v>93432648.689999998</v>
      </c>
      <c r="I2048" s="52">
        <v>0</v>
      </c>
      <c r="J2048" s="35">
        <f>+G2048-H2048+I2048</f>
        <v>5657932.7899999917</v>
      </c>
      <c r="K2048" s="27">
        <v>1</v>
      </c>
      <c r="L2048" s="32">
        <v>13680367</v>
      </c>
      <c r="M2048" s="35">
        <f>+J2048+L2048</f>
        <v>19338299.789999992</v>
      </c>
      <c r="N2048" s="28" t="s">
        <v>2381</v>
      </c>
      <c r="O2048" s="29" t="s">
        <v>2407</v>
      </c>
      <c r="P2048" s="36">
        <v>43277</v>
      </c>
      <c r="Q2048" s="31">
        <v>27147.919999999998</v>
      </c>
      <c r="R2048" s="33">
        <f>M2048/Q2048</f>
        <v>712.33080803243831</v>
      </c>
    </row>
    <row r="2049" spans="1:21" s="30" customFormat="1" ht="15" customHeight="1">
      <c r="A2049" s="37" t="s">
        <v>2639</v>
      </c>
      <c r="B2049" s="26" t="s">
        <v>2640</v>
      </c>
      <c r="C2049" s="39">
        <v>15</v>
      </c>
      <c r="D2049" s="40" t="s">
        <v>2882</v>
      </c>
      <c r="E2049" s="38" t="s">
        <v>4</v>
      </c>
      <c r="F2049" s="38" t="s">
        <v>12</v>
      </c>
      <c r="G2049" s="32">
        <v>559243</v>
      </c>
      <c r="H2049" s="32">
        <v>3072570</v>
      </c>
      <c r="I2049" s="32">
        <v>2925060</v>
      </c>
      <c r="J2049" s="35">
        <f>+G2049-H2049+I2049</f>
        <v>411733</v>
      </c>
      <c r="K2049" s="28">
        <v>0</v>
      </c>
      <c r="L2049" s="32">
        <v>0</v>
      </c>
      <c r="M2049" s="35">
        <f>+J2049+L2049</f>
        <v>411733</v>
      </c>
      <c r="N2049" s="28" t="s">
        <v>2883</v>
      </c>
      <c r="O2049" s="29" t="s">
        <v>2884</v>
      </c>
      <c r="P2049" s="36">
        <v>43307</v>
      </c>
      <c r="Q2049" s="31">
        <v>27198.09</v>
      </c>
      <c r="R2049" s="33">
        <f>M2049/Q2049</f>
        <v>15.138305667787701</v>
      </c>
    </row>
    <row r="2050" spans="1:21" s="30" customFormat="1" ht="15" customHeight="1">
      <c r="A2050" s="37" t="s">
        <v>52</v>
      </c>
      <c r="B2050" s="26" t="s">
        <v>2606</v>
      </c>
      <c r="C2050" s="39">
        <v>15</v>
      </c>
      <c r="D2050" s="40" t="s">
        <v>2885</v>
      </c>
      <c r="E2050" s="38" t="s">
        <v>6</v>
      </c>
      <c r="F2050" s="38" t="s">
        <v>11</v>
      </c>
      <c r="G2050" s="32">
        <v>1522215</v>
      </c>
      <c r="H2050" s="32">
        <v>-2098923</v>
      </c>
      <c r="I2050" s="32">
        <v>2435312</v>
      </c>
      <c r="J2050" s="35">
        <f>+G2050-H2050+I2050</f>
        <v>6056450</v>
      </c>
      <c r="K2050" s="28">
        <v>0</v>
      </c>
      <c r="L2050" s="32">
        <v>0</v>
      </c>
      <c r="M2050" s="35">
        <f>+J2050+L2050</f>
        <v>6056450</v>
      </c>
      <c r="N2050" s="28" t="s">
        <v>2684</v>
      </c>
      <c r="O2050" s="29" t="s">
        <v>2685</v>
      </c>
      <c r="P2050" s="36">
        <v>42727</v>
      </c>
      <c r="Q2050" s="31">
        <v>26341.19</v>
      </c>
      <c r="R2050" s="33">
        <f>M2050/Q2050</f>
        <v>229.92317355442182</v>
      </c>
    </row>
    <row r="2051" spans="1:21" s="30" customFormat="1" ht="15" customHeight="1">
      <c r="A2051" s="37" t="s">
        <v>874</v>
      </c>
      <c r="B2051" s="26" t="s">
        <v>875</v>
      </c>
      <c r="C2051" s="39">
        <v>64</v>
      </c>
      <c r="D2051" s="40" t="s">
        <v>2886</v>
      </c>
      <c r="E2051" s="38" t="s">
        <v>3</v>
      </c>
      <c r="F2051" s="38" t="s">
        <v>10</v>
      </c>
      <c r="G2051" s="32">
        <v>103144219</v>
      </c>
      <c r="H2051" s="32">
        <v>99863428</v>
      </c>
      <c r="I2051" s="32"/>
      <c r="J2051" s="35">
        <f>+G2051-H2051+I2051</f>
        <v>3280791</v>
      </c>
      <c r="K2051" s="27">
        <v>121</v>
      </c>
      <c r="L2051" s="32">
        <v>0</v>
      </c>
      <c r="M2051" s="35">
        <f>+J2051+L2051</f>
        <v>3280791</v>
      </c>
      <c r="N2051" s="28" t="s">
        <v>2048</v>
      </c>
      <c r="O2051" s="29" t="s">
        <v>2049</v>
      </c>
      <c r="P2051" s="36">
        <v>44379</v>
      </c>
      <c r="Q2051" s="31">
        <v>29716</v>
      </c>
      <c r="R2051" s="33">
        <v>110.41</v>
      </c>
    </row>
    <row r="2052" spans="1:21" s="30" customFormat="1" ht="15" customHeight="1">
      <c r="A2052" s="37" t="s">
        <v>627</v>
      </c>
      <c r="B2052" s="26" t="s">
        <v>628</v>
      </c>
      <c r="C2052" s="39">
        <v>14</v>
      </c>
      <c r="D2052" s="40" t="s">
        <v>2887</v>
      </c>
      <c r="E2052" s="38" t="s">
        <v>4</v>
      </c>
      <c r="F2052" s="38" t="s">
        <v>11</v>
      </c>
      <c r="G2052" s="32">
        <v>74541.878935999994</v>
      </c>
      <c r="H2052" s="32">
        <v>25681.699400000001</v>
      </c>
      <c r="I2052" s="52">
        <v>0</v>
      </c>
      <c r="J2052" s="35">
        <f>+G2052-H2052+I2052</f>
        <v>48860.179535999996</v>
      </c>
      <c r="K2052" s="28">
        <v>0</v>
      </c>
      <c r="L2052" s="32">
        <v>0</v>
      </c>
      <c r="M2052" s="35">
        <f>+J2052+L2052</f>
        <v>48860.179535999996</v>
      </c>
      <c r="N2052" s="28" t="s">
        <v>631</v>
      </c>
      <c r="O2052" s="29" t="s">
        <v>632</v>
      </c>
      <c r="P2052" s="36">
        <v>43826</v>
      </c>
      <c r="Q2052" s="31">
        <v>28306.29</v>
      </c>
      <c r="R2052" s="33">
        <f>M2052/Q2052</f>
        <v>1.7261244598285397</v>
      </c>
    </row>
    <row r="2053" spans="1:21" s="30" customFormat="1" ht="15" customHeight="1">
      <c r="A2053" s="37" t="s">
        <v>627</v>
      </c>
      <c r="B2053" s="26" t="s">
        <v>1895</v>
      </c>
      <c r="C2053" s="39">
        <v>14</v>
      </c>
      <c r="D2053" s="40" t="s">
        <v>2888</v>
      </c>
      <c r="E2053" s="38" t="s">
        <v>3</v>
      </c>
      <c r="F2053" s="38" t="s">
        <v>12</v>
      </c>
      <c r="G2053" s="32">
        <v>12298005</v>
      </c>
      <c r="H2053" s="32">
        <v>0</v>
      </c>
      <c r="I2053" s="32">
        <v>265415</v>
      </c>
      <c r="J2053" s="35">
        <f>+G2053-H2053+I2053</f>
        <v>12563420</v>
      </c>
      <c r="K2053" s="28">
        <v>0</v>
      </c>
      <c r="L2053" s="32">
        <v>0</v>
      </c>
      <c r="M2053" s="35">
        <f>+J2053+L2053</f>
        <v>12563420</v>
      </c>
      <c r="N2053" s="28" t="s">
        <v>1898</v>
      </c>
      <c r="O2053" s="29" t="s">
        <v>1899</v>
      </c>
      <c r="P2053" s="36">
        <v>43829</v>
      </c>
      <c r="Q2053" s="31">
        <v>28309.03</v>
      </c>
      <c r="R2053" s="33">
        <f>M2053/Q2053</f>
        <v>443.79549564220321</v>
      </c>
    </row>
    <row r="2054" spans="1:21" s="30" customFormat="1" ht="15" customHeight="1">
      <c r="A2054" s="37" t="s">
        <v>391</v>
      </c>
      <c r="B2054" s="26" t="s">
        <v>392</v>
      </c>
      <c r="C2054" s="39">
        <v>14</v>
      </c>
      <c r="D2054" s="40" t="s">
        <v>2889</v>
      </c>
      <c r="E2054" s="38" t="s">
        <v>3</v>
      </c>
      <c r="F2054" s="38" t="s">
        <v>9</v>
      </c>
      <c r="G2054" s="32">
        <v>0</v>
      </c>
      <c r="H2054" s="32">
        <v>0</v>
      </c>
      <c r="I2054" s="32">
        <v>246178</v>
      </c>
      <c r="J2054" s="35">
        <f>+G2054-H2054+I2054</f>
        <v>246178</v>
      </c>
      <c r="K2054" s="28">
        <v>0</v>
      </c>
      <c r="L2054" s="32">
        <v>0</v>
      </c>
      <c r="M2054" s="35">
        <f>+J2054+L2054</f>
        <v>246178</v>
      </c>
      <c r="N2054" s="28" t="s">
        <v>2792</v>
      </c>
      <c r="O2054" s="29" t="s">
        <v>2793</v>
      </c>
      <c r="P2054" s="36">
        <v>43122</v>
      </c>
      <c r="Q2054" s="31">
        <v>26817.16</v>
      </c>
      <c r="R2054" s="33">
        <f>M2054/Q2054</f>
        <v>9.1798684126134162</v>
      </c>
    </row>
    <row r="2055" spans="1:21" s="30" customFormat="1" ht="15" customHeight="1">
      <c r="A2055" s="37" t="s">
        <v>688</v>
      </c>
      <c r="B2055" s="26" t="s">
        <v>736</v>
      </c>
      <c r="C2055" s="39">
        <v>14</v>
      </c>
      <c r="D2055" s="40" t="s">
        <v>2890</v>
      </c>
      <c r="E2055" s="38" t="s">
        <v>3</v>
      </c>
      <c r="F2055" s="38" t="s">
        <v>11</v>
      </c>
      <c r="G2055" s="32">
        <v>197474.78205000001</v>
      </c>
      <c r="H2055" s="32">
        <v>0</v>
      </c>
      <c r="I2055" s="32">
        <v>207560.33549999999</v>
      </c>
      <c r="J2055" s="35">
        <f>+G2055-H2055+I2055</f>
        <v>405035.11754999997</v>
      </c>
      <c r="K2055" s="28">
        <v>0</v>
      </c>
      <c r="L2055" s="32">
        <v>0</v>
      </c>
      <c r="M2055" s="35">
        <f>+J2055+L2055</f>
        <v>405035.11754999997</v>
      </c>
      <c r="N2055" s="28" t="s">
        <v>2569</v>
      </c>
      <c r="O2055" s="29" t="s">
        <v>2570</v>
      </c>
      <c r="P2055" s="36">
        <v>43427</v>
      </c>
      <c r="Q2055" s="31">
        <v>27507.17</v>
      </c>
      <c r="R2055" s="33">
        <f>M2055/Q2055</f>
        <v>14.724710595455658</v>
      </c>
    </row>
    <row r="2056" spans="1:21" s="30" customFormat="1" ht="15" customHeight="1">
      <c r="A2056" s="37" t="s">
        <v>874</v>
      </c>
      <c r="B2056" s="26" t="s">
        <v>875</v>
      </c>
      <c r="C2056" s="39">
        <v>14</v>
      </c>
      <c r="D2056" s="40" t="s">
        <v>2891</v>
      </c>
      <c r="E2056" s="38" t="s">
        <v>3</v>
      </c>
      <c r="F2056" s="38" t="s">
        <v>13</v>
      </c>
      <c r="G2056" s="32">
        <v>3390424</v>
      </c>
      <c r="H2056" s="32">
        <v>1729808</v>
      </c>
      <c r="I2056" s="32">
        <v>8299474</v>
      </c>
      <c r="J2056" s="35">
        <f>+G2056-H2056+I2056</f>
        <v>9960090</v>
      </c>
      <c r="K2056" s="28">
        <v>0</v>
      </c>
      <c r="L2056" s="32">
        <v>0</v>
      </c>
      <c r="M2056" s="35">
        <f>+J2056+L2056</f>
        <v>9960090</v>
      </c>
      <c r="N2056" s="28" t="s">
        <v>1179</v>
      </c>
      <c r="O2056" s="29" t="s">
        <v>1180</v>
      </c>
      <c r="P2056" s="36">
        <v>44454</v>
      </c>
      <c r="Q2056" s="31">
        <v>30028</v>
      </c>
      <c r="R2056" s="33">
        <v>331.69</v>
      </c>
    </row>
    <row r="2057" spans="1:21" s="30" customFormat="1" ht="15" customHeight="1">
      <c r="A2057" s="37" t="s">
        <v>356</v>
      </c>
      <c r="B2057" s="26" t="s">
        <v>1841</v>
      </c>
      <c r="C2057" s="39">
        <v>14</v>
      </c>
      <c r="D2057" s="40" t="s">
        <v>2892</v>
      </c>
      <c r="E2057" s="38" t="s">
        <v>3</v>
      </c>
      <c r="F2057" s="38" t="s">
        <v>11</v>
      </c>
      <c r="G2057" s="32">
        <v>3749275</v>
      </c>
      <c r="H2057" s="32">
        <v>1213500</v>
      </c>
      <c r="I2057" s="52">
        <v>0</v>
      </c>
      <c r="J2057" s="35">
        <f>+G2057-H2057+I2057</f>
        <v>2535775</v>
      </c>
      <c r="K2057" s="28">
        <v>0</v>
      </c>
      <c r="L2057" s="32">
        <v>0</v>
      </c>
      <c r="M2057" s="35">
        <f>+J2057+L2057</f>
        <v>2535775</v>
      </c>
      <c r="N2057" s="28" t="s">
        <v>2797</v>
      </c>
      <c r="O2057" s="29" t="s">
        <v>2798</v>
      </c>
      <c r="P2057" s="36">
        <v>43844</v>
      </c>
      <c r="Q2057" s="31">
        <v>28322.73</v>
      </c>
      <c r="R2057" s="33">
        <f>M2057/Q2057</f>
        <v>89.531447003872856</v>
      </c>
    </row>
    <row r="2058" spans="1:21" s="30" customFormat="1" ht="15" customHeight="1">
      <c r="A2058" s="37" t="s">
        <v>356</v>
      </c>
      <c r="B2058" s="26" t="s">
        <v>1540</v>
      </c>
      <c r="C2058" s="39">
        <v>14</v>
      </c>
      <c r="D2058" s="40" t="s">
        <v>2893</v>
      </c>
      <c r="E2058" s="38" t="s">
        <v>3</v>
      </c>
      <c r="F2058" s="38" t="s">
        <v>13</v>
      </c>
      <c r="G2058" s="32">
        <v>72019976</v>
      </c>
      <c r="H2058" s="32">
        <v>146854357</v>
      </c>
      <c r="I2058" s="32">
        <v>11287074</v>
      </c>
      <c r="J2058" s="35">
        <f>+G2058-H2058+I2058</f>
        <v>-63547307</v>
      </c>
      <c r="K2058" s="28">
        <v>0</v>
      </c>
      <c r="L2058" s="32">
        <v>0</v>
      </c>
      <c r="M2058" s="35">
        <f>+J2058+L2058</f>
        <v>-63547307</v>
      </c>
      <c r="N2058" s="28" t="s">
        <v>2635</v>
      </c>
      <c r="O2058" s="29" t="s">
        <v>2636</v>
      </c>
      <c r="P2058" s="36">
        <v>42655</v>
      </c>
      <c r="Q2058" s="31">
        <v>26229.37</v>
      </c>
      <c r="R2058" s="33">
        <f>M2058/Q2058</f>
        <v>-2422.7538442593172</v>
      </c>
    </row>
    <row r="2059" spans="1:21" s="30" customFormat="1" ht="15" customHeight="1">
      <c r="A2059" s="37" t="s">
        <v>39</v>
      </c>
      <c r="B2059" s="26" t="s">
        <v>1658</v>
      </c>
      <c r="C2059" s="39">
        <v>14</v>
      </c>
      <c r="D2059" s="40" t="s">
        <v>2894</v>
      </c>
      <c r="E2059" s="38" t="s">
        <v>4</v>
      </c>
      <c r="F2059" s="38" t="s">
        <v>10</v>
      </c>
      <c r="G2059" s="32">
        <v>0</v>
      </c>
      <c r="H2059" s="32">
        <v>152961.33000000002</v>
      </c>
      <c r="I2059" s="32">
        <v>1586471.76</v>
      </c>
      <c r="J2059" s="35">
        <f>+G2059-H2059+I2059</f>
        <v>1433510.43</v>
      </c>
      <c r="K2059" s="28">
        <v>0</v>
      </c>
      <c r="L2059" s="32">
        <v>0</v>
      </c>
      <c r="M2059" s="35">
        <f>+J2059+L2059</f>
        <v>1433510.43</v>
      </c>
      <c r="N2059" s="28" t="s">
        <v>2430</v>
      </c>
      <c r="O2059" s="29" t="s">
        <v>2431</v>
      </c>
      <c r="P2059" s="36">
        <v>43133</v>
      </c>
      <c r="Q2059" s="31">
        <v>26826.67</v>
      </c>
      <c r="R2059" s="33">
        <f>M2059/Q2059</f>
        <v>53.436018335484803</v>
      </c>
    </row>
    <row r="2060" spans="1:21" s="30" customFormat="1" ht="15" customHeight="1">
      <c r="A2060" s="37" t="s">
        <v>52</v>
      </c>
      <c r="B2060" s="26" t="s">
        <v>555</v>
      </c>
      <c r="C2060" s="65">
        <v>14</v>
      </c>
      <c r="D2060" s="51" t="s">
        <v>2895</v>
      </c>
      <c r="E2060" s="38" t="s">
        <v>4</v>
      </c>
      <c r="F2060" s="38" t="s">
        <v>11</v>
      </c>
      <c r="G2060" s="52">
        <v>515427</v>
      </c>
      <c r="H2060" s="52">
        <v>11977</v>
      </c>
      <c r="I2060" s="52">
        <v>33646</v>
      </c>
      <c r="J2060" s="53">
        <f>+G2060-H2060+I2060</f>
        <v>537096</v>
      </c>
      <c r="K2060" s="28">
        <v>0</v>
      </c>
      <c r="L2060" s="32">
        <v>0</v>
      </c>
      <c r="M2060" s="53">
        <f>+J2060+L2060</f>
        <v>537096</v>
      </c>
      <c r="N2060" s="55" t="s">
        <v>1160</v>
      </c>
      <c r="O2060" s="29" t="s">
        <v>1161</v>
      </c>
      <c r="P2060" s="36">
        <v>42689</v>
      </c>
      <c r="Q2060" s="49">
        <v>26287.25</v>
      </c>
      <c r="R2060" s="33">
        <f>M2060/Q2060</f>
        <v>20.431806293925764</v>
      </c>
    </row>
    <row r="2061" spans="1:21" s="30" customFormat="1" ht="15" customHeight="1">
      <c r="A2061" s="37" t="s">
        <v>52</v>
      </c>
      <c r="B2061" s="26" t="s">
        <v>195</v>
      </c>
      <c r="C2061" s="39">
        <v>14</v>
      </c>
      <c r="D2061" s="40" t="s">
        <v>2896</v>
      </c>
      <c r="E2061" s="38" t="s">
        <v>3</v>
      </c>
      <c r="F2061" s="38" t="s">
        <v>11</v>
      </c>
      <c r="G2061" s="32">
        <v>2853703</v>
      </c>
      <c r="H2061" s="32">
        <v>108804</v>
      </c>
      <c r="I2061" s="52">
        <v>0</v>
      </c>
      <c r="J2061" s="35">
        <f>+G2061-H2061+I2061</f>
        <v>2744899</v>
      </c>
      <c r="K2061" s="28">
        <v>0</v>
      </c>
      <c r="L2061" s="32">
        <v>0</v>
      </c>
      <c r="M2061" s="35">
        <f>+J2061+L2061</f>
        <v>2744899</v>
      </c>
      <c r="N2061" s="28" t="s">
        <v>2897</v>
      </c>
      <c r="O2061" s="29" t="s">
        <v>1394</v>
      </c>
      <c r="P2061" s="36">
        <v>44062</v>
      </c>
      <c r="Q2061" s="31">
        <v>28668.35</v>
      </c>
      <c r="R2061" s="33">
        <f>M2061/Q2061</f>
        <v>95.746668364241401</v>
      </c>
    </row>
    <row r="2062" spans="1:21" s="30" customFormat="1" ht="15" customHeight="1">
      <c r="A2062" s="37" t="s">
        <v>2639</v>
      </c>
      <c r="B2062" s="26" t="s">
        <v>2640</v>
      </c>
      <c r="C2062" s="39">
        <v>14</v>
      </c>
      <c r="D2062" s="40" t="s">
        <v>2898</v>
      </c>
      <c r="E2062" s="38" t="s">
        <v>4</v>
      </c>
      <c r="F2062" s="38" t="s">
        <v>11</v>
      </c>
      <c r="G2062" s="32">
        <v>0</v>
      </c>
      <c r="H2062" s="32">
        <v>422081</v>
      </c>
      <c r="I2062" s="52">
        <v>0</v>
      </c>
      <c r="J2062" s="35">
        <f>+G2062-H2062+I2062</f>
        <v>-422081</v>
      </c>
      <c r="K2062" s="28">
        <v>0</v>
      </c>
      <c r="L2062" s="32">
        <v>0</v>
      </c>
      <c r="M2062" s="35">
        <f>+J2062+L2062</f>
        <v>-422081</v>
      </c>
      <c r="N2062" s="28" t="s">
        <v>2883</v>
      </c>
      <c r="O2062" s="29" t="s">
        <v>2884</v>
      </c>
      <c r="P2062" s="36">
        <v>43307</v>
      </c>
      <c r="Q2062" s="31">
        <v>27198.09</v>
      </c>
      <c r="R2062" s="33">
        <f>M2062/Q2062</f>
        <v>-15.518773560937552</v>
      </c>
    </row>
    <row r="2063" spans="1:21" s="30" customFormat="1" ht="15" customHeight="1">
      <c r="A2063" s="37" t="s">
        <v>52</v>
      </c>
      <c r="B2063" s="26" t="s">
        <v>2606</v>
      </c>
      <c r="C2063" s="39">
        <v>14</v>
      </c>
      <c r="D2063" s="40" t="s">
        <v>2899</v>
      </c>
      <c r="E2063" s="38" t="s">
        <v>3</v>
      </c>
      <c r="F2063" s="38" t="s">
        <v>10</v>
      </c>
      <c r="G2063" s="32">
        <v>4811147</v>
      </c>
      <c r="H2063" s="32">
        <v>0</v>
      </c>
      <c r="I2063" s="52">
        <v>0</v>
      </c>
      <c r="J2063" s="35">
        <f>+G2063-H2063+I2063</f>
        <v>4811147</v>
      </c>
      <c r="K2063" s="28">
        <v>0</v>
      </c>
      <c r="L2063" s="32">
        <v>0</v>
      </c>
      <c r="M2063" s="35">
        <f>+J2063+L2063</f>
        <v>4811147</v>
      </c>
      <c r="N2063" s="28" t="s">
        <v>2684</v>
      </c>
      <c r="O2063" s="29" t="s">
        <v>2685</v>
      </c>
      <c r="P2063" s="36">
        <v>42727</v>
      </c>
      <c r="Q2063" s="31">
        <v>26341.19</v>
      </c>
      <c r="R2063" s="33">
        <f>M2063/Q2063</f>
        <v>182.64729118160571</v>
      </c>
    </row>
    <row r="2064" spans="1:21" s="30" customFormat="1" ht="15" customHeight="1">
      <c r="A2064" s="37" t="s">
        <v>688</v>
      </c>
      <c r="B2064" s="26" t="s">
        <v>1728</v>
      </c>
      <c r="C2064" s="39">
        <v>14</v>
      </c>
      <c r="D2064" s="40" t="s">
        <v>2900</v>
      </c>
      <c r="E2064" s="38" t="s">
        <v>4</v>
      </c>
      <c r="F2064" s="38" t="s">
        <v>12</v>
      </c>
      <c r="G2064" s="32">
        <v>0</v>
      </c>
      <c r="H2064" s="32">
        <v>140391</v>
      </c>
      <c r="I2064" s="52">
        <v>0</v>
      </c>
      <c r="J2064" s="35">
        <f>+G2064-H2064+I2064</f>
        <v>-140391</v>
      </c>
      <c r="K2064" s="28">
        <v>0</v>
      </c>
      <c r="L2064" s="32">
        <v>0</v>
      </c>
      <c r="M2064" s="35">
        <f>+J2064+L2064</f>
        <v>-140391</v>
      </c>
      <c r="N2064" s="28" t="s">
        <v>2343</v>
      </c>
      <c r="O2064" s="29" t="s">
        <v>2344</v>
      </c>
      <c r="P2064" s="36">
        <v>42810</v>
      </c>
      <c r="Q2064" s="31">
        <v>26446.36</v>
      </c>
      <c r="R2064" s="33">
        <f>M2064/Q2064</f>
        <v>-5.3085188283000004</v>
      </c>
      <c r="S2064" s="30">
        <v>0</v>
      </c>
      <c r="T2064" s="30">
        <v>1430232</v>
      </c>
      <c r="U2064" s="30">
        <v>1722776</v>
      </c>
    </row>
    <row r="2065" spans="1:18" s="30" customFormat="1" ht="15" customHeight="1">
      <c r="A2065" s="37" t="s">
        <v>627</v>
      </c>
      <c r="B2065" s="26" t="s">
        <v>1895</v>
      </c>
      <c r="C2065" s="39">
        <v>13</v>
      </c>
      <c r="D2065" s="40" t="s">
        <v>2901</v>
      </c>
      <c r="E2065" s="38" t="s">
        <v>3</v>
      </c>
      <c r="F2065" s="38" t="s">
        <v>13</v>
      </c>
      <c r="G2065" s="32">
        <v>0</v>
      </c>
      <c r="H2065" s="32">
        <v>0</v>
      </c>
      <c r="I2065" s="32">
        <v>171324</v>
      </c>
      <c r="J2065" s="35">
        <f>+G2065-H2065+I2065</f>
        <v>171324</v>
      </c>
      <c r="K2065" s="28">
        <v>0</v>
      </c>
      <c r="L2065" s="32">
        <v>0</v>
      </c>
      <c r="M2065" s="35">
        <f>+J2065+L2065</f>
        <v>171324</v>
      </c>
      <c r="N2065" s="28" t="s">
        <v>1898</v>
      </c>
      <c r="O2065" s="29" t="s">
        <v>1899</v>
      </c>
      <c r="P2065" s="36">
        <v>43829</v>
      </c>
      <c r="Q2065" s="31">
        <v>28309.03</v>
      </c>
      <c r="R2065" s="33">
        <f>M2065/Q2065</f>
        <v>6.0519205356029513</v>
      </c>
    </row>
    <row r="2066" spans="1:18" s="30" customFormat="1" ht="15" customHeight="1">
      <c r="A2066" s="37" t="s">
        <v>391</v>
      </c>
      <c r="B2066" s="26" t="s">
        <v>392</v>
      </c>
      <c r="C2066" s="39">
        <v>13</v>
      </c>
      <c r="D2066" s="40" t="s">
        <v>2902</v>
      </c>
      <c r="E2066" s="38" t="s">
        <v>3</v>
      </c>
      <c r="F2066" s="38" t="s">
        <v>12</v>
      </c>
      <c r="G2066" s="32">
        <v>89691767</v>
      </c>
      <c r="H2066" s="32">
        <v>0</v>
      </c>
      <c r="I2066" s="52">
        <v>0</v>
      </c>
      <c r="J2066" s="35">
        <f>+G2066-H2066+I2066</f>
        <v>89691767</v>
      </c>
      <c r="K2066" s="28">
        <v>0</v>
      </c>
      <c r="L2066" s="32">
        <v>0</v>
      </c>
      <c r="M2066" s="35">
        <f>+J2066+L2066</f>
        <v>89691767</v>
      </c>
      <c r="N2066" s="28" t="s">
        <v>2449</v>
      </c>
      <c r="O2066" s="29" t="s">
        <v>2450</v>
      </c>
      <c r="P2066" s="36">
        <v>43427</v>
      </c>
      <c r="Q2066" s="31">
        <v>27507.17</v>
      </c>
      <c r="R2066" s="33">
        <f>M2066/Q2066</f>
        <v>3260.6686547543786</v>
      </c>
    </row>
    <row r="2067" spans="1:18" s="30" customFormat="1" ht="15" customHeight="1">
      <c r="A2067" s="37" t="s">
        <v>166</v>
      </c>
      <c r="B2067" s="26" t="s">
        <v>167</v>
      </c>
      <c r="C2067" s="39" t="s">
        <v>2903</v>
      </c>
      <c r="D2067" s="40" t="s">
        <v>2904</v>
      </c>
      <c r="E2067" s="38" t="s">
        <v>3</v>
      </c>
      <c r="F2067" s="38" t="s">
        <v>10</v>
      </c>
      <c r="G2067" s="32">
        <v>116832131</v>
      </c>
      <c r="H2067" s="32">
        <v>0</v>
      </c>
      <c r="I2067" s="32">
        <v>41185810</v>
      </c>
      <c r="J2067" s="35">
        <f>+G2067-H2067+I2067</f>
        <v>158017941</v>
      </c>
      <c r="K2067" s="27">
        <v>45</v>
      </c>
      <c r="L2067" s="32">
        <v>0</v>
      </c>
      <c r="M2067" s="35">
        <f>+J2067+L2067</f>
        <v>158017941</v>
      </c>
      <c r="N2067" s="28" t="s">
        <v>171</v>
      </c>
      <c r="O2067" s="29" t="s">
        <v>642</v>
      </c>
      <c r="P2067" s="36">
        <v>44341</v>
      </c>
      <c r="Q2067" s="31">
        <v>29513.759999999998</v>
      </c>
      <c r="R2067" s="33">
        <v>5354</v>
      </c>
    </row>
    <row r="2068" spans="1:18" s="30" customFormat="1" ht="15" customHeight="1">
      <c r="A2068" s="37" t="s">
        <v>688</v>
      </c>
      <c r="B2068" s="26" t="s">
        <v>736</v>
      </c>
      <c r="C2068" s="39">
        <v>13</v>
      </c>
      <c r="D2068" s="40" t="s">
        <v>2905</v>
      </c>
      <c r="E2068" s="38" t="s">
        <v>3</v>
      </c>
      <c r="F2068" s="38" t="s">
        <v>12</v>
      </c>
      <c r="G2068" s="32">
        <v>4861483.1410950003</v>
      </c>
      <c r="H2068" s="32">
        <v>0</v>
      </c>
      <c r="I2068" s="32">
        <v>4194633.0824999996</v>
      </c>
      <c r="J2068" s="35">
        <f>+G2068-H2068+I2068</f>
        <v>9056116.2235950008</v>
      </c>
      <c r="K2068" s="28">
        <v>0</v>
      </c>
      <c r="L2068" s="32">
        <v>0</v>
      </c>
      <c r="M2068" s="35">
        <f>+J2068+L2068</f>
        <v>9056116.2235950008</v>
      </c>
      <c r="N2068" s="28" t="s">
        <v>2569</v>
      </c>
      <c r="O2068" s="29" t="s">
        <v>2570</v>
      </c>
      <c r="P2068" s="36">
        <v>43427</v>
      </c>
      <c r="Q2068" s="31">
        <v>27507.17</v>
      </c>
      <c r="R2068" s="33">
        <f>M2068/Q2068</f>
        <v>329.22747863902396</v>
      </c>
    </row>
    <row r="2069" spans="1:18" s="30" customFormat="1" ht="15" customHeight="1">
      <c r="A2069" s="37" t="s">
        <v>293</v>
      </c>
      <c r="B2069" s="26" t="s">
        <v>294</v>
      </c>
      <c r="C2069" s="39">
        <v>13</v>
      </c>
      <c r="D2069" s="40" t="s">
        <v>2906</v>
      </c>
      <c r="E2069" s="38" t="s">
        <v>3</v>
      </c>
      <c r="F2069" s="38" t="s">
        <v>10</v>
      </c>
      <c r="G2069" s="32">
        <v>5454036</v>
      </c>
      <c r="H2069" s="32">
        <v>4512931</v>
      </c>
      <c r="I2069" s="52">
        <v>0</v>
      </c>
      <c r="J2069" s="35">
        <f>+G2069-H2069+I2069</f>
        <v>941105</v>
      </c>
      <c r="K2069" s="28">
        <v>0</v>
      </c>
      <c r="L2069" s="32">
        <v>0</v>
      </c>
      <c r="M2069" s="35">
        <f>+J2069+L2069</f>
        <v>941105</v>
      </c>
      <c r="N2069" s="28" t="s">
        <v>1830</v>
      </c>
      <c r="O2069" s="29" t="s">
        <v>1831</v>
      </c>
      <c r="P2069" s="36">
        <v>43878</v>
      </c>
      <c r="Q2069" s="31">
        <v>28393.3</v>
      </c>
      <c r="R2069" s="33">
        <f>M2069/Q2069</f>
        <v>33.145319494387763</v>
      </c>
    </row>
    <row r="2070" spans="1:18" s="30" customFormat="1" ht="15" customHeight="1">
      <c r="A2070" s="37" t="s">
        <v>874</v>
      </c>
      <c r="B2070" s="26" t="s">
        <v>875</v>
      </c>
      <c r="C2070" s="39">
        <v>13</v>
      </c>
      <c r="D2070" s="40" t="s">
        <v>2907</v>
      </c>
      <c r="E2070" s="38" t="s">
        <v>4</v>
      </c>
      <c r="F2070" s="38" t="s">
        <v>10</v>
      </c>
      <c r="G2070" s="32">
        <v>957300</v>
      </c>
      <c r="H2070" s="32">
        <v>693326</v>
      </c>
      <c r="I2070" s="52">
        <v>0</v>
      </c>
      <c r="J2070" s="35">
        <f>+G2070-H2070+I2070</f>
        <v>263974</v>
      </c>
      <c r="K2070" s="28">
        <v>0</v>
      </c>
      <c r="L2070" s="32">
        <v>0</v>
      </c>
      <c r="M2070" s="35">
        <f>+J2070+L2070</f>
        <v>263974</v>
      </c>
      <c r="N2070" s="28" t="s">
        <v>2908</v>
      </c>
      <c r="O2070" s="29" t="s">
        <v>2909</v>
      </c>
      <c r="P2070" s="36">
        <v>43788</v>
      </c>
      <c r="Q2070" s="31">
        <v>28139.99</v>
      </c>
      <c r="R2070" s="33">
        <f>M2070/Q2070</f>
        <v>9.3807424949333669</v>
      </c>
    </row>
    <row r="2071" spans="1:18" s="30" customFormat="1" ht="15" customHeight="1">
      <c r="A2071" s="37" t="s">
        <v>356</v>
      </c>
      <c r="B2071" s="26" t="s">
        <v>1540</v>
      </c>
      <c r="C2071" s="39">
        <v>13</v>
      </c>
      <c r="D2071" s="40" t="s">
        <v>2910</v>
      </c>
      <c r="E2071" s="38" t="s">
        <v>3</v>
      </c>
      <c r="F2071" s="38" t="s">
        <v>13</v>
      </c>
      <c r="G2071" s="32">
        <v>928639.79925724247</v>
      </c>
      <c r="H2071" s="32">
        <v>0</v>
      </c>
      <c r="I2071" s="52">
        <v>0</v>
      </c>
      <c r="J2071" s="35">
        <f>+G2071-H2071+I2071</f>
        <v>928639.79925724247</v>
      </c>
      <c r="K2071" s="28">
        <v>0</v>
      </c>
      <c r="L2071" s="32">
        <v>0</v>
      </c>
      <c r="M2071" s="35">
        <f>+J2071+L2071</f>
        <v>928639.79925724247</v>
      </c>
      <c r="N2071" s="28" t="s">
        <v>2911</v>
      </c>
      <c r="O2071" s="29" t="s">
        <v>2912</v>
      </c>
      <c r="P2071" s="36">
        <v>42551</v>
      </c>
      <c r="Q2071" s="31">
        <v>26052.07</v>
      </c>
      <c r="R2071" s="33">
        <f>M2071/Q2071</f>
        <v>35.645528330656354</v>
      </c>
    </row>
    <row r="2072" spans="1:18" s="30" customFormat="1" ht="15" customHeight="1">
      <c r="A2072" s="37" t="s">
        <v>321</v>
      </c>
      <c r="B2072" s="26" t="s">
        <v>322</v>
      </c>
      <c r="C2072" s="39">
        <v>4</v>
      </c>
      <c r="D2072" s="40" t="s">
        <v>2913</v>
      </c>
      <c r="E2072" s="38" t="s">
        <v>4</v>
      </c>
      <c r="F2072" s="38" t="s">
        <v>10</v>
      </c>
      <c r="G2072" s="32">
        <v>121694630</v>
      </c>
      <c r="H2072" s="32">
        <v>0</v>
      </c>
      <c r="I2072" s="52">
        <v>0</v>
      </c>
      <c r="J2072" s="35">
        <f>+G2072-H2072+I2072</f>
        <v>121694630</v>
      </c>
      <c r="K2072" s="27" t="s">
        <v>170</v>
      </c>
      <c r="L2072" s="32">
        <v>0</v>
      </c>
      <c r="M2072" s="35">
        <f>+J2072+L2072</f>
        <v>121694630</v>
      </c>
      <c r="N2072" s="28" t="s">
        <v>324</v>
      </c>
      <c r="O2072" s="29" t="s">
        <v>325</v>
      </c>
      <c r="P2072" s="36">
        <v>44508</v>
      </c>
      <c r="Q2072" s="31">
        <v>30474.19</v>
      </c>
      <c r="R2072" s="33">
        <v>3993</v>
      </c>
    </row>
    <row r="2073" spans="1:18" s="30" customFormat="1" ht="15" customHeight="1">
      <c r="A2073" s="37" t="s">
        <v>356</v>
      </c>
      <c r="B2073" s="26" t="s">
        <v>1540</v>
      </c>
      <c r="C2073" s="39">
        <v>147</v>
      </c>
      <c r="D2073" s="40" t="s">
        <v>2914</v>
      </c>
      <c r="E2073" s="38" t="s">
        <v>3</v>
      </c>
      <c r="F2073" s="38" t="s">
        <v>11</v>
      </c>
      <c r="G2073" s="32">
        <v>126340144</v>
      </c>
      <c r="H2073" s="32">
        <v>1405704</v>
      </c>
      <c r="I2073" s="32">
        <v>168198932</v>
      </c>
      <c r="J2073" s="35">
        <f>+G2073-H2073+I2073</f>
        <v>293133372</v>
      </c>
      <c r="K2073" s="27">
        <v>130</v>
      </c>
      <c r="L2073" s="32">
        <v>0</v>
      </c>
      <c r="M2073" s="35">
        <f>+J2073+L2073</f>
        <v>293133372</v>
      </c>
      <c r="N2073" s="28" t="s">
        <v>2915</v>
      </c>
      <c r="O2073" s="29" t="s">
        <v>2916</v>
      </c>
      <c r="P2073" s="36">
        <v>43387</v>
      </c>
      <c r="Q2073" s="31">
        <v>27387.08</v>
      </c>
      <c r="R2073" s="33">
        <f>M2073/Q2073</f>
        <v>10703.345227019456</v>
      </c>
    </row>
    <row r="2074" spans="1:18" ht="15" customHeight="1">
      <c r="A2074" s="37" t="s">
        <v>2639</v>
      </c>
      <c r="B2074" s="26" t="s">
        <v>2640</v>
      </c>
      <c r="C2074" s="39">
        <v>13</v>
      </c>
      <c r="D2074" s="40" t="s">
        <v>2917</v>
      </c>
      <c r="E2074" s="38" t="s">
        <v>4</v>
      </c>
      <c r="F2074" s="38" t="s">
        <v>15</v>
      </c>
      <c r="G2074" s="32">
        <v>0</v>
      </c>
      <c r="H2074" s="32">
        <v>0</v>
      </c>
      <c r="I2074" s="32">
        <v>11109171</v>
      </c>
      <c r="J2074" s="35">
        <f>+G2074-H2074+I2074</f>
        <v>11109171</v>
      </c>
      <c r="K2074" s="28">
        <v>0</v>
      </c>
      <c r="L2074" s="32">
        <v>0</v>
      </c>
      <c r="M2074" s="35">
        <f>+J2074+L2074</f>
        <v>11109171</v>
      </c>
      <c r="N2074" s="28" t="s">
        <v>2883</v>
      </c>
      <c r="O2074" s="29" t="s">
        <v>2884</v>
      </c>
      <c r="P2074" s="36">
        <v>43307</v>
      </c>
      <c r="Q2074" s="31">
        <v>27198.09</v>
      </c>
      <c r="R2074" s="33">
        <f>M2074/Q2074</f>
        <v>408.45408629797168</v>
      </c>
    </row>
    <row r="2075" spans="1:18" ht="15" customHeight="1">
      <c r="A2075" s="46" t="s">
        <v>52</v>
      </c>
      <c r="B2075" s="47" t="s">
        <v>2606</v>
      </c>
      <c r="C2075" s="65">
        <v>13</v>
      </c>
      <c r="D2075" s="51" t="s">
        <v>2918</v>
      </c>
      <c r="E2075" s="38" t="s">
        <v>3</v>
      </c>
      <c r="F2075" s="48" t="s">
        <v>16</v>
      </c>
      <c r="G2075" s="52">
        <v>1081592</v>
      </c>
      <c r="H2075" s="52">
        <v>0</v>
      </c>
      <c r="I2075" s="52">
        <v>4645065</v>
      </c>
      <c r="J2075" s="53">
        <f>+G2075-H2075+I2075</f>
        <v>5726657</v>
      </c>
      <c r="K2075" s="70">
        <v>0</v>
      </c>
      <c r="L2075" s="52">
        <v>0</v>
      </c>
      <c r="M2075" s="53">
        <f>+J2075+L2075</f>
        <v>5726657</v>
      </c>
      <c r="N2075" s="55" t="s">
        <v>2608</v>
      </c>
      <c r="O2075" s="56" t="s">
        <v>2609</v>
      </c>
      <c r="P2075" s="56">
        <v>44488</v>
      </c>
      <c r="Q2075" s="49">
        <v>30240.57</v>
      </c>
      <c r="R2075" s="57">
        <f>M2075/Q2075</f>
        <v>189.37000856796018</v>
      </c>
    </row>
    <row r="2076" spans="1:18" ht="15" customHeight="1">
      <c r="A2076" s="37" t="s">
        <v>688</v>
      </c>
      <c r="B2076" s="26" t="s">
        <v>1728</v>
      </c>
      <c r="C2076" s="39">
        <v>13</v>
      </c>
      <c r="D2076" s="40" t="s">
        <v>2919</v>
      </c>
      <c r="E2076" s="38" t="s">
        <v>4</v>
      </c>
      <c r="F2076" s="38" t="s">
        <v>20</v>
      </c>
      <c r="G2076" s="32">
        <v>0</v>
      </c>
      <c r="H2076" s="32">
        <v>20339</v>
      </c>
      <c r="I2076" s="52">
        <v>0</v>
      </c>
      <c r="J2076" s="35">
        <f>+G2076-H2076+I2076</f>
        <v>-20339</v>
      </c>
      <c r="K2076" s="28">
        <v>0</v>
      </c>
      <c r="L2076" s="32">
        <v>0</v>
      </c>
      <c r="M2076" s="35">
        <f>+J2076+L2076</f>
        <v>-20339</v>
      </c>
      <c r="N2076" s="28" t="s">
        <v>2343</v>
      </c>
      <c r="O2076" s="29" t="s">
        <v>2344</v>
      </c>
      <c r="P2076" s="36">
        <v>42810</v>
      </c>
      <c r="Q2076" s="31">
        <v>26446.36</v>
      </c>
      <c r="R2076" s="33">
        <f>M2076/Q2076</f>
        <v>-0.76906613991490702</v>
      </c>
    </row>
    <row r="2077" spans="1:18" ht="15" customHeight="1">
      <c r="A2077" s="37" t="s">
        <v>627</v>
      </c>
      <c r="B2077" s="26" t="s">
        <v>628</v>
      </c>
      <c r="C2077" s="39">
        <v>12</v>
      </c>
      <c r="D2077" s="40" t="s">
        <v>2920</v>
      </c>
      <c r="E2077" s="38" t="s">
        <v>3</v>
      </c>
      <c r="F2077" s="38" t="s">
        <v>11</v>
      </c>
      <c r="G2077" s="32">
        <v>689613</v>
      </c>
      <c r="H2077" s="32">
        <v>544594</v>
      </c>
      <c r="I2077" s="32">
        <v>8041330.9804800004</v>
      </c>
      <c r="J2077" s="35">
        <f>+G2077-H2077+I2077</f>
        <v>8186349.9804800004</v>
      </c>
      <c r="K2077" s="28">
        <v>0</v>
      </c>
      <c r="L2077" s="32">
        <v>0</v>
      </c>
      <c r="M2077" s="35">
        <f>+J2077+L2077</f>
        <v>8186349.9804800004</v>
      </c>
      <c r="N2077" s="28" t="s">
        <v>2105</v>
      </c>
      <c r="O2077" s="29" t="s">
        <v>2106</v>
      </c>
      <c r="P2077" s="36">
        <v>43690</v>
      </c>
      <c r="Q2077" s="31">
        <v>27960.63</v>
      </c>
      <c r="R2077" s="33">
        <f>M2077/Q2077</f>
        <v>292.78131359987242</v>
      </c>
    </row>
    <row r="2078" spans="1:18" ht="15" customHeight="1">
      <c r="A2078" s="37" t="s">
        <v>627</v>
      </c>
      <c r="B2078" s="26" t="s">
        <v>1895</v>
      </c>
      <c r="C2078" s="39">
        <v>12</v>
      </c>
      <c r="D2078" s="40" t="s">
        <v>2921</v>
      </c>
      <c r="E2078" s="38" t="s">
        <v>3</v>
      </c>
      <c r="F2078" s="38" t="s">
        <v>21</v>
      </c>
      <c r="G2078" s="32">
        <v>3044398</v>
      </c>
      <c r="H2078" s="32">
        <v>764416</v>
      </c>
      <c r="I2078" s="32">
        <v>161753</v>
      </c>
      <c r="J2078" s="35">
        <f>+G2078-H2078+I2078</f>
        <v>2441735</v>
      </c>
      <c r="K2078" s="28">
        <v>0</v>
      </c>
      <c r="L2078" s="32">
        <v>0</v>
      </c>
      <c r="M2078" s="35">
        <f>+J2078+L2078</f>
        <v>2441735</v>
      </c>
      <c r="N2078" s="28" t="s">
        <v>1898</v>
      </c>
      <c r="O2078" s="29" t="s">
        <v>1899</v>
      </c>
      <c r="P2078" s="36">
        <v>43829</v>
      </c>
      <c r="Q2078" s="31">
        <v>28309.03</v>
      </c>
      <c r="R2078" s="33">
        <f>M2078/Q2078</f>
        <v>86.252867018050424</v>
      </c>
    </row>
    <row r="2079" spans="1:18" ht="15" customHeight="1">
      <c r="A2079" s="37" t="s">
        <v>391</v>
      </c>
      <c r="B2079" s="26" t="s">
        <v>392</v>
      </c>
      <c r="C2079" s="39">
        <v>12</v>
      </c>
      <c r="D2079" s="40" t="s">
        <v>2922</v>
      </c>
      <c r="E2079" s="38" t="s">
        <v>3</v>
      </c>
      <c r="F2079" s="38" t="s">
        <v>15</v>
      </c>
      <c r="G2079" s="32">
        <v>0</v>
      </c>
      <c r="H2079" s="32">
        <v>0</v>
      </c>
      <c r="I2079" s="32">
        <v>1741580</v>
      </c>
      <c r="J2079" s="35">
        <f>+G2079-H2079+I2079</f>
        <v>1741580</v>
      </c>
      <c r="K2079" s="28">
        <v>0</v>
      </c>
      <c r="L2079" s="32">
        <v>0</v>
      </c>
      <c r="M2079" s="35">
        <f>+J2079+L2079</f>
        <v>1741580</v>
      </c>
      <c r="N2079" s="28" t="s">
        <v>2792</v>
      </c>
      <c r="O2079" s="29" t="s">
        <v>2793</v>
      </c>
      <c r="P2079" s="36">
        <v>43122</v>
      </c>
      <c r="Q2079" s="31">
        <v>26817.16</v>
      </c>
      <c r="R2079" s="33">
        <f>M2079/Q2079</f>
        <v>64.942745615121069</v>
      </c>
    </row>
    <row r="2080" spans="1:18" ht="15" customHeight="1">
      <c r="A2080" s="37" t="s">
        <v>39</v>
      </c>
      <c r="B2080" s="26" t="s">
        <v>2428</v>
      </c>
      <c r="C2080" s="39">
        <v>74</v>
      </c>
      <c r="D2080" s="40" t="s">
        <v>2923</v>
      </c>
      <c r="E2080" s="38" t="s">
        <v>3</v>
      </c>
      <c r="F2080" s="38" t="s">
        <v>10</v>
      </c>
      <c r="G2080" s="32">
        <v>137289197.43000001</v>
      </c>
      <c r="H2080" s="32">
        <v>0</v>
      </c>
      <c r="I2080" s="52">
        <v>0</v>
      </c>
      <c r="J2080" s="35">
        <f>+G2080-H2080+I2080</f>
        <v>137289197.43000001</v>
      </c>
      <c r="K2080" s="27">
        <v>11</v>
      </c>
      <c r="L2080" s="32">
        <v>150484037</v>
      </c>
      <c r="M2080" s="35">
        <f>+J2080+L2080</f>
        <v>287773234.43000001</v>
      </c>
      <c r="N2080" s="28" t="s">
        <v>2381</v>
      </c>
      <c r="O2080" s="29" t="s">
        <v>2407</v>
      </c>
      <c r="P2080" s="36">
        <v>43277</v>
      </c>
      <c r="Q2080" s="31">
        <v>27147.919999999998</v>
      </c>
      <c r="R2080" s="33">
        <f>M2080/Q2080</f>
        <v>10600.194579547901</v>
      </c>
    </row>
    <row r="2081" spans="1:18" ht="15" customHeight="1">
      <c r="A2081" s="37" t="s">
        <v>688</v>
      </c>
      <c r="B2081" s="26" t="s">
        <v>736</v>
      </c>
      <c r="C2081" s="39">
        <v>12</v>
      </c>
      <c r="D2081" s="40" t="s">
        <v>2924</v>
      </c>
      <c r="E2081" s="38" t="s">
        <v>3</v>
      </c>
      <c r="F2081" s="38" t="s">
        <v>21</v>
      </c>
      <c r="G2081" s="32">
        <v>8582763.4458300006</v>
      </c>
      <c r="H2081" s="32">
        <v>0</v>
      </c>
      <c r="I2081" s="52">
        <v>0</v>
      </c>
      <c r="J2081" s="35">
        <f>+G2081-H2081+I2081</f>
        <v>8582763.4458300006</v>
      </c>
      <c r="K2081" s="28">
        <v>0</v>
      </c>
      <c r="L2081" s="32">
        <v>0</v>
      </c>
      <c r="M2081" s="35">
        <f>+J2081+L2081</f>
        <v>8582763.4458300006</v>
      </c>
      <c r="N2081" s="28" t="s">
        <v>2569</v>
      </c>
      <c r="O2081" s="29" t="s">
        <v>2570</v>
      </c>
      <c r="P2081" s="36">
        <v>43427</v>
      </c>
      <c r="Q2081" s="31">
        <v>27507.17</v>
      </c>
      <c r="R2081" s="33">
        <f>M2081/Q2081</f>
        <v>312.01913704063344</v>
      </c>
    </row>
    <row r="2082" spans="1:18" ht="15" customHeight="1">
      <c r="A2082" s="37" t="s">
        <v>184</v>
      </c>
      <c r="B2082" s="26" t="s">
        <v>185</v>
      </c>
      <c r="C2082" s="39">
        <v>1</v>
      </c>
      <c r="D2082" s="40" t="s">
        <v>2925</v>
      </c>
      <c r="E2082" s="38" t="s">
        <v>6</v>
      </c>
      <c r="F2082" s="38" t="s">
        <v>13</v>
      </c>
      <c r="G2082" s="32">
        <v>145745520</v>
      </c>
      <c r="H2082" s="32">
        <v>99973301</v>
      </c>
      <c r="I2082" s="32">
        <v>55303701</v>
      </c>
      <c r="J2082" s="35">
        <f>+G2082-H2082+I2082</f>
        <v>101075920</v>
      </c>
      <c r="K2082" s="27">
        <v>39</v>
      </c>
      <c r="L2082" s="32">
        <v>0</v>
      </c>
      <c r="M2082" s="35">
        <f>+J2082+L2082</f>
        <v>101075920</v>
      </c>
      <c r="N2082" s="28" t="s">
        <v>187</v>
      </c>
      <c r="O2082" s="29" t="s">
        <v>188</v>
      </c>
      <c r="P2082" s="36">
        <v>44166</v>
      </c>
      <c r="Q2082" s="31">
        <v>29036.92</v>
      </c>
      <c r="R2082" s="33">
        <f>M2082/Q2082</f>
        <v>3480.9449487066813</v>
      </c>
    </row>
    <row r="2083" spans="1:18" ht="15" customHeight="1">
      <c r="A2083" s="37" t="s">
        <v>293</v>
      </c>
      <c r="B2083" s="26" t="s">
        <v>294</v>
      </c>
      <c r="C2083" s="39">
        <v>12</v>
      </c>
      <c r="D2083" s="40" t="s">
        <v>2926</v>
      </c>
      <c r="E2083" s="38" t="s">
        <v>4</v>
      </c>
      <c r="F2083" s="38" t="s">
        <v>16</v>
      </c>
      <c r="G2083" s="32">
        <v>0</v>
      </c>
      <c r="H2083" s="32">
        <v>106587198.588443</v>
      </c>
      <c r="I2083" s="52">
        <v>0</v>
      </c>
      <c r="J2083" s="35">
        <f>+G2083-H2083+I2083</f>
        <v>-106587198.588443</v>
      </c>
      <c r="K2083" s="28">
        <v>0</v>
      </c>
      <c r="L2083" s="32">
        <v>0</v>
      </c>
      <c r="M2083" s="35">
        <f>+J2083+L2083</f>
        <v>-106587198.588443</v>
      </c>
      <c r="N2083" s="28" t="s">
        <v>2927</v>
      </c>
      <c r="O2083" s="29" t="s">
        <v>2928</v>
      </c>
      <c r="P2083" s="36">
        <v>43518</v>
      </c>
      <c r="Q2083" s="31">
        <v>27551</v>
      </c>
      <c r="R2083" s="33">
        <f>M2083/Q2083</f>
        <v>-3868.7234070793438</v>
      </c>
    </row>
    <row r="2084" spans="1:18" ht="15" customHeight="1">
      <c r="A2084" s="37" t="s">
        <v>874</v>
      </c>
      <c r="B2084" s="26" t="s">
        <v>875</v>
      </c>
      <c r="C2084" s="39">
        <v>12</v>
      </c>
      <c r="D2084" s="40" t="s">
        <v>2929</v>
      </c>
      <c r="E2084" s="38" t="s">
        <v>3</v>
      </c>
      <c r="F2084" s="38" t="s">
        <v>10</v>
      </c>
      <c r="G2084" s="32">
        <v>2463540</v>
      </c>
      <c r="H2084" s="32"/>
      <c r="I2084" s="32"/>
      <c r="J2084" s="35">
        <f>+G2084-H2084+I2084</f>
        <v>2463540</v>
      </c>
      <c r="K2084" s="28">
        <v>0</v>
      </c>
      <c r="L2084" s="32">
        <v>0</v>
      </c>
      <c r="M2084" s="35">
        <f>+J2084+L2084</f>
        <v>2463540</v>
      </c>
      <c r="N2084" s="28" t="s">
        <v>1179</v>
      </c>
      <c r="O2084" s="29" t="s">
        <v>1180</v>
      </c>
      <c r="P2084" s="36">
        <v>44454</v>
      </c>
      <c r="Q2084" s="31">
        <v>30028</v>
      </c>
      <c r="R2084" s="33">
        <v>82.04</v>
      </c>
    </row>
    <row r="2085" spans="1:18" ht="15" customHeight="1">
      <c r="A2085" s="37" t="s">
        <v>356</v>
      </c>
      <c r="B2085" s="26" t="s">
        <v>1841</v>
      </c>
      <c r="C2085" s="39">
        <v>12</v>
      </c>
      <c r="D2085" s="40" t="s">
        <v>2930</v>
      </c>
      <c r="E2085" s="38" t="s">
        <v>4</v>
      </c>
      <c r="F2085" s="38" t="s">
        <v>10</v>
      </c>
      <c r="G2085" s="32">
        <v>2457947</v>
      </c>
      <c r="H2085" s="32">
        <v>16511769</v>
      </c>
      <c r="I2085" s="32">
        <v>8925766</v>
      </c>
      <c r="J2085" s="35">
        <f>+G2085-H2085+I2085</f>
        <v>-5128056</v>
      </c>
      <c r="K2085" s="28">
        <v>0</v>
      </c>
      <c r="L2085" s="32">
        <v>0</v>
      </c>
      <c r="M2085" s="35">
        <f>+J2085+L2085</f>
        <v>-5128056</v>
      </c>
      <c r="N2085" s="28" t="s">
        <v>2797</v>
      </c>
      <c r="O2085" s="29" t="s">
        <v>2798</v>
      </c>
      <c r="P2085" s="36">
        <v>43844</v>
      </c>
      <c r="Q2085" s="31">
        <v>28322.73</v>
      </c>
      <c r="R2085" s="33">
        <f>M2085/Q2085</f>
        <v>-181.05797004737892</v>
      </c>
    </row>
    <row r="2086" spans="1:18" ht="15" customHeight="1">
      <c r="A2086" s="37" t="s">
        <v>356</v>
      </c>
      <c r="B2086" s="26" t="s">
        <v>1540</v>
      </c>
      <c r="C2086" s="39">
        <v>12</v>
      </c>
      <c r="D2086" s="40" t="s">
        <v>2931</v>
      </c>
      <c r="E2086" s="38" t="s">
        <v>3</v>
      </c>
      <c r="F2086" s="38" t="s">
        <v>13</v>
      </c>
      <c r="G2086" s="32">
        <v>1694479.8220240842</v>
      </c>
      <c r="H2086" s="32">
        <v>0</v>
      </c>
      <c r="I2086" s="52">
        <v>0</v>
      </c>
      <c r="J2086" s="35">
        <f>+G2086-H2086+I2086</f>
        <v>1694479.8220240842</v>
      </c>
      <c r="K2086" s="28">
        <v>0</v>
      </c>
      <c r="L2086" s="32">
        <v>0</v>
      </c>
      <c r="M2086" s="35">
        <f>+J2086+L2086</f>
        <v>1694479.8220240842</v>
      </c>
      <c r="N2086" s="28" t="s">
        <v>2911</v>
      </c>
      <c r="O2086" s="29" t="s">
        <v>2912</v>
      </c>
      <c r="P2086" s="36">
        <v>42551</v>
      </c>
      <c r="Q2086" s="31">
        <v>26052.07</v>
      </c>
      <c r="R2086" s="33">
        <f>M2086/Q2086</f>
        <v>65.042041650589923</v>
      </c>
    </row>
    <row r="2087" spans="1:18" ht="15" customHeight="1">
      <c r="A2087" s="37" t="s">
        <v>39</v>
      </c>
      <c r="B2087" s="26" t="s">
        <v>1658</v>
      </c>
      <c r="C2087" s="39">
        <v>12</v>
      </c>
      <c r="D2087" s="40" t="s">
        <v>2932</v>
      </c>
      <c r="E2087" s="38" t="s">
        <v>4</v>
      </c>
      <c r="F2087" s="38" t="s">
        <v>10</v>
      </c>
      <c r="G2087" s="32">
        <v>34585570</v>
      </c>
      <c r="H2087" s="32">
        <v>11974112</v>
      </c>
      <c r="I2087" s="32">
        <v>19925186.260000002</v>
      </c>
      <c r="J2087" s="35">
        <f>+G2087-H2087+I2087</f>
        <v>42536644.260000005</v>
      </c>
      <c r="K2087" s="28">
        <v>0</v>
      </c>
      <c r="L2087" s="32">
        <v>0</v>
      </c>
      <c r="M2087" s="35">
        <f>+J2087+L2087</f>
        <v>42536644.260000005</v>
      </c>
      <c r="N2087" s="28" t="s">
        <v>2430</v>
      </c>
      <c r="O2087" s="29" t="s">
        <v>2431</v>
      </c>
      <c r="P2087" s="36">
        <v>43133</v>
      </c>
      <c r="Q2087" s="31">
        <v>26826.67</v>
      </c>
      <c r="R2087" s="33">
        <f>M2087/Q2087</f>
        <v>1585.6102997502117</v>
      </c>
    </row>
    <row r="2088" spans="1:18" ht="15" customHeight="1">
      <c r="A2088" s="37" t="s">
        <v>52</v>
      </c>
      <c r="B2088" s="26" t="s">
        <v>555</v>
      </c>
      <c r="C2088" s="65">
        <v>12</v>
      </c>
      <c r="D2088" s="51" t="s">
        <v>2933</v>
      </c>
      <c r="E2088" s="38" t="s">
        <v>3</v>
      </c>
      <c r="F2088" s="38" t="s">
        <v>12</v>
      </c>
      <c r="G2088" s="52">
        <v>474617</v>
      </c>
      <c r="H2088" s="52">
        <v>0</v>
      </c>
      <c r="I2088" s="52">
        <v>0</v>
      </c>
      <c r="J2088" s="53">
        <f>+G2088-H2088+I2088</f>
        <v>474617</v>
      </c>
      <c r="K2088" s="28">
        <v>0</v>
      </c>
      <c r="L2088" s="32">
        <v>0</v>
      </c>
      <c r="M2088" s="53">
        <f>+J2088+L2088</f>
        <v>474617</v>
      </c>
      <c r="N2088" s="55" t="s">
        <v>1160</v>
      </c>
      <c r="O2088" s="29" t="s">
        <v>1161</v>
      </c>
      <c r="P2088" s="36">
        <v>42689</v>
      </c>
      <c r="Q2088" s="49">
        <v>26287.25</v>
      </c>
      <c r="R2088" s="33">
        <f>M2088/Q2088</f>
        <v>18.05502667643059</v>
      </c>
    </row>
    <row r="2089" spans="1:18" ht="15" customHeight="1">
      <c r="A2089" s="37" t="s">
        <v>2639</v>
      </c>
      <c r="B2089" s="26" t="s">
        <v>2640</v>
      </c>
      <c r="C2089" s="39">
        <v>12</v>
      </c>
      <c r="D2089" s="40" t="s">
        <v>2934</v>
      </c>
      <c r="E2089" s="38" t="s">
        <v>4</v>
      </c>
      <c r="F2089" s="38" t="s">
        <v>11</v>
      </c>
      <c r="G2089" s="32">
        <v>1496947</v>
      </c>
      <c r="H2089" s="32">
        <v>0</v>
      </c>
      <c r="I2089" s="32">
        <v>3472938</v>
      </c>
      <c r="J2089" s="35">
        <f>+G2089-H2089+I2089</f>
        <v>4969885</v>
      </c>
      <c r="K2089" s="28">
        <v>0</v>
      </c>
      <c r="L2089" s="32">
        <v>0</v>
      </c>
      <c r="M2089" s="35">
        <f>+J2089+L2089</f>
        <v>4969885</v>
      </c>
      <c r="N2089" s="28" t="s">
        <v>2883</v>
      </c>
      <c r="O2089" s="29" t="s">
        <v>2884</v>
      </c>
      <c r="P2089" s="36">
        <v>43307</v>
      </c>
      <c r="Q2089" s="31">
        <v>27198.09</v>
      </c>
      <c r="R2089" s="33">
        <f>M2089/Q2089</f>
        <v>182.72919164544274</v>
      </c>
    </row>
    <row r="2090" spans="1:18" ht="15" customHeight="1">
      <c r="A2090" s="46" t="s">
        <v>52</v>
      </c>
      <c r="B2090" s="47" t="s">
        <v>2606</v>
      </c>
      <c r="C2090" s="65">
        <v>12</v>
      </c>
      <c r="D2090" s="51" t="s">
        <v>2935</v>
      </c>
      <c r="E2090" s="38" t="s">
        <v>3</v>
      </c>
      <c r="F2090" s="38" t="s">
        <v>18</v>
      </c>
      <c r="G2090" s="52">
        <v>0</v>
      </c>
      <c r="H2090" s="52">
        <v>0</v>
      </c>
      <c r="I2090" s="52">
        <v>2974992</v>
      </c>
      <c r="J2090" s="53">
        <f>+G2090-H2090+I2090</f>
        <v>2974992</v>
      </c>
      <c r="K2090" s="70">
        <v>0</v>
      </c>
      <c r="L2090" s="52">
        <v>0</v>
      </c>
      <c r="M2090" s="53">
        <f>+J2090+L2090</f>
        <v>2974992</v>
      </c>
      <c r="N2090" s="55" t="s">
        <v>2608</v>
      </c>
      <c r="O2090" s="56" t="s">
        <v>2609</v>
      </c>
      <c r="P2090" s="56">
        <v>44488</v>
      </c>
      <c r="Q2090" s="49">
        <v>30240.57</v>
      </c>
      <c r="R2090" s="57">
        <f>M2090/Q2090</f>
        <v>98.377510741365001</v>
      </c>
    </row>
    <row r="2091" spans="1:18" ht="15" customHeight="1">
      <c r="A2091" s="37" t="s">
        <v>52</v>
      </c>
      <c r="B2091" s="26" t="s">
        <v>2606</v>
      </c>
      <c r="C2091" s="39">
        <v>12</v>
      </c>
      <c r="D2091" s="40" t="s">
        <v>2936</v>
      </c>
      <c r="E2091" s="38" t="s">
        <v>4</v>
      </c>
      <c r="F2091" s="38" t="s">
        <v>11</v>
      </c>
      <c r="G2091" s="32">
        <v>76475</v>
      </c>
      <c r="H2091" s="32">
        <v>-5434645</v>
      </c>
      <c r="I2091" s="32">
        <v>32953933</v>
      </c>
      <c r="J2091" s="35">
        <f>+G2091-H2091+I2091</f>
        <v>38465053</v>
      </c>
      <c r="K2091" s="28">
        <v>0</v>
      </c>
      <c r="L2091" s="32">
        <v>0</v>
      </c>
      <c r="M2091" s="35">
        <f>+J2091+L2091</f>
        <v>38465053</v>
      </c>
      <c r="N2091" s="28" t="s">
        <v>2619</v>
      </c>
      <c r="O2091" s="29" t="s">
        <v>2620</v>
      </c>
      <c r="P2091" s="36">
        <v>42809</v>
      </c>
      <c r="Q2091" s="31">
        <v>26444.65</v>
      </c>
      <c r="R2091" s="33">
        <f>M2091/Q2091</f>
        <v>1454.5495213587624</v>
      </c>
    </row>
    <row r="2092" spans="1:18" ht="15" customHeight="1">
      <c r="A2092" s="37" t="s">
        <v>688</v>
      </c>
      <c r="B2092" s="26" t="s">
        <v>1728</v>
      </c>
      <c r="C2092" s="39">
        <v>12</v>
      </c>
      <c r="D2092" s="40" t="s">
        <v>2937</v>
      </c>
      <c r="E2092" s="38" t="s">
        <v>4</v>
      </c>
      <c r="F2092" s="38" t="s">
        <v>12</v>
      </c>
      <c r="G2092" s="32">
        <v>87565</v>
      </c>
      <c r="H2092" s="32">
        <v>0</v>
      </c>
      <c r="I2092" s="52">
        <v>0</v>
      </c>
      <c r="J2092" s="35">
        <f>+G2092-H2092+I2092</f>
        <v>87565</v>
      </c>
      <c r="K2092" s="28">
        <v>0</v>
      </c>
      <c r="L2092" s="32">
        <v>0</v>
      </c>
      <c r="M2092" s="35">
        <f>+J2092+L2092</f>
        <v>87565</v>
      </c>
      <c r="N2092" s="28" t="s">
        <v>2343</v>
      </c>
      <c r="O2092" s="29" t="s">
        <v>2344</v>
      </c>
      <c r="P2092" s="36">
        <v>42810</v>
      </c>
      <c r="Q2092" s="31">
        <v>26446.36</v>
      </c>
      <c r="R2092" s="33">
        <f>M2092/Q2092</f>
        <v>3.3110416707630086</v>
      </c>
    </row>
    <row r="2093" spans="1:18" ht="15" customHeight="1">
      <c r="A2093" s="37" t="s">
        <v>166</v>
      </c>
      <c r="B2093" s="26" t="s">
        <v>167</v>
      </c>
      <c r="C2093" s="39" t="s">
        <v>2938</v>
      </c>
      <c r="D2093" s="40" t="s">
        <v>2939</v>
      </c>
      <c r="E2093" s="38" t="s">
        <v>3</v>
      </c>
      <c r="F2093" s="38" t="s">
        <v>10</v>
      </c>
      <c r="G2093" s="32">
        <v>168390243</v>
      </c>
      <c r="H2093" s="32">
        <v>5265829</v>
      </c>
      <c r="I2093" s="52">
        <v>0</v>
      </c>
      <c r="J2093" s="35">
        <f>+G2093-H2093+I2093</f>
        <v>163124414</v>
      </c>
      <c r="K2093" s="27">
        <v>85</v>
      </c>
      <c r="L2093" s="32">
        <v>0</v>
      </c>
      <c r="M2093" s="35">
        <f>+J2093+L2093</f>
        <v>163124414</v>
      </c>
      <c r="N2093" s="28" t="s">
        <v>171</v>
      </c>
      <c r="O2093" s="29" t="s">
        <v>642</v>
      </c>
      <c r="P2093" s="36">
        <v>44341</v>
      </c>
      <c r="Q2093" s="31">
        <v>29513.759999999998</v>
      </c>
      <c r="R2093" s="33">
        <v>5527</v>
      </c>
    </row>
    <row r="2094" spans="1:18" ht="15" customHeight="1">
      <c r="A2094" s="37" t="s">
        <v>627</v>
      </c>
      <c r="B2094" s="26" t="s">
        <v>628</v>
      </c>
      <c r="C2094" s="39">
        <v>11</v>
      </c>
      <c r="D2094" s="40" t="s">
        <v>2940</v>
      </c>
      <c r="E2094" s="38" t="s">
        <v>4</v>
      </c>
      <c r="F2094" s="38" t="s">
        <v>11</v>
      </c>
      <c r="G2094" s="32">
        <v>0</v>
      </c>
      <c r="H2094" s="32">
        <v>578305</v>
      </c>
      <c r="I2094" s="32">
        <v>2745677.2895999998</v>
      </c>
      <c r="J2094" s="35">
        <f>+G2094-H2094+I2094</f>
        <v>2167372.2895999998</v>
      </c>
      <c r="K2094" s="28">
        <v>0</v>
      </c>
      <c r="L2094" s="32">
        <v>0</v>
      </c>
      <c r="M2094" s="35">
        <f>+J2094+L2094</f>
        <v>2167372.2895999998</v>
      </c>
      <c r="N2094" s="28" t="s">
        <v>2105</v>
      </c>
      <c r="O2094" s="29" t="s">
        <v>2106</v>
      </c>
      <c r="P2094" s="36">
        <v>43690</v>
      </c>
      <c r="Q2094" s="31">
        <v>27960.63</v>
      </c>
      <c r="R2094" s="33">
        <f>M2094/Q2094</f>
        <v>77.515145030709235</v>
      </c>
    </row>
    <row r="2095" spans="1:18" ht="15" customHeight="1">
      <c r="A2095" s="37" t="s">
        <v>391</v>
      </c>
      <c r="B2095" s="26" t="s">
        <v>392</v>
      </c>
      <c r="C2095" s="39">
        <v>11</v>
      </c>
      <c r="D2095" s="40" t="s">
        <v>2941</v>
      </c>
      <c r="E2095" s="38" t="s">
        <v>3</v>
      </c>
      <c r="F2095" s="38" t="s">
        <v>10</v>
      </c>
      <c r="G2095" s="32">
        <v>3476997</v>
      </c>
      <c r="H2095" s="32">
        <v>0</v>
      </c>
      <c r="I2095" s="52">
        <v>0</v>
      </c>
      <c r="J2095" s="35">
        <f>+G2095-H2095+I2095</f>
        <v>3476997</v>
      </c>
      <c r="K2095" s="28">
        <v>0</v>
      </c>
      <c r="L2095" s="32">
        <v>0</v>
      </c>
      <c r="M2095" s="35">
        <f>+J2095+L2095</f>
        <v>3476997</v>
      </c>
      <c r="N2095" s="28" t="s">
        <v>2549</v>
      </c>
      <c r="O2095" s="29" t="s">
        <v>2550</v>
      </c>
      <c r="P2095" s="36">
        <v>43269</v>
      </c>
      <c r="Q2095" s="31">
        <v>27126.25</v>
      </c>
      <c r="R2095" s="33">
        <f>M2095/Q2095</f>
        <v>128.17831436339338</v>
      </c>
    </row>
    <row r="2096" spans="1:18" ht="15" customHeight="1">
      <c r="A2096" s="37" t="s">
        <v>293</v>
      </c>
      <c r="B2096" s="26" t="s">
        <v>294</v>
      </c>
      <c r="C2096" s="39">
        <v>11</v>
      </c>
      <c r="D2096" s="40" t="s">
        <v>2942</v>
      </c>
      <c r="E2096" s="38" t="s">
        <v>4</v>
      </c>
      <c r="F2096" s="38" t="s">
        <v>12</v>
      </c>
      <c r="G2096" s="32">
        <v>0</v>
      </c>
      <c r="H2096" s="32">
        <v>44032163.969066001</v>
      </c>
      <c r="I2096" s="52">
        <v>0</v>
      </c>
      <c r="J2096" s="35">
        <f>+G2096-H2096+I2096</f>
        <v>-44032163.969066001</v>
      </c>
      <c r="K2096" s="28">
        <v>0</v>
      </c>
      <c r="L2096" s="32">
        <v>0</v>
      </c>
      <c r="M2096" s="35">
        <f>+J2096+L2096</f>
        <v>-44032163.969066001</v>
      </c>
      <c r="N2096" s="28" t="s">
        <v>2927</v>
      </c>
      <c r="O2096" s="29" t="s">
        <v>2928</v>
      </c>
      <c r="P2096" s="36">
        <v>43518</v>
      </c>
      <c r="Q2096" s="31">
        <v>27551</v>
      </c>
      <c r="R2096" s="33">
        <f>M2096/Q2096</f>
        <v>-1598.2056538443614</v>
      </c>
    </row>
    <row r="2097" spans="1:18" ht="15" customHeight="1">
      <c r="A2097" s="37" t="s">
        <v>52</v>
      </c>
      <c r="B2097" s="26" t="s">
        <v>622</v>
      </c>
      <c r="C2097" s="65">
        <v>11</v>
      </c>
      <c r="D2097" s="51" t="s">
        <v>2943</v>
      </c>
      <c r="E2097" s="38" t="s">
        <v>4</v>
      </c>
      <c r="F2097" s="38" t="s">
        <v>20</v>
      </c>
      <c r="G2097" s="52"/>
      <c r="H2097" s="52">
        <v>60543321</v>
      </c>
      <c r="I2097" s="52"/>
      <c r="J2097" s="53">
        <f>+G2097-H2097+I2097</f>
        <v>-60543321</v>
      </c>
      <c r="K2097" s="28">
        <v>0</v>
      </c>
      <c r="L2097" s="32">
        <v>0</v>
      </c>
      <c r="M2097" s="53">
        <f>+J2097+L2097</f>
        <v>-60543321</v>
      </c>
      <c r="N2097" s="55" t="s">
        <v>1105</v>
      </c>
      <c r="O2097" s="29" t="s">
        <v>1106</v>
      </c>
      <c r="P2097" s="36">
        <v>43487</v>
      </c>
      <c r="Q2097" s="49">
        <v>27554.23</v>
      </c>
      <c r="R2097" s="33">
        <f>M2097/Q2097</f>
        <v>-2197.2423471822658</v>
      </c>
    </row>
    <row r="2098" spans="1:18" ht="15" customHeight="1">
      <c r="A2098" s="37" t="s">
        <v>874</v>
      </c>
      <c r="B2098" s="26" t="s">
        <v>875</v>
      </c>
      <c r="C2098" s="39">
        <v>146</v>
      </c>
      <c r="D2098" s="40" t="s">
        <v>2944</v>
      </c>
      <c r="E2098" s="38" t="s">
        <v>3</v>
      </c>
      <c r="F2098" s="38" t="s">
        <v>15</v>
      </c>
      <c r="G2098" s="32">
        <v>177751816</v>
      </c>
      <c r="H2098" s="32">
        <v>102846575</v>
      </c>
      <c r="I2098" s="32">
        <v>72659194</v>
      </c>
      <c r="J2098" s="35">
        <f>+G2098-H2098+I2098</f>
        <v>147564435</v>
      </c>
      <c r="K2098" s="27">
        <v>90</v>
      </c>
      <c r="L2098" s="32">
        <v>0</v>
      </c>
      <c r="M2098" s="35">
        <f>+J2098+L2098</f>
        <v>147564435</v>
      </c>
      <c r="N2098" s="28" t="s">
        <v>877</v>
      </c>
      <c r="O2098" s="29" t="s">
        <v>878</v>
      </c>
      <c r="P2098" s="36">
        <v>44902</v>
      </c>
      <c r="Q2098" s="31">
        <v>34852.33</v>
      </c>
      <c r="R2098" s="33">
        <f>M2098/Q2098</f>
        <v>4233.9905251671835</v>
      </c>
    </row>
    <row r="2099" spans="1:18" s="30" customFormat="1" ht="15" customHeight="1">
      <c r="A2099" s="37" t="s">
        <v>391</v>
      </c>
      <c r="B2099" s="26" t="s">
        <v>392</v>
      </c>
      <c r="C2099" s="39">
        <v>125</v>
      </c>
      <c r="D2099" s="40" t="s">
        <v>2945</v>
      </c>
      <c r="E2099" s="38" t="s">
        <v>4</v>
      </c>
      <c r="F2099" s="38" t="s">
        <v>15</v>
      </c>
      <c r="G2099" s="32">
        <v>180556391</v>
      </c>
      <c r="H2099" s="32">
        <v>14424950</v>
      </c>
      <c r="I2099" s="32">
        <v>151076232</v>
      </c>
      <c r="J2099" s="35">
        <f>+G2099-H2099+I2099</f>
        <v>317207673</v>
      </c>
      <c r="K2099" s="27"/>
      <c r="L2099" s="32">
        <v>0</v>
      </c>
      <c r="M2099" s="35">
        <f>+J2099+L2099</f>
        <v>317207673</v>
      </c>
      <c r="N2099" s="28" t="s">
        <v>481</v>
      </c>
      <c r="O2099" s="29" t="s">
        <v>482</v>
      </c>
      <c r="P2099" s="36">
        <v>44130</v>
      </c>
      <c r="Q2099" s="31">
        <v>28810.82</v>
      </c>
      <c r="R2099" s="33">
        <f>M2099/Q2099</f>
        <v>11010.01890956245</v>
      </c>
    </row>
    <row r="2100" spans="1:18" s="30" customFormat="1" ht="15" customHeight="1">
      <c r="A2100" s="37" t="s">
        <v>356</v>
      </c>
      <c r="B2100" s="26" t="s">
        <v>1540</v>
      </c>
      <c r="C2100" s="39">
        <v>11</v>
      </c>
      <c r="D2100" s="40" t="s">
        <v>2946</v>
      </c>
      <c r="E2100" s="38" t="s">
        <v>4</v>
      </c>
      <c r="F2100" s="38" t="s">
        <v>13</v>
      </c>
      <c r="G2100" s="32">
        <v>0</v>
      </c>
      <c r="H2100" s="32">
        <v>133270340.71460798</v>
      </c>
      <c r="I2100" s="32">
        <v>98697629.866669655</v>
      </c>
      <c r="J2100" s="35">
        <f>+G2100-H2100+I2100</f>
        <v>-34572710.847938329</v>
      </c>
      <c r="K2100" s="28">
        <v>0</v>
      </c>
      <c r="L2100" s="32">
        <v>0</v>
      </c>
      <c r="M2100" s="35">
        <f>+J2100+L2100</f>
        <v>-34572710.847938329</v>
      </c>
      <c r="N2100" s="28" t="s">
        <v>2911</v>
      </c>
      <c r="O2100" s="29" t="s">
        <v>2912</v>
      </c>
      <c r="P2100" s="36">
        <v>42551</v>
      </c>
      <c r="Q2100" s="31">
        <v>26052.07</v>
      </c>
      <c r="R2100" s="33">
        <f>M2100/Q2100</f>
        <v>-1327.0619512360565</v>
      </c>
    </row>
    <row r="2101" spans="1:18" s="30" customFormat="1" ht="15" customHeight="1">
      <c r="A2101" s="37" t="s">
        <v>39</v>
      </c>
      <c r="B2101" s="26" t="s">
        <v>1658</v>
      </c>
      <c r="C2101" s="39">
        <v>11</v>
      </c>
      <c r="D2101" s="40" t="s">
        <v>2947</v>
      </c>
      <c r="E2101" s="38" t="s">
        <v>4</v>
      </c>
      <c r="F2101" s="38" t="s">
        <v>10</v>
      </c>
      <c r="G2101" s="32">
        <v>2750538586</v>
      </c>
      <c r="H2101" s="32">
        <v>2767169211</v>
      </c>
      <c r="I2101" s="52">
        <v>0</v>
      </c>
      <c r="J2101" s="35">
        <f>+G2101-H2101+I2101</f>
        <v>-16630625</v>
      </c>
      <c r="K2101" s="28">
        <v>0</v>
      </c>
      <c r="L2101" s="32">
        <v>0</v>
      </c>
      <c r="M2101" s="35">
        <f>+J2101+L2101</f>
        <v>-16630625</v>
      </c>
      <c r="N2101" s="28" t="s">
        <v>2430</v>
      </c>
      <c r="O2101" s="29" t="s">
        <v>2431</v>
      </c>
      <c r="P2101" s="36">
        <v>43133</v>
      </c>
      <c r="Q2101" s="31">
        <v>26826.67</v>
      </c>
      <c r="R2101" s="33">
        <f>M2101/Q2101</f>
        <v>-619.92878728519054</v>
      </c>
    </row>
    <row r="2102" spans="1:18" s="30" customFormat="1" ht="15" customHeight="1">
      <c r="A2102" s="37" t="s">
        <v>52</v>
      </c>
      <c r="B2102" s="26" t="s">
        <v>195</v>
      </c>
      <c r="C2102" s="39">
        <v>11</v>
      </c>
      <c r="D2102" s="40" t="s">
        <v>2948</v>
      </c>
      <c r="E2102" s="38" t="s">
        <v>3</v>
      </c>
      <c r="F2102" s="38" t="s">
        <v>12</v>
      </c>
      <c r="G2102" s="32">
        <v>106729697</v>
      </c>
      <c r="H2102" s="32">
        <v>47480023</v>
      </c>
      <c r="I2102" s="32">
        <v>65098870</v>
      </c>
      <c r="J2102" s="35">
        <f>+G2102-H2102+I2102</f>
        <v>124348544</v>
      </c>
      <c r="K2102" s="28">
        <v>0</v>
      </c>
      <c r="L2102" s="32">
        <v>0</v>
      </c>
      <c r="M2102" s="35">
        <f>+J2102+L2102</f>
        <v>124348544</v>
      </c>
      <c r="N2102" s="28" t="s">
        <v>2897</v>
      </c>
      <c r="O2102" s="29" t="s">
        <v>1394</v>
      </c>
      <c r="P2102" s="36">
        <v>44062</v>
      </c>
      <c r="Q2102" s="31">
        <v>28668.35</v>
      </c>
      <c r="R2102" s="33">
        <f>M2102/Q2102</f>
        <v>4337.4852058105889</v>
      </c>
    </row>
    <row r="2103" spans="1:18" s="30" customFormat="1" ht="15" customHeight="1">
      <c r="A2103" s="37" t="s">
        <v>2639</v>
      </c>
      <c r="B2103" s="26" t="s">
        <v>2640</v>
      </c>
      <c r="C2103" s="39">
        <v>11</v>
      </c>
      <c r="D2103" s="40" t="s">
        <v>2949</v>
      </c>
      <c r="E2103" s="38" t="s">
        <v>4</v>
      </c>
      <c r="F2103" s="38" t="s">
        <v>11</v>
      </c>
      <c r="G2103" s="32">
        <v>931127</v>
      </c>
      <c r="H2103" s="32">
        <v>12907901</v>
      </c>
      <c r="I2103" s="32">
        <v>2018392</v>
      </c>
      <c r="J2103" s="35">
        <f>+G2103-H2103+I2103</f>
        <v>-9958382</v>
      </c>
      <c r="K2103" s="28">
        <v>0</v>
      </c>
      <c r="L2103" s="32">
        <v>0</v>
      </c>
      <c r="M2103" s="35">
        <f>+J2103+L2103</f>
        <v>-9958382</v>
      </c>
      <c r="N2103" s="28" t="s">
        <v>2883</v>
      </c>
      <c r="O2103" s="29" t="s">
        <v>2884</v>
      </c>
      <c r="P2103" s="36">
        <v>43307</v>
      </c>
      <c r="Q2103" s="31">
        <v>27198.09</v>
      </c>
      <c r="R2103" s="33">
        <f>M2103/Q2103</f>
        <v>-366.14269604961231</v>
      </c>
    </row>
    <row r="2104" spans="1:18" s="30" customFormat="1" ht="15" customHeight="1">
      <c r="A2104" s="37" t="s">
        <v>52</v>
      </c>
      <c r="B2104" s="26" t="s">
        <v>555</v>
      </c>
      <c r="C2104" s="39">
        <v>68</v>
      </c>
      <c r="D2104" s="40" t="s">
        <v>2950</v>
      </c>
      <c r="E2104" s="38" t="s">
        <v>3</v>
      </c>
      <c r="F2104" s="38" t="s">
        <v>11</v>
      </c>
      <c r="G2104" s="32">
        <v>192106352</v>
      </c>
      <c r="H2104" s="32">
        <v>59157364</v>
      </c>
      <c r="I2104" s="32">
        <v>47431797</v>
      </c>
      <c r="J2104" s="35">
        <f>+G2104-H2104+I2104</f>
        <v>180380785</v>
      </c>
      <c r="K2104" s="27">
        <v>50</v>
      </c>
      <c r="L2104" s="32">
        <v>372478900</v>
      </c>
      <c r="M2104" s="35">
        <f>+J2104+L2104</f>
        <v>552859685</v>
      </c>
      <c r="N2104" s="28" t="s">
        <v>2809</v>
      </c>
      <c r="O2104" s="29" t="s">
        <v>2810</v>
      </c>
      <c r="P2104" s="36">
        <v>42774</v>
      </c>
      <c r="Q2104" s="31">
        <v>26304.62</v>
      </c>
      <c r="R2104" s="33">
        <f>M2104/Q2104</f>
        <v>21017.588735362839</v>
      </c>
    </row>
    <row r="2105" spans="1:18" s="30" customFormat="1" ht="15" customHeight="1">
      <c r="A2105" s="37" t="s">
        <v>688</v>
      </c>
      <c r="B2105" s="26" t="s">
        <v>1728</v>
      </c>
      <c r="C2105" s="39">
        <v>11</v>
      </c>
      <c r="D2105" s="40" t="s">
        <v>2951</v>
      </c>
      <c r="E2105" s="38" t="s">
        <v>4</v>
      </c>
      <c r="F2105" s="38" t="s">
        <v>12</v>
      </c>
      <c r="G2105" s="32">
        <v>25993.41</v>
      </c>
      <c r="H2105" s="32">
        <v>11898</v>
      </c>
      <c r="I2105" s="52">
        <v>0</v>
      </c>
      <c r="J2105" s="35">
        <f>+G2105-H2105+I2105</f>
        <v>14095.41</v>
      </c>
      <c r="K2105" s="28">
        <v>0</v>
      </c>
      <c r="L2105" s="32">
        <v>0</v>
      </c>
      <c r="M2105" s="35">
        <f>+J2105+L2105</f>
        <v>14095.41</v>
      </c>
      <c r="N2105" s="28" t="s">
        <v>2343</v>
      </c>
      <c r="O2105" s="29" t="s">
        <v>2344</v>
      </c>
      <c r="P2105" s="36">
        <v>42810</v>
      </c>
      <c r="Q2105" s="31">
        <v>26446.36</v>
      </c>
      <c r="R2105" s="33">
        <f>M2105/Q2105</f>
        <v>0.53298109834396867</v>
      </c>
    </row>
    <row r="2106" spans="1:18" s="30" customFormat="1" ht="15" customHeight="1">
      <c r="A2106" s="37" t="s">
        <v>627</v>
      </c>
      <c r="B2106" s="26" t="s">
        <v>628</v>
      </c>
      <c r="C2106" s="39">
        <v>10</v>
      </c>
      <c r="D2106" s="40" t="s">
        <v>2952</v>
      </c>
      <c r="E2106" s="38" t="s">
        <v>3</v>
      </c>
      <c r="F2106" s="38" t="s">
        <v>12</v>
      </c>
      <c r="G2106" s="32">
        <v>0</v>
      </c>
      <c r="H2106" s="32">
        <v>41232802</v>
      </c>
      <c r="I2106" s="32">
        <v>35578980.788960002</v>
      </c>
      <c r="J2106" s="35">
        <f>+G2106-H2106+I2106</f>
        <v>-5653821.2110399976</v>
      </c>
      <c r="K2106" s="28">
        <v>0</v>
      </c>
      <c r="L2106" s="32">
        <v>0</v>
      </c>
      <c r="M2106" s="35">
        <f>+J2106+L2106</f>
        <v>-5653821.2110399976</v>
      </c>
      <c r="N2106" s="28" t="s">
        <v>2105</v>
      </c>
      <c r="O2106" s="29" t="s">
        <v>2106</v>
      </c>
      <c r="P2106" s="36">
        <v>43690</v>
      </c>
      <c r="Q2106" s="31">
        <v>27960.63</v>
      </c>
      <c r="R2106" s="33">
        <f>M2106/Q2106</f>
        <v>-202.20650289496328</v>
      </c>
    </row>
    <row r="2107" spans="1:18" s="30" customFormat="1" ht="15" customHeight="1">
      <c r="A2107" s="37" t="s">
        <v>627</v>
      </c>
      <c r="B2107" s="26" t="s">
        <v>1895</v>
      </c>
      <c r="C2107" s="39">
        <v>10</v>
      </c>
      <c r="D2107" s="40" t="s">
        <v>2953</v>
      </c>
      <c r="E2107" s="38" t="s">
        <v>3</v>
      </c>
      <c r="F2107" s="38" t="s">
        <v>13</v>
      </c>
      <c r="G2107" s="32">
        <v>0</v>
      </c>
      <c r="H2107" s="32">
        <v>0</v>
      </c>
      <c r="I2107" s="32">
        <v>78198</v>
      </c>
      <c r="J2107" s="35">
        <f>+G2107-H2107+I2107</f>
        <v>78198</v>
      </c>
      <c r="K2107" s="28">
        <v>0</v>
      </c>
      <c r="L2107" s="32">
        <v>0</v>
      </c>
      <c r="M2107" s="35">
        <f>+J2107+L2107</f>
        <v>78198</v>
      </c>
      <c r="N2107" s="28" t="s">
        <v>1898</v>
      </c>
      <c r="O2107" s="29" t="s">
        <v>1899</v>
      </c>
      <c r="P2107" s="36">
        <v>43829</v>
      </c>
      <c r="Q2107" s="31">
        <v>28309.03</v>
      </c>
      <c r="R2107" s="33">
        <f>M2107/Q2107</f>
        <v>2.7622988141946228</v>
      </c>
    </row>
    <row r="2108" spans="1:18" s="30" customFormat="1" ht="15" customHeight="1">
      <c r="A2108" s="37" t="s">
        <v>166</v>
      </c>
      <c r="B2108" s="26" t="s">
        <v>167</v>
      </c>
      <c r="C2108" s="39" t="s">
        <v>2954</v>
      </c>
      <c r="D2108" s="40" t="s">
        <v>2955</v>
      </c>
      <c r="E2108" s="38" t="s">
        <v>3</v>
      </c>
      <c r="F2108" s="38" t="s">
        <v>10</v>
      </c>
      <c r="G2108" s="32">
        <v>212162369</v>
      </c>
      <c r="H2108" s="32">
        <v>0</v>
      </c>
      <c r="I2108" s="52">
        <v>0</v>
      </c>
      <c r="J2108" s="35">
        <f>+G2108-H2108+I2108</f>
        <v>212162369</v>
      </c>
      <c r="K2108" s="27">
        <v>164</v>
      </c>
      <c r="L2108" s="32">
        <v>0</v>
      </c>
      <c r="M2108" s="35">
        <f>+J2108+L2108</f>
        <v>212162369</v>
      </c>
      <c r="N2108" s="28" t="s">
        <v>171</v>
      </c>
      <c r="O2108" s="29" t="s">
        <v>172</v>
      </c>
      <c r="P2108" s="36">
        <v>44341</v>
      </c>
      <c r="Q2108" s="31">
        <v>29513.759999999998</v>
      </c>
      <c r="R2108" s="33">
        <v>7189</v>
      </c>
    </row>
    <row r="2109" spans="1:18" s="30" customFormat="1" ht="15" customHeight="1">
      <c r="A2109" s="37" t="s">
        <v>391</v>
      </c>
      <c r="B2109" s="26" t="s">
        <v>392</v>
      </c>
      <c r="C2109" s="39">
        <v>10</v>
      </c>
      <c r="D2109" s="40" t="s">
        <v>2956</v>
      </c>
      <c r="E2109" s="38" t="s">
        <v>3</v>
      </c>
      <c r="F2109" s="38" t="s">
        <v>10</v>
      </c>
      <c r="G2109" s="32">
        <v>23960043</v>
      </c>
      <c r="H2109" s="32">
        <v>0</v>
      </c>
      <c r="I2109" s="52">
        <v>0</v>
      </c>
      <c r="J2109" s="35">
        <f>+G2109-H2109+I2109</f>
        <v>23960043</v>
      </c>
      <c r="K2109" s="28">
        <v>0</v>
      </c>
      <c r="L2109" s="32">
        <v>0</v>
      </c>
      <c r="M2109" s="35">
        <f>+J2109+L2109</f>
        <v>23960043</v>
      </c>
      <c r="N2109" s="28" t="s">
        <v>2549</v>
      </c>
      <c r="O2109" s="29" t="s">
        <v>2550</v>
      </c>
      <c r="P2109" s="36">
        <v>43269</v>
      </c>
      <c r="Q2109" s="31">
        <v>27126.25</v>
      </c>
      <c r="R2109" s="33">
        <f>M2109/Q2109</f>
        <v>883.2788535090549</v>
      </c>
    </row>
    <row r="2110" spans="1:18" s="30" customFormat="1" ht="15" customHeight="1">
      <c r="A2110" s="37" t="s">
        <v>293</v>
      </c>
      <c r="B2110" s="26" t="s">
        <v>294</v>
      </c>
      <c r="C2110" s="39">
        <v>10</v>
      </c>
      <c r="D2110" s="40" t="s">
        <v>2957</v>
      </c>
      <c r="E2110" s="38" t="s">
        <v>4</v>
      </c>
      <c r="F2110" s="38" t="s">
        <v>20</v>
      </c>
      <c r="G2110" s="32">
        <v>0</v>
      </c>
      <c r="H2110" s="32">
        <v>40226408.4570949</v>
      </c>
      <c r="I2110" s="52">
        <v>0</v>
      </c>
      <c r="J2110" s="35">
        <f>+G2110-H2110+I2110</f>
        <v>-40226408.4570949</v>
      </c>
      <c r="K2110" s="28">
        <v>0</v>
      </c>
      <c r="L2110" s="32">
        <v>0</v>
      </c>
      <c r="M2110" s="35">
        <f>+J2110+L2110</f>
        <v>-40226408.4570949</v>
      </c>
      <c r="N2110" s="28" t="s">
        <v>2927</v>
      </c>
      <c r="O2110" s="29" t="s">
        <v>2928</v>
      </c>
      <c r="P2110" s="36">
        <v>43518</v>
      </c>
      <c r="Q2110" s="31">
        <v>27551</v>
      </c>
      <c r="R2110" s="33">
        <f>M2110/Q2110</f>
        <v>-1460.0707218284238</v>
      </c>
    </row>
    <row r="2111" spans="1:18" ht="15" customHeight="1">
      <c r="A2111" s="37" t="s">
        <v>874</v>
      </c>
      <c r="B2111" s="26" t="s">
        <v>875</v>
      </c>
      <c r="C2111" s="39">
        <v>10</v>
      </c>
      <c r="D2111" s="40" t="s">
        <v>2958</v>
      </c>
      <c r="E2111" s="38" t="s">
        <v>3</v>
      </c>
      <c r="F2111" s="38" t="s">
        <v>10</v>
      </c>
      <c r="G2111" s="32">
        <v>5117702</v>
      </c>
      <c r="H2111" s="32">
        <v>0</v>
      </c>
      <c r="I2111" s="52">
        <v>0</v>
      </c>
      <c r="J2111" s="35">
        <f>+G2111-H2111+I2111</f>
        <v>5117702</v>
      </c>
      <c r="K2111" s="28">
        <v>0</v>
      </c>
      <c r="L2111" s="32">
        <v>0</v>
      </c>
      <c r="M2111" s="35">
        <f>+J2111+L2111</f>
        <v>5117702</v>
      </c>
      <c r="N2111" s="28" t="s">
        <v>2908</v>
      </c>
      <c r="O2111" s="29" t="s">
        <v>2909</v>
      </c>
      <c r="P2111" s="36">
        <v>43788</v>
      </c>
      <c r="Q2111" s="31">
        <v>28139.99</v>
      </c>
      <c r="R2111" s="33">
        <f>M2111/Q2111</f>
        <v>181.86580734392584</v>
      </c>
    </row>
    <row r="2112" spans="1:18" ht="15" customHeight="1">
      <c r="A2112" s="37" t="s">
        <v>166</v>
      </c>
      <c r="B2112" s="26" t="s">
        <v>167</v>
      </c>
      <c r="C2112" s="39" t="s">
        <v>2959</v>
      </c>
      <c r="D2112" s="40" t="s">
        <v>2960</v>
      </c>
      <c r="E2112" s="38" t="s">
        <v>3</v>
      </c>
      <c r="F2112" s="38" t="s">
        <v>9</v>
      </c>
      <c r="G2112" s="32">
        <v>221720234</v>
      </c>
      <c r="H2112" s="32">
        <v>0</v>
      </c>
      <c r="I2112" s="52">
        <v>0</v>
      </c>
      <c r="J2112" s="35">
        <f>+G2112-H2112+I2112</f>
        <v>221720234</v>
      </c>
      <c r="K2112" s="27" t="s">
        <v>170</v>
      </c>
      <c r="L2112" s="32">
        <v>0</v>
      </c>
      <c r="M2112" s="35">
        <f>+J2112+L2112</f>
        <v>221720234</v>
      </c>
      <c r="N2112" s="28" t="s">
        <v>171</v>
      </c>
      <c r="O2112" s="29" t="s">
        <v>269</v>
      </c>
      <c r="P2112" s="36">
        <v>44341</v>
      </c>
      <c r="Q2112" s="31">
        <v>29513.759999999998</v>
      </c>
      <c r="R2112" s="33">
        <v>7512</v>
      </c>
    </row>
    <row r="2113" spans="1:18" ht="15" customHeight="1">
      <c r="A2113" s="37" t="s">
        <v>52</v>
      </c>
      <c r="B2113" s="26" t="s">
        <v>622</v>
      </c>
      <c r="C2113" s="65">
        <v>10</v>
      </c>
      <c r="D2113" s="51" t="s">
        <v>2961</v>
      </c>
      <c r="E2113" s="38" t="s">
        <v>198</v>
      </c>
      <c r="F2113" s="38" t="s">
        <v>10</v>
      </c>
      <c r="G2113" s="52">
        <v>6524955</v>
      </c>
      <c r="H2113" s="52">
        <v>5511978</v>
      </c>
      <c r="I2113" s="52">
        <v>2101297</v>
      </c>
      <c r="J2113" s="53">
        <f>+G2113-H2113+I2113</f>
        <v>3114274</v>
      </c>
      <c r="K2113" s="28">
        <v>0</v>
      </c>
      <c r="L2113" s="32">
        <v>0</v>
      </c>
      <c r="M2113" s="53">
        <f>+J2113+L2113</f>
        <v>3114274</v>
      </c>
      <c r="N2113" s="55" t="s">
        <v>1105</v>
      </c>
      <c r="O2113" s="29" t="s">
        <v>1106</v>
      </c>
      <c r="P2113" s="36">
        <v>43487</v>
      </c>
      <c r="Q2113" s="49">
        <v>27554.23</v>
      </c>
      <c r="R2113" s="33">
        <f>M2113/Q2113</f>
        <v>113.02344503911014</v>
      </c>
    </row>
    <row r="2114" spans="1:18" ht="15" customHeight="1">
      <c r="A2114" s="37" t="s">
        <v>356</v>
      </c>
      <c r="B2114" s="26" t="s">
        <v>1841</v>
      </c>
      <c r="C2114" s="39">
        <v>10</v>
      </c>
      <c r="D2114" s="40" t="s">
        <v>2962</v>
      </c>
      <c r="E2114" s="38" t="s">
        <v>4</v>
      </c>
      <c r="F2114" s="38" t="s">
        <v>11</v>
      </c>
      <c r="G2114" s="32">
        <v>0</v>
      </c>
      <c r="H2114" s="32">
        <v>120725544</v>
      </c>
      <c r="I2114" s="52">
        <v>0</v>
      </c>
      <c r="J2114" s="35">
        <f>+G2114-H2114+I2114</f>
        <v>-120725544</v>
      </c>
      <c r="K2114" s="28">
        <v>0</v>
      </c>
      <c r="L2114" s="32">
        <v>0</v>
      </c>
      <c r="M2114" s="35">
        <f>+J2114+L2114</f>
        <v>-120725544</v>
      </c>
      <c r="N2114" s="28" t="s">
        <v>2963</v>
      </c>
      <c r="O2114" s="29" t="s">
        <v>2964</v>
      </c>
      <c r="P2114" s="36">
        <v>43796</v>
      </c>
      <c r="Q2114" s="31">
        <v>28199.85</v>
      </c>
      <c r="R2114" s="33">
        <f>M2114/Q2114</f>
        <v>-4281.0704312256985</v>
      </c>
    </row>
    <row r="2115" spans="1:18" ht="15" customHeight="1">
      <c r="A2115" s="37" t="s">
        <v>356</v>
      </c>
      <c r="B2115" s="26" t="s">
        <v>1540</v>
      </c>
      <c r="C2115" s="39">
        <v>10</v>
      </c>
      <c r="D2115" s="40" t="s">
        <v>2965</v>
      </c>
      <c r="E2115" s="38" t="s">
        <v>3</v>
      </c>
      <c r="F2115" s="38" t="s">
        <v>10</v>
      </c>
      <c r="G2115" s="32">
        <v>0</v>
      </c>
      <c r="H2115" s="32">
        <v>37398828.92845498</v>
      </c>
      <c r="I2115" s="32">
        <v>37398829.179105602</v>
      </c>
      <c r="J2115" s="35">
        <f>+G2115-H2115+I2115</f>
        <v>0.25065062195062637</v>
      </c>
      <c r="K2115" s="28">
        <v>0</v>
      </c>
      <c r="L2115" s="32">
        <v>0</v>
      </c>
      <c r="M2115" s="35">
        <f>+J2115+L2115</f>
        <v>0.25065062195062637</v>
      </c>
      <c r="N2115" s="28" t="s">
        <v>2911</v>
      </c>
      <c r="O2115" s="29" t="s">
        <v>2912</v>
      </c>
      <c r="P2115" s="36">
        <v>42551</v>
      </c>
      <c r="Q2115" s="31">
        <v>26052.07</v>
      </c>
      <c r="R2115" s="33">
        <f>M2115/Q2115</f>
        <v>9.6211403527867995E-6</v>
      </c>
    </row>
    <row r="2116" spans="1:18" ht="15" customHeight="1">
      <c r="A2116" s="37" t="s">
        <v>39</v>
      </c>
      <c r="B2116" s="26" t="s">
        <v>1658</v>
      </c>
      <c r="C2116" s="39">
        <v>10</v>
      </c>
      <c r="D2116" s="40" t="s">
        <v>2966</v>
      </c>
      <c r="E2116" s="38" t="s">
        <v>4</v>
      </c>
      <c r="F2116" s="38" t="s">
        <v>10</v>
      </c>
      <c r="G2116" s="32">
        <v>8490725</v>
      </c>
      <c r="H2116" s="32">
        <v>7938315</v>
      </c>
      <c r="I2116" s="52">
        <v>0</v>
      </c>
      <c r="J2116" s="35">
        <f>+G2116-H2116+I2116</f>
        <v>552410</v>
      </c>
      <c r="K2116" s="28">
        <v>0</v>
      </c>
      <c r="L2116" s="32">
        <v>0</v>
      </c>
      <c r="M2116" s="35">
        <f>+J2116+L2116</f>
        <v>552410</v>
      </c>
      <c r="N2116" s="28" t="s">
        <v>2430</v>
      </c>
      <c r="O2116" s="29" t="s">
        <v>2431</v>
      </c>
      <c r="P2116" s="36">
        <v>43133</v>
      </c>
      <c r="Q2116" s="31">
        <v>26826.67</v>
      </c>
      <c r="R2116" s="33">
        <f>M2116/Q2116</f>
        <v>20.591821497040073</v>
      </c>
    </row>
    <row r="2117" spans="1:18" ht="15" customHeight="1">
      <c r="A2117" s="37" t="s">
        <v>874</v>
      </c>
      <c r="B2117" s="26" t="s">
        <v>875</v>
      </c>
      <c r="C2117" s="39">
        <v>106</v>
      </c>
      <c r="D2117" s="40" t="s">
        <v>2967</v>
      </c>
      <c r="E2117" s="38" t="s">
        <v>198</v>
      </c>
      <c r="F2117" s="38" t="s">
        <v>20</v>
      </c>
      <c r="G2117" s="32">
        <v>276870083</v>
      </c>
      <c r="H2117" s="32">
        <v>0</v>
      </c>
      <c r="I2117" s="32">
        <v>12387883</v>
      </c>
      <c r="J2117" s="35">
        <f>+G2117-H2117+I2117</f>
        <v>289257966</v>
      </c>
      <c r="K2117" s="27">
        <v>210</v>
      </c>
      <c r="L2117" s="32">
        <v>0</v>
      </c>
      <c r="M2117" s="35">
        <f>+J2117+L2117</f>
        <v>289257966</v>
      </c>
      <c r="N2117" s="28" t="s">
        <v>877</v>
      </c>
      <c r="O2117" s="29" t="s">
        <v>878</v>
      </c>
      <c r="P2117" s="36">
        <v>44902</v>
      </c>
      <c r="Q2117" s="31">
        <v>34852.33</v>
      </c>
      <c r="R2117" s="33">
        <f>M2117/Q2117</f>
        <v>8299.5302179223017</v>
      </c>
    </row>
    <row r="2118" spans="1:18" ht="15" customHeight="1">
      <c r="A2118" s="37" t="s">
        <v>166</v>
      </c>
      <c r="B2118" s="26" t="s">
        <v>167</v>
      </c>
      <c r="C2118" s="39" t="s">
        <v>2968</v>
      </c>
      <c r="D2118" s="40" t="s">
        <v>2969</v>
      </c>
      <c r="E2118" s="38" t="s">
        <v>3</v>
      </c>
      <c r="F2118" s="38" t="s">
        <v>10</v>
      </c>
      <c r="G2118" s="32">
        <v>280505025</v>
      </c>
      <c r="H2118" s="32">
        <v>194262669</v>
      </c>
      <c r="I2118" s="52">
        <v>0</v>
      </c>
      <c r="J2118" s="35">
        <f>+G2118-H2118+I2118</f>
        <v>86242356</v>
      </c>
      <c r="K2118" s="27">
        <v>183</v>
      </c>
      <c r="L2118" s="32">
        <v>0</v>
      </c>
      <c r="M2118" s="35">
        <f>+J2118+L2118</f>
        <v>86242356</v>
      </c>
      <c r="N2118" s="28" t="s">
        <v>171</v>
      </c>
      <c r="O2118" s="29" t="s">
        <v>172</v>
      </c>
      <c r="P2118" s="36">
        <v>44341</v>
      </c>
      <c r="Q2118" s="31">
        <v>29513.759999999998</v>
      </c>
      <c r="R2118" s="33">
        <v>2922</v>
      </c>
    </row>
    <row r="2119" spans="1:18" ht="15" customHeight="1">
      <c r="A2119" s="46" t="s">
        <v>189</v>
      </c>
      <c r="B2119" s="26" t="s">
        <v>225</v>
      </c>
      <c r="C2119" s="65" t="s">
        <v>2970</v>
      </c>
      <c r="D2119" s="51" t="s">
        <v>2971</v>
      </c>
      <c r="E2119" s="38" t="s">
        <v>3</v>
      </c>
      <c r="F2119" s="38" t="s">
        <v>15</v>
      </c>
      <c r="G2119" s="52">
        <v>294742663</v>
      </c>
      <c r="H2119" s="52">
        <v>624203</v>
      </c>
      <c r="I2119" s="52">
        <v>160148595</v>
      </c>
      <c r="J2119" s="53">
        <f>+G2119-H2119+I2119</f>
        <v>454267055</v>
      </c>
      <c r="K2119" s="54">
        <v>140</v>
      </c>
      <c r="L2119" s="52">
        <v>0</v>
      </c>
      <c r="M2119" s="53">
        <f>+J2119+L2119</f>
        <v>454267055</v>
      </c>
      <c r="N2119" s="55" t="s">
        <v>1168</v>
      </c>
      <c r="O2119" s="56" t="s">
        <v>1110</v>
      </c>
      <c r="P2119" s="56">
        <v>44560</v>
      </c>
      <c r="Q2119" s="49">
        <v>30986.76</v>
      </c>
      <c r="R2119" s="57">
        <f>M2119/Q2119</f>
        <v>14660.037222349159</v>
      </c>
    </row>
    <row r="2120" spans="1:18" ht="15" customHeight="1">
      <c r="A2120" s="37" t="s">
        <v>52</v>
      </c>
      <c r="B2120" s="26" t="s">
        <v>555</v>
      </c>
      <c r="C2120" s="65">
        <v>10</v>
      </c>
      <c r="D2120" s="51" t="s">
        <v>2972</v>
      </c>
      <c r="E2120" s="38" t="s">
        <v>3</v>
      </c>
      <c r="F2120" s="38" t="s">
        <v>17</v>
      </c>
      <c r="G2120" s="52">
        <v>148936</v>
      </c>
      <c r="H2120" s="52">
        <v>0</v>
      </c>
      <c r="I2120" s="52">
        <v>0</v>
      </c>
      <c r="J2120" s="53">
        <f>+G2120-H2120+I2120</f>
        <v>148936</v>
      </c>
      <c r="K2120" s="28">
        <v>0</v>
      </c>
      <c r="L2120" s="32">
        <v>0</v>
      </c>
      <c r="M2120" s="53">
        <f>+J2120+L2120</f>
        <v>148936</v>
      </c>
      <c r="N2120" s="55" t="s">
        <v>1160</v>
      </c>
      <c r="O2120" s="29" t="s">
        <v>1161</v>
      </c>
      <c r="P2120" s="36">
        <v>42689</v>
      </c>
      <c r="Q2120" s="49">
        <v>26287.25</v>
      </c>
      <c r="R2120" s="33">
        <f>M2120/Q2120</f>
        <v>5.6657124651684754</v>
      </c>
    </row>
    <row r="2121" spans="1:18" ht="15" customHeight="1">
      <c r="A2121" s="37" t="s">
        <v>52</v>
      </c>
      <c r="B2121" s="26" t="s">
        <v>195</v>
      </c>
      <c r="C2121" s="39">
        <v>10</v>
      </c>
      <c r="D2121" s="40" t="s">
        <v>2829</v>
      </c>
      <c r="E2121" s="38" t="s">
        <v>3</v>
      </c>
      <c r="F2121" s="38" t="s">
        <v>12</v>
      </c>
      <c r="G2121" s="32">
        <v>160189679</v>
      </c>
      <c r="H2121" s="32">
        <v>1420470737</v>
      </c>
      <c r="I2121" s="32">
        <v>1825979391</v>
      </c>
      <c r="J2121" s="35">
        <f>+G2121-H2121+I2121</f>
        <v>565698333</v>
      </c>
      <c r="K2121" s="28">
        <v>0</v>
      </c>
      <c r="L2121" s="32">
        <v>0</v>
      </c>
      <c r="M2121" s="35">
        <f>+J2121+L2121</f>
        <v>565698333</v>
      </c>
      <c r="N2121" s="28" t="s">
        <v>2512</v>
      </c>
      <c r="O2121" s="29" t="s">
        <v>2513</v>
      </c>
      <c r="P2121" s="36">
        <v>44301</v>
      </c>
      <c r="Q2121" s="31">
        <v>29662.41</v>
      </c>
      <c r="R2121" s="33">
        <f>M2121/Q2121</f>
        <v>19071.219533409458</v>
      </c>
    </row>
    <row r="2122" spans="1:18" ht="15" customHeight="1">
      <c r="A2122" s="37" t="s">
        <v>2639</v>
      </c>
      <c r="B2122" s="26" t="s">
        <v>2640</v>
      </c>
      <c r="C2122" s="39">
        <v>10</v>
      </c>
      <c r="D2122" s="40" t="s">
        <v>2973</v>
      </c>
      <c r="E2122" s="38" t="s">
        <v>4</v>
      </c>
      <c r="F2122" s="38" t="s">
        <v>13</v>
      </c>
      <c r="G2122" s="32">
        <v>3949120</v>
      </c>
      <c r="H2122" s="32">
        <v>189191</v>
      </c>
      <c r="I2122" s="32">
        <v>2949672</v>
      </c>
      <c r="J2122" s="35">
        <f>+G2122-H2122+I2122</f>
        <v>6709601</v>
      </c>
      <c r="K2122" s="28">
        <v>0</v>
      </c>
      <c r="L2122" s="32">
        <v>0</v>
      </c>
      <c r="M2122" s="35">
        <f>+J2122+L2122</f>
        <v>6709601</v>
      </c>
      <c r="N2122" s="28" t="s">
        <v>2883</v>
      </c>
      <c r="O2122" s="29" t="s">
        <v>2884</v>
      </c>
      <c r="P2122" s="36">
        <v>43307</v>
      </c>
      <c r="Q2122" s="31">
        <v>27198.09</v>
      </c>
      <c r="R2122" s="33">
        <f>M2122/Q2122</f>
        <v>246.69383033882158</v>
      </c>
    </row>
    <row r="2123" spans="1:18" ht="15" customHeight="1">
      <c r="A2123" s="46" t="s">
        <v>52</v>
      </c>
      <c r="B2123" s="47" t="s">
        <v>2606</v>
      </c>
      <c r="C2123" s="65">
        <v>10</v>
      </c>
      <c r="D2123" s="51" t="s">
        <v>2974</v>
      </c>
      <c r="E2123" s="48" t="s">
        <v>6</v>
      </c>
      <c r="F2123" s="48" t="s">
        <v>11</v>
      </c>
      <c r="G2123" s="52">
        <v>6429314</v>
      </c>
      <c r="H2123" s="52">
        <v>0</v>
      </c>
      <c r="I2123" s="52">
        <v>6073147</v>
      </c>
      <c r="J2123" s="53">
        <f>+G2123-H2123+I2123</f>
        <v>12502461</v>
      </c>
      <c r="K2123" s="70">
        <v>0</v>
      </c>
      <c r="L2123" s="52">
        <v>0</v>
      </c>
      <c r="M2123" s="53">
        <f>+J2123+L2123</f>
        <v>12502461</v>
      </c>
      <c r="N2123" s="55" t="s">
        <v>2608</v>
      </c>
      <c r="O2123" s="56" t="s">
        <v>2609</v>
      </c>
      <c r="P2123" s="56">
        <v>44488</v>
      </c>
      <c r="Q2123" s="49">
        <v>30240.57</v>
      </c>
      <c r="R2123" s="57">
        <f>M2123/Q2123</f>
        <v>413.43337774387192</v>
      </c>
    </row>
    <row r="2124" spans="1:18" ht="15" customHeight="1">
      <c r="A2124" s="37" t="s">
        <v>627</v>
      </c>
      <c r="B2124" s="26" t="s">
        <v>1895</v>
      </c>
      <c r="C2124" s="39">
        <v>9</v>
      </c>
      <c r="D2124" s="40" t="s">
        <v>2975</v>
      </c>
      <c r="E2124" s="38" t="s">
        <v>3</v>
      </c>
      <c r="F2124" s="38" t="s">
        <v>11</v>
      </c>
      <c r="G2124" s="32">
        <v>157604</v>
      </c>
      <c r="H2124" s="32">
        <v>0</v>
      </c>
      <c r="I2124" s="52">
        <v>0</v>
      </c>
      <c r="J2124" s="35">
        <f>+G2124-H2124+I2124</f>
        <v>157604</v>
      </c>
      <c r="K2124" s="28">
        <v>0</v>
      </c>
      <c r="L2124" s="32">
        <v>0</v>
      </c>
      <c r="M2124" s="35">
        <f>+J2124+L2124</f>
        <v>157604</v>
      </c>
      <c r="N2124" s="28" t="s">
        <v>1898</v>
      </c>
      <c r="O2124" s="29" t="s">
        <v>1899</v>
      </c>
      <c r="P2124" s="36">
        <v>43829</v>
      </c>
      <c r="Q2124" s="31">
        <v>28309.03</v>
      </c>
      <c r="R2124" s="33">
        <f>M2124/Q2124</f>
        <v>5.5672695249536988</v>
      </c>
    </row>
    <row r="2125" spans="1:18" ht="15" customHeight="1">
      <c r="A2125" s="37" t="s">
        <v>391</v>
      </c>
      <c r="B2125" s="26" t="s">
        <v>392</v>
      </c>
      <c r="C2125" s="39">
        <v>9</v>
      </c>
      <c r="D2125" s="40" t="s">
        <v>2976</v>
      </c>
      <c r="E2125" s="38" t="s">
        <v>3</v>
      </c>
      <c r="F2125" s="38" t="s">
        <v>10</v>
      </c>
      <c r="G2125" s="32">
        <v>20603082</v>
      </c>
      <c r="H2125" s="32">
        <v>0</v>
      </c>
      <c r="I2125" s="32">
        <v>11336495</v>
      </c>
      <c r="J2125" s="35">
        <f>+G2125-H2125+I2125</f>
        <v>31939577</v>
      </c>
      <c r="K2125" s="28">
        <v>0</v>
      </c>
      <c r="L2125" s="32">
        <v>0</v>
      </c>
      <c r="M2125" s="35">
        <f>+J2125+L2125</f>
        <v>31939577</v>
      </c>
      <c r="N2125" s="28" t="s">
        <v>2792</v>
      </c>
      <c r="O2125" s="29" t="s">
        <v>2793</v>
      </c>
      <c r="P2125" s="36">
        <v>43122</v>
      </c>
      <c r="Q2125" s="31">
        <v>26817.16</v>
      </c>
      <c r="R2125" s="33">
        <f>M2125/Q2125</f>
        <v>1191.0126575670206</v>
      </c>
    </row>
    <row r="2126" spans="1:18" ht="15" customHeight="1">
      <c r="A2126" s="37" t="s">
        <v>39</v>
      </c>
      <c r="B2126" s="26" t="s">
        <v>2428</v>
      </c>
      <c r="C2126" s="39">
        <v>33</v>
      </c>
      <c r="D2126" s="40" t="s">
        <v>2977</v>
      </c>
      <c r="E2126" s="38" t="s">
        <v>3</v>
      </c>
      <c r="F2126" s="38" t="s">
        <v>10</v>
      </c>
      <c r="G2126" s="32">
        <v>370415149.27999997</v>
      </c>
      <c r="H2126" s="32">
        <v>304429229.76999998</v>
      </c>
      <c r="I2126" s="52">
        <v>0</v>
      </c>
      <c r="J2126" s="35">
        <f>+G2126-H2126+I2126</f>
        <v>65985919.50999999</v>
      </c>
      <c r="K2126" s="27">
        <v>7</v>
      </c>
      <c r="L2126" s="32">
        <v>95762569</v>
      </c>
      <c r="M2126" s="35">
        <f>+J2126+L2126</f>
        <v>161748488.50999999</v>
      </c>
      <c r="N2126" s="28" t="s">
        <v>2381</v>
      </c>
      <c r="O2126" s="29" t="s">
        <v>2407</v>
      </c>
      <c r="P2126" s="36">
        <v>43277</v>
      </c>
      <c r="Q2126" s="31">
        <v>27147.919999999998</v>
      </c>
      <c r="R2126" s="33">
        <f>M2126/Q2126</f>
        <v>5958.0435079372564</v>
      </c>
    </row>
    <row r="2127" spans="1:18" ht="15" customHeight="1">
      <c r="A2127" s="37" t="s">
        <v>52</v>
      </c>
      <c r="B2127" s="26" t="s">
        <v>555</v>
      </c>
      <c r="C2127" s="39">
        <v>99</v>
      </c>
      <c r="D2127" s="40" t="s">
        <v>2978</v>
      </c>
      <c r="E2127" s="38" t="s">
        <v>3</v>
      </c>
      <c r="F2127" s="38" t="s">
        <v>11</v>
      </c>
      <c r="G2127" s="32">
        <v>370596976</v>
      </c>
      <c r="H2127" s="32">
        <v>385004604</v>
      </c>
      <c r="I2127" s="32">
        <v>273350994</v>
      </c>
      <c r="J2127" s="35">
        <f>+G2127-H2127+I2127</f>
        <v>258943366</v>
      </c>
      <c r="K2127" s="27">
        <v>141</v>
      </c>
      <c r="L2127" s="32">
        <v>1050390498</v>
      </c>
      <c r="M2127" s="35">
        <f>+J2127+L2127</f>
        <v>1309333864</v>
      </c>
      <c r="N2127" s="28" t="s">
        <v>2173</v>
      </c>
      <c r="O2127" s="29" t="s">
        <v>2174</v>
      </c>
      <c r="P2127" s="36">
        <v>43140</v>
      </c>
      <c r="Q2127" s="31">
        <v>26832.73</v>
      </c>
      <c r="R2127" s="33">
        <f>M2127/Q2127</f>
        <v>48796.147987923701</v>
      </c>
    </row>
    <row r="2128" spans="1:18" ht="15" customHeight="1">
      <c r="A2128" s="37" t="s">
        <v>874</v>
      </c>
      <c r="B2128" s="26" t="s">
        <v>875</v>
      </c>
      <c r="C2128" s="39">
        <v>2</v>
      </c>
      <c r="D2128" s="40" t="s">
        <v>2979</v>
      </c>
      <c r="E2128" s="38" t="s">
        <v>3</v>
      </c>
      <c r="F2128" s="38" t="s">
        <v>10</v>
      </c>
      <c r="G2128" s="32">
        <v>379897646</v>
      </c>
      <c r="H2128" s="32">
        <v>10681702</v>
      </c>
      <c r="I2128" s="52">
        <v>0</v>
      </c>
      <c r="J2128" s="35">
        <f>+G2128-H2128+I2128</f>
        <v>369215944</v>
      </c>
      <c r="K2128" s="27">
        <v>255</v>
      </c>
      <c r="L2128" s="32">
        <v>0</v>
      </c>
      <c r="M2128" s="35">
        <f>+J2128+L2128</f>
        <v>369215944</v>
      </c>
      <c r="N2128" s="28" t="s">
        <v>2908</v>
      </c>
      <c r="O2128" s="29" t="s">
        <v>2909</v>
      </c>
      <c r="P2128" s="36">
        <v>43788</v>
      </c>
      <c r="Q2128" s="31">
        <v>28139.99</v>
      </c>
      <c r="R2128" s="33">
        <f>M2128/Q2128</f>
        <v>13120.684975367794</v>
      </c>
    </row>
    <row r="2129" spans="1:18" ht="15" customHeight="1">
      <c r="A2129" s="37" t="s">
        <v>166</v>
      </c>
      <c r="B2129" s="26" t="s">
        <v>167</v>
      </c>
      <c r="C2129" s="39" t="s">
        <v>2980</v>
      </c>
      <c r="D2129" s="40" t="s">
        <v>2981</v>
      </c>
      <c r="E2129" s="38" t="s">
        <v>3</v>
      </c>
      <c r="F2129" s="38" t="s">
        <v>10</v>
      </c>
      <c r="G2129" s="32">
        <v>390088671</v>
      </c>
      <c r="H2129" s="32">
        <v>0</v>
      </c>
      <c r="I2129" s="52">
        <v>0</v>
      </c>
      <c r="J2129" s="35">
        <f>+G2129-H2129+I2129</f>
        <v>390088671</v>
      </c>
      <c r="K2129" s="27">
        <v>70</v>
      </c>
      <c r="L2129" s="32">
        <v>0</v>
      </c>
      <c r="M2129" s="35">
        <f>+J2129+L2129</f>
        <v>390088671</v>
      </c>
      <c r="N2129" s="28" t="s">
        <v>171</v>
      </c>
      <c r="O2129" s="29" t="s">
        <v>642</v>
      </c>
      <c r="P2129" s="36">
        <v>44341</v>
      </c>
      <c r="Q2129" s="31">
        <v>29513.759999999998</v>
      </c>
      <c r="R2129" s="33">
        <v>13217</v>
      </c>
    </row>
    <row r="2130" spans="1:18" ht="15" customHeight="1">
      <c r="A2130" s="37" t="s">
        <v>293</v>
      </c>
      <c r="B2130" s="26" t="s">
        <v>294</v>
      </c>
      <c r="C2130" s="39">
        <v>9</v>
      </c>
      <c r="D2130" s="40" t="s">
        <v>2982</v>
      </c>
      <c r="E2130" s="38" t="s">
        <v>3</v>
      </c>
      <c r="F2130" s="38" t="s">
        <v>13</v>
      </c>
      <c r="G2130" s="32">
        <v>10884821.710000001</v>
      </c>
      <c r="H2130" s="32">
        <v>7975105.1100000003</v>
      </c>
      <c r="I2130" s="52">
        <v>0</v>
      </c>
      <c r="J2130" s="35">
        <f>+G2130-H2130+I2130</f>
        <v>2909716.6000000006</v>
      </c>
      <c r="K2130" s="28">
        <v>0</v>
      </c>
      <c r="L2130" s="32">
        <v>0</v>
      </c>
      <c r="M2130" s="35">
        <f>+J2130+L2130</f>
        <v>2909716.6000000006</v>
      </c>
      <c r="N2130" s="28" t="s">
        <v>2927</v>
      </c>
      <c r="O2130" s="29" t="s">
        <v>2928</v>
      </c>
      <c r="P2130" s="36">
        <v>43518</v>
      </c>
      <c r="Q2130" s="31">
        <v>27551</v>
      </c>
      <c r="R2130" s="33">
        <f>M2130/Q2130</f>
        <v>105.61201408297342</v>
      </c>
    </row>
    <row r="2131" spans="1:18" ht="15" customHeight="1">
      <c r="A2131" s="37" t="s">
        <v>874</v>
      </c>
      <c r="B2131" s="26" t="s">
        <v>875</v>
      </c>
      <c r="C2131" s="39">
        <v>9</v>
      </c>
      <c r="D2131" s="40" t="s">
        <v>2983</v>
      </c>
      <c r="E2131" s="38" t="s">
        <v>3</v>
      </c>
      <c r="F2131" s="38" t="s">
        <v>10</v>
      </c>
      <c r="G2131" s="32">
        <v>211052</v>
      </c>
      <c r="H2131" s="32">
        <v>986356</v>
      </c>
      <c r="I2131" s="52">
        <v>0</v>
      </c>
      <c r="J2131" s="35">
        <f>+G2131-H2131+I2131</f>
        <v>-775304</v>
      </c>
      <c r="K2131" s="28">
        <v>0</v>
      </c>
      <c r="L2131" s="32">
        <v>0</v>
      </c>
      <c r="M2131" s="35">
        <f>+J2131+L2131</f>
        <v>-775304</v>
      </c>
      <c r="N2131" s="28" t="s">
        <v>2908</v>
      </c>
      <c r="O2131" s="29" t="s">
        <v>2909</v>
      </c>
      <c r="P2131" s="36">
        <v>43788</v>
      </c>
      <c r="Q2131" s="31">
        <v>28139.99</v>
      </c>
      <c r="R2131" s="33">
        <f>M2131/Q2131</f>
        <v>-27.551680011257996</v>
      </c>
    </row>
    <row r="2132" spans="1:18" ht="15" customHeight="1">
      <c r="A2132" s="37" t="s">
        <v>391</v>
      </c>
      <c r="B2132" s="26" t="s">
        <v>392</v>
      </c>
      <c r="C2132" s="39">
        <v>126</v>
      </c>
      <c r="D2132" s="40" t="s">
        <v>2984</v>
      </c>
      <c r="E2132" s="38" t="s">
        <v>3</v>
      </c>
      <c r="F2132" s="38" t="s">
        <v>12</v>
      </c>
      <c r="G2132" s="32">
        <v>427100768</v>
      </c>
      <c r="H2132" s="32">
        <v>37159533</v>
      </c>
      <c r="I2132" s="32">
        <v>6221864</v>
      </c>
      <c r="J2132" s="35">
        <f>+G2132-H2132+I2132</f>
        <v>396163099</v>
      </c>
      <c r="K2132" s="27"/>
      <c r="L2132" s="32">
        <v>0</v>
      </c>
      <c r="M2132" s="35">
        <f>+J2132+L2132</f>
        <v>396163099</v>
      </c>
      <c r="N2132" s="28" t="s">
        <v>684</v>
      </c>
      <c r="O2132" s="29" t="s">
        <v>395</v>
      </c>
      <c r="P2132" s="36">
        <v>44293</v>
      </c>
      <c r="Q2132" s="31">
        <v>29408.04</v>
      </c>
      <c r="R2132" s="33">
        <f>M2132/Q2132</f>
        <v>13471.251365272898</v>
      </c>
    </row>
    <row r="2133" spans="1:18" ht="15" customHeight="1">
      <c r="A2133" s="37" t="s">
        <v>356</v>
      </c>
      <c r="B2133" s="26" t="s">
        <v>1841</v>
      </c>
      <c r="C2133" s="39">
        <v>9</v>
      </c>
      <c r="D2133" s="40" t="s">
        <v>2985</v>
      </c>
      <c r="E2133" s="38" t="s">
        <v>3</v>
      </c>
      <c r="F2133" s="38" t="s">
        <v>10</v>
      </c>
      <c r="G2133" s="32">
        <v>59616267</v>
      </c>
      <c r="H2133" s="32">
        <v>0</v>
      </c>
      <c r="I2133" s="32">
        <v>11606760</v>
      </c>
      <c r="J2133" s="35">
        <f>+G2133-H2133+I2133</f>
        <v>71223027</v>
      </c>
      <c r="K2133" s="28">
        <v>0</v>
      </c>
      <c r="L2133" s="32">
        <v>0</v>
      </c>
      <c r="M2133" s="35">
        <f>+J2133+L2133</f>
        <v>71223027</v>
      </c>
      <c r="N2133" s="28" t="s">
        <v>2963</v>
      </c>
      <c r="O2133" s="29" t="s">
        <v>2964</v>
      </c>
      <c r="P2133" s="36">
        <v>43796</v>
      </c>
      <c r="Q2133" s="31">
        <v>28199.85</v>
      </c>
      <c r="R2133" s="33">
        <f>M2133/Q2133</f>
        <v>2525.6526896419664</v>
      </c>
    </row>
    <row r="2134" spans="1:18" ht="15" customHeight="1">
      <c r="A2134" s="37" t="s">
        <v>356</v>
      </c>
      <c r="B2134" s="26" t="s">
        <v>1540</v>
      </c>
      <c r="C2134" s="39">
        <v>9</v>
      </c>
      <c r="D2134" s="40" t="s">
        <v>2986</v>
      </c>
      <c r="E2134" s="38" t="s">
        <v>3</v>
      </c>
      <c r="F2134" s="38" t="s">
        <v>10</v>
      </c>
      <c r="G2134" s="32">
        <v>159873833</v>
      </c>
      <c r="H2134" s="32">
        <v>0</v>
      </c>
      <c r="I2134" s="52">
        <v>0</v>
      </c>
      <c r="J2134" s="35">
        <f>+G2134-H2134+I2134</f>
        <v>159873833</v>
      </c>
      <c r="K2134" s="28">
        <v>0</v>
      </c>
      <c r="L2134" s="32">
        <v>0</v>
      </c>
      <c r="M2134" s="35">
        <f>+J2134+L2134</f>
        <v>159873833</v>
      </c>
      <c r="N2134" s="28" t="s">
        <v>2635</v>
      </c>
      <c r="O2134" s="29" t="s">
        <v>2636</v>
      </c>
      <c r="P2134" s="36">
        <v>42655</v>
      </c>
      <c r="Q2134" s="31">
        <v>26229.37</v>
      </c>
      <c r="R2134" s="33">
        <f>M2134/Q2134</f>
        <v>6095.2219973258989</v>
      </c>
    </row>
    <row r="2135" spans="1:18" ht="15" customHeight="1">
      <c r="A2135" s="37" t="s">
        <v>39</v>
      </c>
      <c r="B2135" s="26" t="s">
        <v>1658</v>
      </c>
      <c r="C2135" s="39">
        <v>9</v>
      </c>
      <c r="D2135" s="40" t="s">
        <v>2987</v>
      </c>
      <c r="E2135" s="38" t="s">
        <v>3</v>
      </c>
      <c r="F2135" s="38" t="s">
        <v>10</v>
      </c>
      <c r="G2135" s="32">
        <v>1489119.9855</v>
      </c>
      <c r="H2135" s="32">
        <v>0</v>
      </c>
      <c r="I2135" s="32">
        <v>1125196.5</v>
      </c>
      <c r="J2135" s="35">
        <f>+G2135-H2135+I2135</f>
        <v>2614316.4855</v>
      </c>
      <c r="K2135" s="28">
        <v>0</v>
      </c>
      <c r="L2135" s="32">
        <v>0</v>
      </c>
      <c r="M2135" s="35">
        <f>+J2135+L2135</f>
        <v>2614316.4855</v>
      </c>
      <c r="N2135" s="28" t="s">
        <v>2430</v>
      </c>
      <c r="O2135" s="29" t="s">
        <v>2431</v>
      </c>
      <c r="P2135" s="36">
        <v>43133</v>
      </c>
      <c r="Q2135" s="31">
        <v>26826.67</v>
      </c>
      <c r="R2135" s="33">
        <f>M2135/Q2135</f>
        <v>97.452143165737681</v>
      </c>
    </row>
    <row r="2136" spans="1:18" ht="15" customHeight="1">
      <c r="A2136" s="37" t="s">
        <v>166</v>
      </c>
      <c r="B2136" s="26" t="s">
        <v>167</v>
      </c>
      <c r="C2136" s="39" t="s">
        <v>2988</v>
      </c>
      <c r="D2136" s="40" t="s">
        <v>2989</v>
      </c>
      <c r="E2136" s="38" t="s">
        <v>3</v>
      </c>
      <c r="F2136" s="38" t="s">
        <v>10</v>
      </c>
      <c r="G2136" s="32">
        <v>473274398</v>
      </c>
      <c r="H2136" s="32">
        <v>3502913</v>
      </c>
      <c r="I2136" s="32">
        <v>47982042</v>
      </c>
      <c r="J2136" s="35">
        <f>+G2136-H2136+I2136</f>
        <v>517753527</v>
      </c>
      <c r="K2136" s="27">
        <v>179</v>
      </c>
      <c r="L2136" s="32">
        <v>0</v>
      </c>
      <c r="M2136" s="35">
        <f>+J2136+L2136</f>
        <v>517753527</v>
      </c>
      <c r="N2136" s="28" t="s">
        <v>171</v>
      </c>
      <c r="O2136" s="29" t="s">
        <v>642</v>
      </c>
      <c r="P2136" s="36">
        <v>44341</v>
      </c>
      <c r="Q2136" s="31">
        <v>29513.759999999998</v>
      </c>
      <c r="R2136" s="33">
        <v>17543</v>
      </c>
    </row>
    <row r="2137" spans="1:18" ht="15" customHeight="1">
      <c r="A2137" s="37" t="s">
        <v>2639</v>
      </c>
      <c r="B2137" s="26" t="s">
        <v>2640</v>
      </c>
      <c r="C2137" s="39">
        <v>9</v>
      </c>
      <c r="D2137" s="40" t="s">
        <v>2990</v>
      </c>
      <c r="E2137" s="38" t="s">
        <v>4</v>
      </c>
      <c r="F2137" s="38" t="s">
        <v>11</v>
      </c>
      <c r="G2137" s="32">
        <v>0</v>
      </c>
      <c r="H2137" s="32">
        <v>0</v>
      </c>
      <c r="I2137" s="32">
        <v>438125</v>
      </c>
      <c r="J2137" s="35">
        <f>+G2137-H2137+I2137</f>
        <v>438125</v>
      </c>
      <c r="K2137" s="28">
        <v>0</v>
      </c>
      <c r="L2137" s="32">
        <v>0</v>
      </c>
      <c r="M2137" s="35">
        <f>+J2137+L2137</f>
        <v>438125</v>
      </c>
      <c r="N2137" s="28" t="s">
        <v>2883</v>
      </c>
      <c r="O2137" s="29" t="s">
        <v>2884</v>
      </c>
      <c r="P2137" s="36">
        <v>43307</v>
      </c>
      <c r="Q2137" s="31">
        <v>27198.09</v>
      </c>
      <c r="R2137" s="33">
        <f>M2137/Q2137</f>
        <v>16.108667924843253</v>
      </c>
    </row>
    <row r="2138" spans="1:18" ht="15" customHeight="1">
      <c r="A2138" s="37" t="s">
        <v>52</v>
      </c>
      <c r="B2138" s="26" t="s">
        <v>2606</v>
      </c>
      <c r="C2138" s="39">
        <v>9</v>
      </c>
      <c r="D2138" s="40" t="s">
        <v>2991</v>
      </c>
      <c r="E2138" s="38" t="s">
        <v>4</v>
      </c>
      <c r="F2138" s="38" t="s">
        <v>13</v>
      </c>
      <c r="G2138" s="32">
        <v>20944530</v>
      </c>
      <c r="H2138" s="32">
        <v>-20944530</v>
      </c>
      <c r="I2138" s="52">
        <v>0</v>
      </c>
      <c r="J2138" s="35">
        <f>+G2138-H2138+I2138</f>
        <v>41889060</v>
      </c>
      <c r="K2138" s="28">
        <v>0</v>
      </c>
      <c r="L2138" s="32">
        <v>0</v>
      </c>
      <c r="M2138" s="35">
        <f>+J2138+L2138</f>
        <v>41889060</v>
      </c>
      <c r="N2138" s="28" t="s">
        <v>2684</v>
      </c>
      <c r="O2138" s="29" t="s">
        <v>2685</v>
      </c>
      <c r="P2138" s="36">
        <v>42727</v>
      </c>
      <c r="Q2138" s="31">
        <v>26341.19</v>
      </c>
      <c r="R2138" s="33">
        <f>M2138/Q2138</f>
        <v>1590.2493395324966</v>
      </c>
    </row>
    <row r="2139" spans="1:18" ht="15" customHeight="1">
      <c r="A2139" s="37" t="s">
        <v>627</v>
      </c>
      <c r="B2139" s="26" t="s">
        <v>628</v>
      </c>
      <c r="C2139" s="39">
        <v>8</v>
      </c>
      <c r="D2139" s="40" t="s">
        <v>2992</v>
      </c>
      <c r="E2139" s="38" t="s">
        <v>4</v>
      </c>
      <c r="F2139" s="38" t="s">
        <v>11</v>
      </c>
      <c r="G2139" s="32">
        <v>0</v>
      </c>
      <c r="H2139" s="32">
        <v>1348233</v>
      </c>
      <c r="I2139" s="32">
        <v>629770</v>
      </c>
      <c r="J2139" s="35">
        <f>+G2139-H2139+I2139</f>
        <v>-718463</v>
      </c>
      <c r="K2139" s="28">
        <v>0</v>
      </c>
      <c r="L2139" s="32">
        <v>0</v>
      </c>
      <c r="M2139" s="35">
        <f>+J2139+L2139</f>
        <v>-718463</v>
      </c>
      <c r="N2139" s="28" t="s">
        <v>2105</v>
      </c>
      <c r="O2139" s="29" t="s">
        <v>2106</v>
      </c>
      <c r="P2139" s="36">
        <v>43690</v>
      </c>
      <c r="Q2139" s="31">
        <v>27960.63</v>
      </c>
      <c r="R2139" s="33">
        <f>M2139/Q2139</f>
        <v>-25.695522597309143</v>
      </c>
    </row>
    <row r="2140" spans="1:18" ht="15" customHeight="1">
      <c r="A2140" s="37" t="s">
        <v>627</v>
      </c>
      <c r="B2140" s="26" t="s">
        <v>1895</v>
      </c>
      <c r="C2140" s="39">
        <v>8</v>
      </c>
      <c r="D2140" s="40" t="s">
        <v>2993</v>
      </c>
      <c r="E2140" s="38" t="s">
        <v>3</v>
      </c>
      <c r="F2140" s="38" t="s">
        <v>21</v>
      </c>
      <c r="G2140" s="32">
        <v>10022</v>
      </c>
      <c r="H2140" s="32">
        <v>0</v>
      </c>
      <c r="I2140" s="32">
        <v>167358</v>
      </c>
      <c r="J2140" s="35">
        <f>+G2140-H2140+I2140</f>
        <v>177380</v>
      </c>
      <c r="K2140" s="28">
        <v>0</v>
      </c>
      <c r="L2140" s="32">
        <v>0</v>
      </c>
      <c r="M2140" s="35">
        <f>+J2140+L2140</f>
        <v>177380</v>
      </c>
      <c r="N2140" s="28" t="s">
        <v>1898</v>
      </c>
      <c r="O2140" s="29" t="s">
        <v>1899</v>
      </c>
      <c r="P2140" s="36">
        <v>43829</v>
      </c>
      <c r="Q2140" s="31">
        <v>28309.03</v>
      </c>
      <c r="R2140" s="33">
        <f>M2140/Q2140</f>
        <v>6.2658452091081891</v>
      </c>
    </row>
    <row r="2141" spans="1:18" ht="15" customHeight="1">
      <c r="A2141" s="37" t="s">
        <v>52</v>
      </c>
      <c r="B2141" s="26" t="s">
        <v>622</v>
      </c>
      <c r="C2141" s="65">
        <v>8</v>
      </c>
      <c r="D2141" s="51" t="s">
        <v>2994</v>
      </c>
      <c r="E2141" s="38" t="s">
        <v>3</v>
      </c>
      <c r="F2141" s="38" t="s">
        <v>21</v>
      </c>
      <c r="G2141" s="52">
        <v>590146279</v>
      </c>
      <c r="H2141" s="52">
        <v>197324990</v>
      </c>
      <c r="I2141" s="52">
        <v>9382185</v>
      </c>
      <c r="J2141" s="53">
        <f>+G2141-H2141+I2141</f>
        <v>402203474</v>
      </c>
      <c r="K2141" s="27">
        <v>65</v>
      </c>
      <c r="L2141" s="32">
        <v>0</v>
      </c>
      <c r="M2141" s="53">
        <f>+J2141+L2141</f>
        <v>402203474</v>
      </c>
      <c r="N2141" s="55" t="s">
        <v>1105</v>
      </c>
      <c r="O2141" s="29" t="s">
        <v>1106</v>
      </c>
      <c r="P2141" s="36">
        <v>43487</v>
      </c>
      <c r="Q2141" s="49">
        <v>27554.23</v>
      </c>
      <c r="R2141" s="33">
        <f>M2141/Q2141</f>
        <v>14596.795991032955</v>
      </c>
    </row>
    <row r="2142" spans="1:18" ht="15" customHeight="1">
      <c r="A2142" s="37" t="s">
        <v>391</v>
      </c>
      <c r="B2142" s="26" t="s">
        <v>392</v>
      </c>
      <c r="C2142" s="39">
        <v>8</v>
      </c>
      <c r="D2142" s="40" t="s">
        <v>2995</v>
      </c>
      <c r="E2142" s="38" t="s">
        <v>3</v>
      </c>
      <c r="F2142" s="38" t="s">
        <v>10</v>
      </c>
      <c r="G2142" s="32">
        <v>3131429</v>
      </c>
      <c r="H2142" s="32">
        <v>0</v>
      </c>
      <c r="I2142" s="52">
        <v>0</v>
      </c>
      <c r="J2142" s="35">
        <f>+G2142-H2142+I2142</f>
        <v>3131429</v>
      </c>
      <c r="K2142" s="28">
        <v>0</v>
      </c>
      <c r="L2142" s="32">
        <v>0</v>
      </c>
      <c r="M2142" s="35">
        <f>+J2142+L2142</f>
        <v>3131429</v>
      </c>
      <c r="N2142" s="28" t="s">
        <v>2792</v>
      </c>
      <c r="O2142" s="29" t="s">
        <v>2793</v>
      </c>
      <c r="P2142" s="36">
        <v>43122</v>
      </c>
      <c r="Q2142" s="31">
        <v>26817.16</v>
      </c>
      <c r="R2142" s="33">
        <f>M2142/Q2142</f>
        <v>116.76959827215111</v>
      </c>
    </row>
    <row r="2143" spans="1:18" ht="15" customHeight="1">
      <c r="A2143" s="37" t="s">
        <v>688</v>
      </c>
      <c r="B2143" s="26" t="s">
        <v>736</v>
      </c>
      <c r="C2143" s="39">
        <v>8</v>
      </c>
      <c r="D2143" s="40" t="s">
        <v>2996</v>
      </c>
      <c r="E2143" s="38" t="s">
        <v>3</v>
      </c>
      <c r="F2143" s="38" t="s">
        <v>12</v>
      </c>
      <c r="G2143" s="32">
        <v>264199.73277499998</v>
      </c>
      <c r="H2143" s="32">
        <v>0</v>
      </c>
      <c r="I2143" s="52">
        <v>0</v>
      </c>
      <c r="J2143" s="35">
        <f>+G2143-H2143+I2143</f>
        <v>264199.73277499998</v>
      </c>
      <c r="K2143" s="28">
        <v>0</v>
      </c>
      <c r="L2143" s="32">
        <v>0</v>
      </c>
      <c r="M2143" s="35">
        <f>+J2143+L2143</f>
        <v>264199.73277499998</v>
      </c>
      <c r="N2143" s="28" t="s">
        <v>2508</v>
      </c>
      <c r="O2143" s="29" t="s">
        <v>2509</v>
      </c>
      <c r="P2143" s="36">
        <v>43427</v>
      </c>
      <c r="Q2143" s="31">
        <v>27507.17</v>
      </c>
      <c r="R2143" s="33">
        <f>M2143/Q2143</f>
        <v>9.6047587874361486</v>
      </c>
    </row>
    <row r="2144" spans="1:18" ht="15" customHeight="1">
      <c r="A2144" s="37" t="s">
        <v>293</v>
      </c>
      <c r="B2144" s="26" t="s">
        <v>294</v>
      </c>
      <c r="C2144" s="39">
        <v>8</v>
      </c>
      <c r="D2144" s="40" t="s">
        <v>2997</v>
      </c>
      <c r="E2144" s="38" t="s">
        <v>3</v>
      </c>
      <c r="F2144" s="38" t="s">
        <v>13</v>
      </c>
      <c r="G2144" s="32">
        <v>6881119.0090934196</v>
      </c>
      <c r="H2144" s="32">
        <v>5901393.2603807999</v>
      </c>
      <c r="I2144" s="32">
        <v>11419212.2458762</v>
      </c>
      <c r="J2144" s="35">
        <f>+G2144-H2144+I2144</f>
        <v>12398937.99458882</v>
      </c>
      <c r="K2144" s="28">
        <v>0</v>
      </c>
      <c r="L2144" s="32">
        <v>0</v>
      </c>
      <c r="M2144" s="35">
        <f>+J2144+L2144</f>
        <v>12398937.99458882</v>
      </c>
      <c r="N2144" s="28" t="s">
        <v>2927</v>
      </c>
      <c r="O2144" s="29" t="s">
        <v>2928</v>
      </c>
      <c r="P2144" s="36">
        <v>43518</v>
      </c>
      <c r="Q2144" s="31">
        <v>27551</v>
      </c>
      <c r="R2144" s="33">
        <f>M2144/Q2144</f>
        <v>450.03586057089836</v>
      </c>
    </row>
    <row r="2145" spans="1:18" ht="15" customHeight="1">
      <c r="A2145" s="37" t="s">
        <v>52</v>
      </c>
      <c r="B2145" s="26" t="s">
        <v>195</v>
      </c>
      <c r="C2145" s="39">
        <v>1</v>
      </c>
      <c r="D2145" s="40" t="s">
        <v>2761</v>
      </c>
      <c r="E2145" s="38" t="s">
        <v>3</v>
      </c>
      <c r="F2145" s="38" t="s">
        <v>10</v>
      </c>
      <c r="G2145" s="32">
        <v>815473046</v>
      </c>
      <c r="H2145" s="32">
        <v>583742807</v>
      </c>
      <c r="I2145" s="32">
        <v>1027651383</v>
      </c>
      <c r="J2145" s="35">
        <f>+G2145-H2145+I2145</f>
        <v>1259381622</v>
      </c>
      <c r="K2145" s="27">
        <v>150</v>
      </c>
      <c r="L2145" s="32">
        <v>0</v>
      </c>
      <c r="M2145" s="35">
        <f>+J2145+L2145</f>
        <v>1259381622</v>
      </c>
      <c r="N2145" s="28" t="s">
        <v>2998</v>
      </c>
      <c r="O2145" s="29" t="s">
        <v>2999</v>
      </c>
      <c r="P2145" s="36">
        <v>43976</v>
      </c>
      <c r="Q2145" s="31">
        <v>28716.52</v>
      </c>
      <c r="R2145" s="33">
        <f>M2145/Q2145</f>
        <v>43855.649013181261</v>
      </c>
    </row>
    <row r="2146" spans="1:18" ht="15" customHeight="1">
      <c r="A2146" s="37" t="s">
        <v>166</v>
      </c>
      <c r="B2146" s="26" t="s">
        <v>167</v>
      </c>
      <c r="C2146" s="39" t="s">
        <v>3000</v>
      </c>
      <c r="D2146" s="40" t="s">
        <v>3001</v>
      </c>
      <c r="E2146" s="38" t="s">
        <v>3</v>
      </c>
      <c r="F2146" s="38" t="s">
        <v>10</v>
      </c>
      <c r="G2146" s="32">
        <v>816149855</v>
      </c>
      <c r="H2146" s="32">
        <v>0</v>
      </c>
      <c r="I2146" s="32">
        <v>457416327</v>
      </c>
      <c r="J2146" s="35">
        <f>+G2146-H2146+I2146</f>
        <v>1273566182</v>
      </c>
      <c r="K2146" s="27">
        <v>165</v>
      </c>
      <c r="L2146" s="32">
        <v>0</v>
      </c>
      <c r="M2146" s="35">
        <f>+J2146+L2146</f>
        <v>1273566182</v>
      </c>
      <c r="N2146" s="28" t="s">
        <v>171</v>
      </c>
      <c r="O2146" s="29" t="s">
        <v>642</v>
      </c>
      <c r="P2146" s="36">
        <v>44341</v>
      </c>
      <c r="Q2146" s="31">
        <v>29513.759999999998</v>
      </c>
      <c r="R2146" s="33">
        <v>43152</v>
      </c>
    </row>
    <row r="2147" spans="1:18" ht="15" customHeight="1">
      <c r="A2147" s="37" t="s">
        <v>166</v>
      </c>
      <c r="B2147" s="26" t="s">
        <v>167</v>
      </c>
      <c r="C2147" s="39" t="s">
        <v>3002</v>
      </c>
      <c r="D2147" s="40" t="s">
        <v>3003</v>
      </c>
      <c r="E2147" s="38" t="s">
        <v>3</v>
      </c>
      <c r="F2147" s="38" t="s">
        <v>10</v>
      </c>
      <c r="G2147" s="32">
        <v>840565283</v>
      </c>
      <c r="H2147" s="32">
        <v>0</v>
      </c>
      <c r="I2147" s="32">
        <v>292636187</v>
      </c>
      <c r="J2147" s="35">
        <f>+G2147-H2147+I2147</f>
        <v>1133201470</v>
      </c>
      <c r="K2147" s="27">
        <v>191</v>
      </c>
      <c r="L2147" s="32">
        <v>0</v>
      </c>
      <c r="M2147" s="35">
        <f>+J2147+L2147</f>
        <v>1133201470</v>
      </c>
      <c r="N2147" s="28" t="s">
        <v>171</v>
      </c>
      <c r="O2147" s="29" t="s">
        <v>642</v>
      </c>
      <c r="P2147" s="36">
        <v>44341</v>
      </c>
      <c r="Q2147" s="31">
        <v>29513.759999999998</v>
      </c>
      <c r="R2147" s="33">
        <v>38396</v>
      </c>
    </row>
    <row r="2148" spans="1:18" ht="15" customHeight="1">
      <c r="A2148" s="37" t="s">
        <v>166</v>
      </c>
      <c r="B2148" s="26" t="s">
        <v>167</v>
      </c>
      <c r="C2148" s="39" t="s">
        <v>3004</v>
      </c>
      <c r="D2148" s="40" t="s">
        <v>3005</v>
      </c>
      <c r="E2148" s="38" t="s">
        <v>3</v>
      </c>
      <c r="F2148" s="38" t="s">
        <v>10</v>
      </c>
      <c r="G2148" s="32">
        <v>1048042299</v>
      </c>
      <c r="H2148" s="32">
        <v>100068893</v>
      </c>
      <c r="I2148" s="52">
        <v>0</v>
      </c>
      <c r="J2148" s="35">
        <f>+G2148-H2148+I2148</f>
        <v>947973406</v>
      </c>
      <c r="K2148" s="27">
        <v>116</v>
      </c>
      <c r="L2148" s="32">
        <v>0</v>
      </c>
      <c r="M2148" s="35">
        <f>+J2148+L2148</f>
        <v>947973406</v>
      </c>
      <c r="N2148" s="28" t="s">
        <v>171</v>
      </c>
      <c r="O2148" s="29" t="s">
        <v>642</v>
      </c>
      <c r="P2148" s="36">
        <v>44341</v>
      </c>
      <c r="Q2148" s="31">
        <v>29513.759999999998</v>
      </c>
      <c r="R2148" s="33">
        <v>32120</v>
      </c>
    </row>
    <row r="2149" spans="1:18" ht="15" customHeight="1">
      <c r="A2149" s="37" t="s">
        <v>874</v>
      </c>
      <c r="B2149" s="26" t="s">
        <v>875</v>
      </c>
      <c r="C2149" s="39">
        <v>8</v>
      </c>
      <c r="D2149" s="40" t="s">
        <v>3006</v>
      </c>
      <c r="E2149" s="38" t="s">
        <v>3</v>
      </c>
      <c r="F2149" s="38" t="s">
        <v>10</v>
      </c>
      <c r="G2149" s="32">
        <v>135947</v>
      </c>
      <c r="H2149" s="32">
        <v>112207</v>
      </c>
      <c r="I2149" s="52">
        <v>0</v>
      </c>
      <c r="J2149" s="35">
        <f>+G2149-H2149+I2149</f>
        <v>23740</v>
      </c>
      <c r="K2149" s="28">
        <v>0</v>
      </c>
      <c r="L2149" s="32">
        <v>0</v>
      </c>
      <c r="M2149" s="35">
        <f>+J2149+L2149</f>
        <v>23740</v>
      </c>
      <c r="N2149" s="28" t="s">
        <v>2908</v>
      </c>
      <c r="O2149" s="29" t="s">
        <v>2909</v>
      </c>
      <c r="P2149" s="36">
        <v>43788</v>
      </c>
      <c r="Q2149" s="31">
        <v>28139.99</v>
      </c>
      <c r="R2149" s="33">
        <f>M2149/Q2149</f>
        <v>0.84363924791728773</v>
      </c>
    </row>
    <row r="2150" spans="1:18" ht="15" customHeight="1">
      <c r="A2150" s="37" t="s">
        <v>321</v>
      </c>
      <c r="B2150" s="26" t="s">
        <v>322</v>
      </c>
      <c r="C2150" s="39">
        <v>11</v>
      </c>
      <c r="D2150" s="40" t="s">
        <v>3007</v>
      </c>
      <c r="E2150" s="38" t="s">
        <v>4</v>
      </c>
      <c r="F2150" s="38" t="s">
        <v>13</v>
      </c>
      <c r="G2150" s="32">
        <v>1145092659</v>
      </c>
      <c r="H2150" s="32">
        <v>3895614308</v>
      </c>
      <c r="I2150" s="32">
        <v>2678319189</v>
      </c>
      <c r="J2150" s="35">
        <f>+G2150-H2150+I2150</f>
        <v>-72202460</v>
      </c>
      <c r="K2150" s="27" t="s">
        <v>170</v>
      </c>
      <c r="L2150" s="32">
        <v>0</v>
      </c>
      <c r="M2150" s="35">
        <f>+J2150+L2150</f>
        <v>-72202460</v>
      </c>
      <c r="N2150" s="28" t="s">
        <v>324</v>
      </c>
      <c r="O2150" s="29" t="s">
        <v>325</v>
      </c>
      <c r="P2150" s="36">
        <v>44508</v>
      </c>
      <c r="Q2150" s="31">
        <v>30474.19</v>
      </c>
      <c r="R2150" s="33">
        <v>-2369</v>
      </c>
    </row>
    <row r="2151" spans="1:18" ht="15" customHeight="1">
      <c r="A2151" s="37" t="s">
        <v>874</v>
      </c>
      <c r="B2151" s="26" t="s">
        <v>875</v>
      </c>
      <c r="C2151" s="39">
        <v>38</v>
      </c>
      <c r="D2151" s="40" t="s">
        <v>3008</v>
      </c>
      <c r="E2151" s="38" t="s">
        <v>3</v>
      </c>
      <c r="F2151" s="38" t="s">
        <v>10</v>
      </c>
      <c r="G2151" s="32">
        <v>1355689599</v>
      </c>
      <c r="H2151" s="32">
        <v>681437959</v>
      </c>
      <c r="I2151" s="32"/>
      <c r="J2151" s="35">
        <f>+G2151-H2151+I2151</f>
        <v>674251640</v>
      </c>
      <c r="K2151" s="27">
        <v>437</v>
      </c>
      <c r="L2151" s="32">
        <v>0</v>
      </c>
      <c r="M2151" s="35">
        <f>+J2151+L2151</f>
        <v>674251640</v>
      </c>
      <c r="N2151" s="28" t="s">
        <v>1179</v>
      </c>
      <c r="O2151" s="29" t="s">
        <v>1180</v>
      </c>
      <c r="P2151" s="36">
        <v>44454</v>
      </c>
      <c r="Q2151" s="31">
        <v>30028</v>
      </c>
      <c r="R2151" s="33">
        <v>22453.81</v>
      </c>
    </row>
    <row r="2152" spans="1:18" ht="15" customHeight="1">
      <c r="A2152" s="37" t="s">
        <v>356</v>
      </c>
      <c r="B2152" s="26" t="s">
        <v>1540</v>
      </c>
      <c r="C2152" s="39">
        <v>3</v>
      </c>
      <c r="D2152" s="40" t="s">
        <v>3009</v>
      </c>
      <c r="E2152" s="38" t="s">
        <v>3</v>
      </c>
      <c r="F2152" s="38" t="s">
        <v>10</v>
      </c>
      <c r="G2152" s="32">
        <v>1403377204.5849004</v>
      </c>
      <c r="H2152" s="32">
        <v>0</v>
      </c>
      <c r="I2152" s="52">
        <v>0</v>
      </c>
      <c r="J2152" s="35">
        <f>+G2152-H2152+I2152</f>
        <v>1403377204.5849004</v>
      </c>
      <c r="K2152" s="27">
        <v>38</v>
      </c>
      <c r="L2152" s="32">
        <v>337974971</v>
      </c>
      <c r="M2152" s="35">
        <f>+J2152+L2152</f>
        <v>1741352175.5849004</v>
      </c>
      <c r="N2152" s="28" t="s">
        <v>2911</v>
      </c>
      <c r="O2152" s="29" t="s">
        <v>2912</v>
      </c>
      <c r="P2152" s="36">
        <v>42551</v>
      </c>
      <c r="Q2152" s="31">
        <v>26052.07</v>
      </c>
      <c r="R2152" s="33">
        <f>M2152/Q2152</f>
        <v>66841.221276654804</v>
      </c>
    </row>
    <row r="2153" spans="1:18" ht="15" customHeight="1">
      <c r="A2153" s="37" t="s">
        <v>356</v>
      </c>
      <c r="B2153" s="26" t="s">
        <v>1841</v>
      </c>
      <c r="C2153" s="39">
        <v>8</v>
      </c>
      <c r="D2153" s="40" t="s">
        <v>3010</v>
      </c>
      <c r="E2153" s="38" t="s">
        <v>4</v>
      </c>
      <c r="F2153" s="38" t="s">
        <v>13</v>
      </c>
      <c r="G2153" s="32">
        <v>1327428</v>
      </c>
      <c r="H2153" s="32">
        <v>0</v>
      </c>
      <c r="I2153" s="32">
        <v>246326</v>
      </c>
      <c r="J2153" s="35">
        <f>+G2153-H2153+I2153</f>
        <v>1573754</v>
      </c>
      <c r="K2153" s="28">
        <v>0</v>
      </c>
      <c r="L2153" s="32">
        <v>0</v>
      </c>
      <c r="M2153" s="35">
        <f>+J2153+L2153</f>
        <v>1573754</v>
      </c>
      <c r="N2153" s="28" t="s">
        <v>2963</v>
      </c>
      <c r="O2153" s="29" t="s">
        <v>2964</v>
      </c>
      <c r="P2153" s="36">
        <v>43796</v>
      </c>
      <c r="Q2153" s="31">
        <v>28199.85</v>
      </c>
      <c r="R2153" s="33">
        <f>M2153/Q2153</f>
        <v>55.807176279306454</v>
      </c>
    </row>
    <row r="2154" spans="1:18" ht="15" customHeight="1">
      <c r="A2154" s="37" t="s">
        <v>39</v>
      </c>
      <c r="B2154" s="26" t="s">
        <v>1658</v>
      </c>
      <c r="C2154" s="39">
        <v>8</v>
      </c>
      <c r="D2154" s="40" t="s">
        <v>3011</v>
      </c>
      <c r="E2154" s="38" t="s">
        <v>3</v>
      </c>
      <c r="F2154" s="38" t="s">
        <v>10</v>
      </c>
      <c r="G2154" s="32">
        <v>24556388</v>
      </c>
      <c r="H2154" s="32">
        <v>21754652</v>
      </c>
      <c r="I2154" s="32">
        <v>4764524.38</v>
      </c>
      <c r="J2154" s="35">
        <f>+G2154-H2154+I2154</f>
        <v>7566260.3799999999</v>
      </c>
      <c r="K2154" s="28">
        <v>0</v>
      </c>
      <c r="L2154" s="32">
        <v>0</v>
      </c>
      <c r="M2154" s="35">
        <f>+J2154+L2154</f>
        <v>7566260.3799999999</v>
      </c>
      <c r="N2154" s="28" t="s">
        <v>2430</v>
      </c>
      <c r="O2154" s="29" t="s">
        <v>2431</v>
      </c>
      <c r="P2154" s="36">
        <v>43133</v>
      </c>
      <c r="Q2154" s="31">
        <v>26826.67</v>
      </c>
      <c r="R2154" s="33">
        <f>M2154/Q2154</f>
        <v>282.04247414979199</v>
      </c>
    </row>
    <row r="2155" spans="1:18" ht="15" customHeight="1">
      <c r="A2155" s="37" t="s">
        <v>52</v>
      </c>
      <c r="B2155" s="26" t="s">
        <v>555</v>
      </c>
      <c r="C2155" s="65">
        <v>8</v>
      </c>
      <c r="D2155" s="51" t="s">
        <v>3012</v>
      </c>
      <c r="E2155" s="38" t="s">
        <v>3</v>
      </c>
      <c r="F2155" s="38" t="s">
        <v>15</v>
      </c>
      <c r="G2155" s="52">
        <v>3921599</v>
      </c>
      <c r="H2155" s="52">
        <v>0</v>
      </c>
      <c r="I2155" s="52">
        <v>28605</v>
      </c>
      <c r="J2155" s="53">
        <f>+G2155-H2155+I2155</f>
        <v>3950204</v>
      </c>
      <c r="K2155" s="28">
        <v>0</v>
      </c>
      <c r="L2155" s="32">
        <v>0</v>
      </c>
      <c r="M2155" s="53">
        <f>+J2155+L2155</f>
        <v>3950204</v>
      </c>
      <c r="N2155" s="55" t="s">
        <v>1160</v>
      </c>
      <c r="O2155" s="29" t="s">
        <v>1161</v>
      </c>
      <c r="P2155" s="36">
        <v>42689</v>
      </c>
      <c r="Q2155" s="49">
        <v>26287.25</v>
      </c>
      <c r="R2155" s="33">
        <f>M2155/Q2155</f>
        <v>150.27072059648688</v>
      </c>
    </row>
    <row r="2156" spans="1:18" ht="15" customHeight="1">
      <c r="A2156" s="37" t="s">
        <v>52</v>
      </c>
      <c r="B2156" s="26" t="s">
        <v>195</v>
      </c>
      <c r="C2156" s="39">
        <v>8</v>
      </c>
      <c r="D2156" s="40" t="s">
        <v>3013</v>
      </c>
      <c r="E2156" s="38" t="s">
        <v>3</v>
      </c>
      <c r="F2156" s="38" t="s">
        <v>10</v>
      </c>
      <c r="G2156" s="32">
        <v>2763706</v>
      </c>
      <c r="H2156" s="32">
        <v>1081028</v>
      </c>
      <c r="I2156" s="32">
        <v>1332592</v>
      </c>
      <c r="J2156" s="35">
        <f>+G2156-H2156+I2156</f>
        <v>3015270</v>
      </c>
      <c r="K2156" s="28">
        <v>0</v>
      </c>
      <c r="L2156" s="32">
        <v>0</v>
      </c>
      <c r="M2156" s="35">
        <f>+J2156+L2156</f>
        <v>3015270</v>
      </c>
      <c r="N2156" s="28" t="s">
        <v>2897</v>
      </c>
      <c r="O2156" s="29" t="s">
        <v>1394</v>
      </c>
      <c r="P2156" s="36">
        <v>44062</v>
      </c>
      <c r="Q2156" s="31">
        <v>28668.35</v>
      </c>
      <c r="R2156" s="33">
        <f>M2156/Q2156</f>
        <v>105.17766107920407</v>
      </c>
    </row>
    <row r="2157" spans="1:18" ht="15" customHeight="1">
      <c r="A2157" s="37" t="s">
        <v>2639</v>
      </c>
      <c r="B2157" s="26" t="s">
        <v>2640</v>
      </c>
      <c r="C2157" s="39">
        <v>8</v>
      </c>
      <c r="D2157" s="40" t="s">
        <v>3014</v>
      </c>
      <c r="E2157" s="38" t="s">
        <v>4</v>
      </c>
      <c r="F2157" s="38" t="s">
        <v>12</v>
      </c>
      <c r="G2157" s="32">
        <v>0</v>
      </c>
      <c r="H2157" s="32">
        <v>38251560</v>
      </c>
      <c r="I2157" s="32">
        <v>24496463</v>
      </c>
      <c r="J2157" s="35">
        <f>+G2157-H2157+I2157</f>
        <v>-13755097</v>
      </c>
      <c r="K2157" s="28">
        <v>0</v>
      </c>
      <c r="L2157" s="32">
        <v>0</v>
      </c>
      <c r="M2157" s="35">
        <f>+J2157+L2157</f>
        <v>-13755097</v>
      </c>
      <c r="N2157" s="28" t="s">
        <v>2854</v>
      </c>
      <c r="O2157" s="29" t="s">
        <v>2855</v>
      </c>
      <c r="P2157" s="36">
        <v>43179</v>
      </c>
      <c r="Q2157" s="31">
        <v>26966.89</v>
      </c>
      <c r="R2157" s="33">
        <f>M2157/Q2157</f>
        <v>-510.07353832792734</v>
      </c>
    </row>
    <row r="2158" spans="1:18" ht="15" customHeight="1">
      <c r="A2158" s="37" t="s">
        <v>688</v>
      </c>
      <c r="B2158" s="26" t="s">
        <v>1728</v>
      </c>
      <c r="C2158" s="39">
        <v>8</v>
      </c>
      <c r="D2158" s="40" t="s">
        <v>3015</v>
      </c>
      <c r="E2158" s="38" t="s">
        <v>4</v>
      </c>
      <c r="F2158" s="38" t="s">
        <v>20</v>
      </c>
      <c r="G2158" s="32">
        <v>6322</v>
      </c>
      <c r="H2158" s="32">
        <v>0</v>
      </c>
      <c r="I2158" s="52">
        <v>0</v>
      </c>
      <c r="J2158" s="35">
        <f>+G2158-H2158+I2158</f>
        <v>6322</v>
      </c>
      <c r="K2158" s="28">
        <v>0</v>
      </c>
      <c r="L2158" s="32">
        <v>0</v>
      </c>
      <c r="M2158" s="35">
        <f>+J2158+L2158</f>
        <v>6322</v>
      </c>
      <c r="N2158" s="28" t="s">
        <v>2343</v>
      </c>
      <c r="O2158" s="29" t="s">
        <v>2344</v>
      </c>
      <c r="P2158" s="36">
        <v>42810</v>
      </c>
      <c r="Q2158" s="31">
        <v>26446.36</v>
      </c>
      <c r="R2158" s="33">
        <f>M2158/Q2158</f>
        <v>0.23904991083839136</v>
      </c>
    </row>
    <row r="2159" spans="1:18" ht="15" customHeight="1">
      <c r="A2159" s="37" t="s">
        <v>627</v>
      </c>
      <c r="B2159" s="26" t="s">
        <v>628</v>
      </c>
      <c r="C2159" s="39">
        <v>7</v>
      </c>
      <c r="D2159" s="40" t="s">
        <v>3016</v>
      </c>
      <c r="E2159" s="38" t="s">
        <v>3</v>
      </c>
      <c r="F2159" s="38" t="s">
        <v>10</v>
      </c>
      <c r="G2159" s="32">
        <v>3826107</v>
      </c>
      <c r="H2159" s="32">
        <v>580246</v>
      </c>
      <c r="I2159" s="52">
        <v>0</v>
      </c>
      <c r="J2159" s="35">
        <f>+G2159-H2159+I2159</f>
        <v>3245861</v>
      </c>
      <c r="K2159" s="28">
        <v>0</v>
      </c>
      <c r="L2159" s="32">
        <v>0</v>
      </c>
      <c r="M2159" s="35">
        <f>+J2159+L2159</f>
        <v>3245861</v>
      </c>
      <c r="N2159" s="28" t="s">
        <v>2105</v>
      </c>
      <c r="O2159" s="29" t="s">
        <v>2106</v>
      </c>
      <c r="P2159" s="36">
        <v>43690</v>
      </c>
      <c r="Q2159" s="31">
        <v>27960.63</v>
      </c>
      <c r="R2159" s="33">
        <f>M2159/Q2159</f>
        <v>116.08683352270674</v>
      </c>
    </row>
    <row r="2160" spans="1:18" ht="15" customHeight="1">
      <c r="A2160" s="37" t="s">
        <v>627</v>
      </c>
      <c r="B2160" s="26" t="s">
        <v>1895</v>
      </c>
      <c r="C2160" s="39">
        <v>7</v>
      </c>
      <c r="D2160" s="40" t="s">
        <v>3017</v>
      </c>
      <c r="E2160" s="38" t="s">
        <v>3</v>
      </c>
      <c r="F2160" s="38" t="s">
        <v>10</v>
      </c>
      <c r="G2160" s="32">
        <v>3797684</v>
      </c>
      <c r="H2160" s="32">
        <v>441997</v>
      </c>
      <c r="I2160" s="32">
        <v>5618475</v>
      </c>
      <c r="J2160" s="35">
        <f>+G2160-H2160+I2160</f>
        <v>8974162</v>
      </c>
      <c r="K2160" s="28">
        <v>0</v>
      </c>
      <c r="L2160" s="32">
        <v>0</v>
      </c>
      <c r="M2160" s="35">
        <f>+J2160+L2160</f>
        <v>8974162</v>
      </c>
      <c r="N2160" s="28" t="s">
        <v>1898</v>
      </c>
      <c r="O2160" s="29" t="s">
        <v>1899</v>
      </c>
      <c r="P2160" s="36">
        <v>43829</v>
      </c>
      <c r="Q2160" s="31">
        <v>28309.03</v>
      </c>
      <c r="R2160" s="33">
        <f>M2160/Q2160</f>
        <v>317.00704686808416</v>
      </c>
    </row>
    <row r="2161" spans="1:18" ht="15" customHeight="1">
      <c r="A2161" s="37" t="s">
        <v>391</v>
      </c>
      <c r="B2161" s="26" t="s">
        <v>392</v>
      </c>
      <c r="C2161" s="39">
        <v>7</v>
      </c>
      <c r="D2161" s="40" t="s">
        <v>3018</v>
      </c>
      <c r="E2161" s="38" t="s">
        <v>4</v>
      </c>
      <c r="F2161" s="38" t="s">
        <v>21</v>
      </c>
      <c r="G2161" s="32">
        <v>0</v>
      </c>
      <c r="H2161" s="32">
        <v>17496</v>
      </c>
      <c r="I2161" s="32">
        <v>30527946</v>
      </c>
      <c r="J2161" s="35">
        <f>+G2161-H2161+I2161</f>
        <v>30510450</v>
      </c>
      <c r="K2161" s="28">
        <v>0</v>
      </c>
      <c r="L2161" s="32">
        <v>0</v>
      </c>
      <c r="M2161" s="35">
        <f>+J2161+L2161</f>
        <v>30510450</v>
      </c>
      <c r="N2161" s="28" t="s">
        <v>2549</v>
      </c>
      <c r="O2161" s="29" t="s">
        <v>2550</v>
      </c>
      <c r="P2161" s="36">
        <v>43269</v>
      </c>
      <c r="Q2161" s="31">
        <v>27126.25</v>
      </c>
      <c r="R2161" s="33">
        <f>M2161/Q2161</f>
        <v>1124.7573844523295</v>
      </c>
    </row>
    <row r="2162" spans="1:18" ht="15" customHeight="1">
      <c r="A2162" s="37" t="s">
        <v>688</v>
      </c>
      <c r="B2162" s="26" t="s">
        <v>736</v>
      </c>
      <c r="C2162" s="39">
        <v>7</v>
      </c>
      <c r="D2162" s="40" t="s">
        <v>3019</v>
      </c>
      <c r="E2162" s="38" t="s">
        <v>3</v>
      </c>
      <c r="F2162" s="38" t="s">
        <v>12</v>
      </c>
      <c r="G2162" s="32">
        <v>1015744.62528</v>
      </c>
      <c r="H2162" s="32">
        <v>0</v>
      </c>
      <c r="I2162" s="32">
        <v>1566443.20373</v>
      </c>
      <c r="J2162" s="35">
        <f>+G2162-H2162+I2162</f>
        <v>2582187.82901</v>
      </c>
      <c r="K2162" s="28">
        <v>0</v>
      </c>
      <c r="L2162" s="32">
        <v>0</v>
      </c>
      <c r="M2162" s="35">
        <f>+J2162+L2162</f>
        <v>2582187.82901</v>
      </c>
      <c r="N2162" s="28" t="s">
        <v>2508</v>
      </c>
      <c r="O2162" s="29" t="s">
        <v>2509</v>
      </c>
      <c r="P2162" s="36">
        <v>43427</v>
      </c>
      <c r="Q2162" s="31">
        <v>27507.17</v>
      </c>
      <c r="R2162" s="33">
        <f>M2162/Q2162</f>
        <v>93.873263916644291</v>
      </c>
    </row>
    <row r="2163" spans="1:18" ht="15" customHeight="1">
      <c r="A2163" s="37" t="s">
        <v>293</v>
      </c>
      <c r="B2163" s="26" t="s">
        <v>294</v>
      </c>
      <c r="C2163" s="39">
        <v>7</v>
      </c>
      <c r="D2163" s="40" t="s">
        <v>3020</v>
      </c>
      <c r="E2163" s="38" t="s">
        <v>3</v>
      </c>
      <c r="F2163" s="38" t="s">
        <v>13</v>
      </c>
      <c r="G2163" s="32">
        <v>39391829.575190797</v>
      </c>
      <c r="H2163" s="32">
        <v>4422962.7071308801</v>
      </c>
      <c r="I2163" s="32">
        <v>3530946.3991428702</v>
      </c>
      <c r="J2163" s="35">
        <f>+G2163-H2163+I2163</f>
        <v>38499813.267202787</v>
      </c>
      <c r="K2163" s="28">
        <v>0</v>
      </c>
      <c r="L2163" s="32">
        <v>0</v>
      </c>
      <c r="M2163" s="35">
        <f>+J2163+L2163</f>
        <v>38499813.267202787</v>
      </c>
      <c r="N2163" s="28" t="s">
        <v>2927</v>
      </c>
      <c r="O2163" s="29" t="s">
        <v>2928</v>
      </c>
      <c r="P2163" s="36">
        <v>43518</v>
      </c>
      <c r="Q2163" s="31">
        <v>27551</v>
      </c>
      <c r="R2163" s="33">
        <f>M2163/Q2163</f>
        <v>1397.4016648108159</v>
      </c>
    </row>
    <row r="2164" spans="1:18" ht="15" customHeight="1">
      <c r="A2164" s="37" t="s">
        <v>874</v>
      </c>
      <c r="B2164" s="26" t="s">
        <v>875</v>
      </c>
      <c r="C2164" s="39">
        <v>7</v>
      </c>
      <c r="D2164" s="40" t="s">
        <v>3021</v>
      </c>
      <c r="E2164" s="38" t="s">
        <v>3</v>
      </c>
      <c r="F2164" s="38" t="s">
        <v>10</v>
      </c>
      <c r="G2164" s="32">
        <v>1324916</v>
      </c>
      <c r="H2164" s="32">
        <v>0</v>
      </c>
      <c r="I2164" s="52">
        <v>0</v>
      </c>
      <c r="J2164" s="35">
        <f>+G2164-H2164+I2164</f>
        <v>1324916</v>
      </c>
      <c r="K2164" s="28">
        <v>0</v>
      </c>
      <c r="L2164" s="32">
        <v>0</v>
      </c>
      <c r="M2164" s="35">
        <f>+J2164+L2164</f>
        <v>1324916</v>
      </c>
      <c r="N2164" s="28" t="s">
        <v>2908</v>
      </c>
      <c r="O2164" s="29" t="s">
        <v>2909</v>
      </c>
      <c r="P2164" s="36">
        <v>43788</v>
      </c>
      <c r="Q2164" s="31">
        <v>28139.99</v>
      </c>
      <c r="R2164" s="33">
        <f>M2164/Q2164</f>
        <v>47.083030235618416</v>
      </c>
    </row>
    <row r="2165" spans="1:18" ht="15" customHeight="1">
      <c r="A2165" s="37" t="s">
        <v>52</v>
      </c>
      <c r="B2165" s="26" t="s">
        <v>622</v>
      </c>
      <c r="C2165" s="65">
        <v>7</v>
      </c>
      <c r="D2165" s="51" t="s">
        <v>1934</v>
      </c>
      <c r="E2165" s="38" t="s">
        <v>3</v>
      </c>
      <c r="F2165" s="38" t="s">
        <v>10</v>
      </c>
      <c r="G2165" s="52"/>
      <c r="H2165" s="52">
        <v>9531292</v>
      </c>
      <c r="I2165" s="52">
        <v>28161073</v>
      </c>
      <c r="J2165" s="53">
        <f>+G2165-H2165+I2165</f>
        <v>18629781</v>
      </c>
      <c r="K2165" s="28">
        <v>0</v>
      </c>
      <c r="L2165" s="32">
        <v>0</v>
      </c>
      <c r="M2165" s="53">
        <f>+J2165+L2165</f>
        <v>18629781</v>
      </c>
      <c r="N2165" s="55" t="s">
        <v>1105</v>
      </c>
      <c r="O2165" s="29" t="s">
        <v>1106</v>
      </c>
      <c r="P2165" s="36">
        <v>43487</v>
      </c>
      <c r="Q2165" s="49">
        <v>27554.23</v>
      </c>
      <c r="R2165" s="33">
        <f>M2165/Q2165</f>
        <v>676.11328641736679</v>
      </c>
    </row>
    <row r="2166" spans="1:18" ht="15" customHeight="1">
      <c r="A2166" s="37" t="s">
        <v>39</v>
      </c>
      <c r="B2166" s="26" t="s">
        <v>1658</v>
      </c>
      <c r="C2166" s="39">
        <v>7</v>
      </c>
      <c r="D2166" s="40" t="s">
        <v>3022</v>
      </c>
      <c r="E2166" s="38" t="s">
        <v>3</v>
      </c>
      <c r="F2166" s="38" t="s">
        <v>10</v>
      </c>
      <c r="G2166" s="32">
        <v>2065885</v>
      </c>
      <c r="H2166" s="32">
        <v>0</v>
      </c>
      <c r="I2166" s="52">
        <v>0</v>
      </c>
      <c r="J2166" s="35">
        <f>+G2166-H2166+I2166</f>
        <v>2065885</v>
      </c>
      <c r="K2166" s="28">
        <v>0</v>
      </c>
      <c r="L2166" s="32">
        <v>0</v>
      </c>
      <c r="M2166" s="35">
        <f>+J2166+L2166</f>
        <v>2065885</v>
      </c>
      <c r="N2166" s="28" t="s">
        <v>2430</v>
      </c>
      <c r="O2166" s="29" t="s">
        <v>2431</v>
      </c>
      <c r="P2166" s="36">
        <v>43133</v>
      </c>
      <c r="Q2166" s="31">
        <v>26826.67</v>
      </c>
      <c r="R2166" s="33">
        <f>M2166/Q2166</f>
        <v>77.008626117218427</v>
      </c>
    </row>
    <row r="2167" spans="1:18" ht="15" customHeight="1">
      <c r="A2167" s="37" t="s">
        <v>52</v>
      </c>
      <c r="B2167" s="26" t="s">
        <v>555</v>
      </c>
      <c r="C2167" s="65">
        <v>7</v>
      </c>
      <c r="D2167" s="51" t="s">
        <v>3023</v>
      </c>
      <c r="E2167" s="38" t="s">
        <v>3</v>
      </c>
      <c r="F2167" s="38" t="s">
        <v>13</v>
      </c>
      <c r="G2167" s="52">
        <v>5553030</v>
      </c>
      <c r="H2167" s="52">
        <v>6929471</v>
      </c>
      <c r="I2167" s="52">
        <v>1376441</v>
      </c>
      <c r="J2167" s="53">
        <f>+G2167-H2167+I2167</f>
        <v>0</v>
      </c>
      <c r="K2167" s="28">
        <v>0</v>
      </c>
      <c r="L2167" s="32">
        <v>0</v>
      </c>
      <c r="M2167" s="53">
        <f>+J2167+L2167</f>
        <v>0</v>
      </c>
      <c r="N2167" s="55" t="s">
        <v>1160</v>
      </c>
      <c r="O2167" s="29" t="s">
        <v>1161</v>
      </c>
      <c r="P2167" s="36">
        <v>42689</v>
      </c>
      <c r="Q2167" s="49">
        <v>26287.25</v>
      </c>
      <c r="R2167" s="33">
        <f>M2167/Q2167</f>
        <v>0</v>
      </c>
    </row>
    <row r="2168" spans="1:18" ht="15" customHeight="1">
      <c r="A2168" s="37" t="s">
        <v>52</v>
      </c>
      <c r="B2168" s="26" t="s">
        <v>195</v>
      </c>
      <c r="C2168" s="39">
        <v>7</v>
      </c>
      <c r="D2168" s="40" t="s">
        <v>3024</v>
      </c>
      <c r="E2168" s="38" t="s">
        <v>3</v>
      </c>
      <c r="F2168" s="38" t="s">
        <v>13</v>
      </c>
      <c r="G2168" s="32">
        <v>134339433</v>
      </c>
      <c r="H2168" s="32">
        <v>30067565</v>
      </c>
      <c r="I2168" s="32">
        <v>103997562</v>
      </c>
      <c r="J2168" s="35">
        <f>+G2168-H2168+I2168</f>
        <v>208269430</v>
      </c>
      <c r="K2168" s="28">
        <v>0</v>
      </c>
      <c r="L2168" s="32">
        <v>0</v>
      </c>
      <c r="M2168" s="35">
        <f>+J2168+L2168</f>
        <v>208269430</v>
      </c>
      <c r="N2168" s="28" t="s">
        <v>2897</v>
      </c>
      <c r="O2168" s="29" t="s">
        <v>1394</v>
      </c>
      <c r="P2168" s="36">
        <v>44062</v>
      </c>
      <c r="Q2168" s="31">
        <v>28668.35</v>
      </c>
      <c r="R2168" s="33">
        <f>M2168/Q2168</f>
        <v>7264.7860794220805</v>
      </c>
    </row>
    <row r="2169" spans="1:18" ht="15" customHeight="1">
      <c r="A2169" s="37" t="s">
        <v>2639</v>
      </c>
      <c r="B2169" s="26" t="s">
        <v>2640</v>
      </c>
      <c r="C2169" s="39">
        <v>7</v>
      </c>
      <c r="D2169" s="40" t="s">
        <v>3025</v>
      </c>
      <c r="E2169" s="38" t="s">
        <v>4</v>
      </c>
      <c r="F2169" s="38" t="s">
        <v>11</v>
      </c>
      <c r="G2169" s="32">
        <v>733540</v>
      </c>
      <c r="H2169" s="32">
        <v>43149</v>
      </c>
      <c r="I2169" s="52">
        <v>0</v>
      </c>
      <c r="J2169" s="35">
        <f>+G2169-H2169+I2169</f>
        <v>690391</v>
      </c>
      <c r="K2169" s="28">
        <v>0</v>
      </c>
      <c r="L2169" s="32">
        <v>0</v>
      </c>
      <c r="M2169" s="35">
        <f>+J2169+L2169</f>
        <v>690391</v>
      </c>
      <c r="N2169" s="28" t="s">
        <v>2854</v>
      </c>
      <c r="O2169" s="29" t="s">
        <v>2855</v>
      </c>
      <c r="P2169" s="36">
        <v>43179</v>
      </c>
      <c r="Q2169" s="31">
        <v>26966.89</v>
      </c>
      <c r="R2169" s="33">
        <f>M2169/Q2169</f>
        <v>25.601431978251849</v>
      </c>
    </row>
    <row r="2170" spans="1:18" ht="15" customHeight="1">
      <c r="A2170" s="46" t="s">
        <v>52</v>
      </c>
      <c r="B2170" s="47" t="s">
        <v>2606</v>
      </c>
      <c r="C2170" s="65">
        <v>7</v>
      </c>
      <c r="D2170" s="51" t="s">
        <v>3026</v>
      </c>
      <c r="E2170" s="38" t="s">
        <v>3</v>
      </c>
      <c r="F2170" s="48" t="s">
        <v>11</v>
      </c>
      <c r="G2170" s="52">
        <v>0</v>
      </c>
      <c r="H2170" s="52">
        <v>0</v>
      </c>
      <c r="I2170" s="52">
        <v>2146994</v>
      </c>
      <c r="J2170" s="53">
        <f>+G2170-H2170+I2170</f>
        <v>2146994</v>
      </c>
      <c r="K2170" s="70">
        <v>0</v>
      </c>
      <c r="L2170" s="52">
        <v>0</v>
      </c>
      <c r="M2170" s="53">
        <f>+J2170+L2170</f>
        <v>2146994</v>
      </c>
      <c r="N2170" s="55" t="s">
        <v>2608</v>
      </c>
      <c r="O2170" s="56" t="s">
        <v>2609</v>
      </c>
      <c r="P2170" s="56">
        <v>44488</v>
      </c>
      <c r="Q2170" s="49">
        <v>30240.57</v>
      </c>
      <c r="R2170" s="57">
        <f>M2170/Q2170</f>
        <v>70.997140596225535</v>
      </c>
    </row>
    <row r="2171" spans="1:18" ht="15" customHeight="1">
      <c r="A2171" s="37" t="s">
        <v>688</v>
      </c>
      <c r="B2171" s="26" t="s">
        <v>1728</v>
      </c>
      <c r="C2171" s="39">
        <v>7</v>
      </c>
      <c r="D2171" s="40" t="s">
        <v>3027</v>
      </c>
      <c r="E2171" s="38" t="s">
        <v>4</v>
      </c>
      <c r="F2171" s="38" t="s">
        <v>20</v>
      </c>
      <c r="G2171" s="32">
        <v>24208.22</v>
      </c>
      <c r="H2171" s="32">
        <v>3064.68</v>
      </c>
      <c r="I2171" s="52">
        <v>0</v>
      </c>
      <c r="J2171" s="35">
        <f>+G2171-H2171+I2171</f>
        <v>21143.54</v>
      </c>
      <c r="K2171" s="28">
        <v>0</v>
      </c>
      <c r="L2171" s="32">
        <v>0</v>
      </c>
      <c r="M2171" s="35">
        <f>+J2171+L2171</f>
        <v>21143.54</v>
      </c>
      <c r="N2171" s="28" t="s">
        <v>2343</v>
      </c>
      <c r="O2171" s="29" t="s">
        <v>2344</v>
      </c>
      <c r="P2171" s="36">
        <v>42810</v>
      </c>
      <c r="Q2171" s="31">
        <v>26446.36</v>
      </c>
      <c r="R2171" s="33">
        <f>M2171/Q2171</f>
        <v>0.79948771778044314</v>
      </c>
    </row>
    <row r="2172" spans="1:18" ht="15" customHeight="1">
      <c r="A2172" s="37" t="s">
        <v>688</v>
      </c>
      <c r="B2172" s="26" t="s">
        <v>689</v>
      </c>
      <c r="C2172" s="39">
        <v>6</v>
      </c>
      <c r="D2172" s="40" t="s">
        <v>3028</v>
      </c>
      <c r="E2172" s="38" t="s">
        <v>3</v>
      </c>
      <c r="F2172" s="38" t="s">
        <v>1695</v>
      </c>
      <c r="G2172" s="32">
        <v>17642600</v>
      </c>
      <c r="H2172" s="32">
        <v>0</v>
      </c>
      <c r="I2172" s="32">
        <v>0</v>
      </c>
      <c r="J2172" s="35">
        <f>+G2172-H2172+I2172</f>
        <v>17642600</v>
      </c>
      <c r="K2172" s="28">
        <v>0</v>
      </c>
      <c r="L2172" s="32">
        <v>0</v>
      </c>
      <c r="M2172" s="35">
        <f>+J2172+L2172</f>
        <v>17642600</v>
      </c>
      <c r="N2172" s="28" t="s">
        <v>3029</v>
      </c>
      <c r="O2172" s="29" t="s">
        <v>3030</v>
      </c>
      <c r="P2172" s="36">
        <v>45072</v>
      </c>
      <c r="Q2172" s="31">
        <v>36015.480000000003</v>
      </c>
      <c r="R2172" s="33">
        <f>M2172/Q2172</f>
        <v>489.8615817420731</v>
      </c>
    </row>
    <row r="2173" spans="1:18" ht="15" customHeight="1">
      <c r="A2173" s="37" t="s">
        <v>627</v>
      </c>
      <c r="B2173" s="26" t="s">
        <v>628</v>
      </c>
      <c r="C2173" s="39">
        <v>6</v>
      </c>
      <c r="D2173" s="40" t="s">
        <v>3031</v>
      </c>
      <c r="E2173" s="38" t="s">
        <v>3</v>
      </c>
      <c r="F2173" s="38" t="s">
        <v>10</v>
      </c>
      <c r="G2173" s="32">
        <v>2020367</v>
      </c>
      <c r="H2173" s="32">
        <v>0</v>
      </c>
      <c r="I2173" s="52">
        <v>0</v>
      </c>
      <c r="J2173" s="35">
        <f>+G2173-H2173+I2173</f>
        <v>2020367</v>
      </c>
      <c r="K2173" s="28">
        <v>0</v>
      </c>
      <c r="L2173" s="32">
        <v>0</v>
      </c>
      <c r="M2173" s="35">
        <f>+J2173+L2173</f>
        <v>2020367</v>
      </c>
      <c r="N2173" s="28" t="s">
        <v>2105</v>
      </c>
      <c r="O2173" s="29" t="s">
        <v>2106</v>
      </c>
      <c r="P2173" s="36">
        <v>43690</v>
      </c>
      <c r="Q2173" s="31">
        <v>27960.63</v>
      </c>
      <c r="R2173" s="33">
        <f>M2173/Q2173</f>
        <v>72.257563581364224</v>
      </c>
    </row>
    <row r="2174" spans="1:18" ht="15" customHeight="1">
      <c r="A2174" s="37" t="s">
        <v>627</v>
      </c>
      <c r="B2174" s="26" t="s">
        <v>1895</v>
      </c>
      <c r="C2174" s="39">
        <v>6</v>
      </c>
      <c r="D2174" s="40" t="s">
        <v>3032</v>
      </c>
      <c r="E2174" s="38" t="s">
        <v>3</v>
      </c>
      <c r="F2174" s="38" t="s">
        <v>21</v>
      </c>
      <c r="G2174" s="32">
        <v>640464</v>
      </c>
      <c r="H2174" s="32">
        <v>0</v>
      </c>
      <c r="I2174" s="32">
        <v>1004774</v>
      </c>
      <c r="J2174" s="35">
        <f>+G2174-H2174+I2174</f>
        <v>1645238</v>
      </c>
      <c r="K2174" s="28">
        <v>0</v>
      </c>
      <c r="L2174" s="32">
        <v>0</v>
      </c>
      <c r="M2174" s="35">
        <f>+J2174+L2174</f>
        <v>1645238</v>
      </c>
      <c r="N2174" s="28" t="s">
        <v>1898</v>
      </c>
      <c r="O2174" s="29" t="s">
        <v>1899</v>
      </c>
      <c r="P2174" s="36">
        <v>43829</v>
      </c>
      <c r="Q2174" s="31">
        <v>28309.03</v>
      </c>
      <c r="R2174" s="33">
        <f>M2174/Q2174</f>
        <v>58.11707430455936</v>
      </c>
    </row>
    <row r="2175" spans="1:18" ht="15" customHeight="1">
      <c r="A2175" s="37" t="s">
        <v>688</v>
      </c>
      <c r="B2175" s="26" t="s">
        <v>736</v>
      </c>
      <c r="C2175" s="39">
        <v>6</v>
      </c>
      <c r="D2175" s="40" t="s">
        <v>3033</v>
      </c>
      <c r="E2175" s="38" t="s">
        <v>3</v>
      </c>
      <c r="F2175" s="38" t="s">
        <v>12</v>
      </c>
      <c r="G2175" s="32">
        <v>2988455.8375349999</v>
      </c>
      <c r="H2175" s="32">
        <v>0</v>
      </c>
      <c r="I2175" s="52">
        <v>0</v>
      </c>
      <c r="J2175" s="35">
        <f>+G2175-H2175+I2175</f>
        <v>2988455.8375349999</v>
      </c>
      <c r="K2175" s="28">
        <v>0</v>
      </c>
      <c r="L2175" s="32">
        <v>0</v>
      </c>
      <c r="M2175" s="35">
        <f>+J2175+L2175</f>
        <v>2988455.8375349999</v>
      </c>
      <c r="N2175" s="28" t="s">
        <v>2508</v>
      </c>
      <c r="O2175" s="29" t="s">
        <v>2509</v>
      </c>
      <c r="P2175" s="36">
        <v>43427</v>
      </c>
      <c r="Q2175" s="31">
        <v>27507.17</v>
      </c>
      <c r="R2175" s="33">
        <f>M2175/Q2175</f>
        <v>108.64279522520856</v>
      </c>
    </row>
    <row r="2176" spans="1:18" ht="15" customHeight="1">
      <c r="A2176" s="37" t="s">
        <v>293</v>
      </c>
      <c r="B2176" s="26" t="s">
        <v>294</v>
      </c>
      <c r="C2176" s="39">
        <v>6</v>
      </c>
      <c r="D2176" s="40" t="s">
        <v>3034</v>
      </c>
      <c r="E2176" s="38" t="s">
        <v>3</v>
      </c>
      <c r="F2176" s="38" t="s">
        <v>13</v>
      </c>
      <c r="G2176" s="32">
        <v>8605445.9837963004</v>
      </c>
      <c r="H2176" s="32">
        <v>0</v>
      </c>
      <c r="I2176" s="32">
        <v>3844975.42037501</v>
      </c>
      <c r="J2176" s="35">
        <f>+G2176-H2176+I2176</f>
        <v>12450421.40417131</v>
      </c>
      <c r="K2176" s="28">
        <v>0</v>
      </c>
      <c r="L2176" s="32">
        <v>0</v>
      </c>
      <c r="M2176" s="35">
        <f>+J2176+L2176</f>
        <v>12450421.40417131</v>
      </c>
      <c r="N2176" s="28" t="s">
        <v>2927</v>
      </c>
      <c r="O2176" s="29" t="s">
        <v>2928</v>
      </c>
      <c r="P2176" s="36">
        <v>43518</v>
      </c>
      <c r="Q2176" s="31">
        <v>27551</v>
      </c>
      <c r="R2176" s="33">
        <f>M2176/Q2176</f>
        <v>451.90451904363943</v>
      </c>
    </row>
    <row r="2177" spans="1:18" ht="15" customHeight="1">
      <c r="A2177" s="37" t="s">
        <v>874</v>
      </c>
      <c r="B2177" s="26" t="s">
        <v>875</v>
      </c>
      <c r="C2177" s="39">
        <v>6</v>
      </c>
      <c r="D2177" s="40" t="s">
        <v>3035</v>
      </c>
      <c r="E2177" s="38" t="s">
        <v>3</v>
      </c>
      <c r="F2177" s="38" t="s">
        <v>10</v>
      </c>
      <c r="G2177" s="32">
        <v>150331.85690879999</v>
      </c>
      <c r="H2177" s="32">
        <v>0</v>
      </c>
      <c r="I2177" s="52">
        <v>0</v>
      </c>
      <c r="J2177" s="35">
        <f>+G2177-H2177+I2177</f>
        <v>150331.85690879999</v>
      </c>
      <c r="K2177" s="28">
        <v>0</v>
      </c>
      <c r="L2177" s="32">
        <v>0</v>
      </c>
      <c r="M2177" s="35">
        <f>+J2177+L2177</f>
        <v>150331.85690879999</v>
      </c>
      <c r="N2177" s="28" t="s">
        <v>2908</v>
      </c>
      <c r="O2177" s="29" t="s">
        <v>2909</v>
      </c>
      <c r="P2177" s="36">
        <v>43788</v>
      </c>
      <c r="Q2177" s="31">
        <v>28139.99</v>
      </c>
      <c r="R2177" s="33">
        <f>M2177/Q2177</f>
        <v>5.3422853707055324</v>
      </c>
    </row>
    <row r="2178" spans="1:18" ht="15" customHeight="1">
      <c r="A2178" s="37" t="s">
        <v>356</v>
      </c>
      <c r="B2178" s="26" t="s">
        <v>1540</v>
      </c>
      <c r="C2178" s="39">
        <v>6</v>
      </c>
      <c r="D2178" s="40" t="s">
        <v>3036</v>
      </c>
      <c r="E2178" s="38" t="s">
        <v>3</v>
      </c>
      <c r="F2178" s="38" t="s">
        <v>16</v>
      </c>
      <c r="G2178" s="32">
        <v>0</v>
      </c>
      <c r="H2178" s="32">
        <v>9161227.532041125</v>
      </c>
      <c r="I2178" s="52">
        <v>0</v>
      </c>
      <c r="J2178" s="35">
        <f>+G2178-H2178+I2178</f>
        <v>-9161227.532041125</v>
      </c>
      <c r="K2178" s="28">
        <v>0</v>
      </c>
      <c r="L2178" s="32">
        <v>0</v>
      </c>
      <c r="M2178" s="35">
        <f>+J2178+L2178</f>
        <v>-9161227.532041125</v>
      </c>
      <c r="N2178" s="28" t="s">
        <v>2911</v>
      </c>
      <c r="O2178" s="29" t="s">
        <v>2912</v>
      </c>
      <c r="P2178" s="36">
        <v>42551</v>
      </c>
      <c r="Q2178" s="31">
        <v>26052.07</v>
      </c>
      <c r="R2178" s="33">
        <f>M2178/Q2178</f>
        <v>-351.6506570127105</v>
      </c>
    </row>
    <row r="2179" spans="1:18" ht="15" customHeight="1">
      <c r="A2179" s="37" t="s">
        <v>39</v>
      </c>
      <c r="B2179" s="26" t="s">
        <v>1658</v>
      </c>
      <c r="C2179" s="39">
        <v>6</v>
      </c>
      <c r="D2179" s="40" t="s">
        <v>3037</v>
      </c>
      <c r="E2179" s="38" t="s">
        <v>3</v>
      </c>
      <c r="F2179" s="38" t="s">
        <v>10</v>
      </c>
      <c r="G2179" s="32">
        <v>3046454</v>
      </c>
      <c r="H2179" s="32">
        <v>0</v>
      </c>
      <c r="I2179" s="52">
        <v>0</v>
      </c>
      <c r="J2179" s="35">
        <f>+G2179-H2179+I2179</f>
        <v>3046454</v>
      </c>
      <c r="K2179" s="28">
        <v>0</v>
      </c>
      <c r="L2179" s="32">
        <v>0</v>
      </c>
      <c r="M2179" s="35">
        <f>+J2179+L2179</f>
        <v>3046454</v>
      </c>
      <c r="N2179" s="28" t="s">
        <v>2430</v>
      </c>
      <c r="O2179" s="29" t="s">
        <v>2431</v>
      </c>
      <c r="P2179" s="36">
        <v>43133</v>
      </c>
      <c r="Q2179" s="31">
        <v>26826.67</v>
      </c>
      <c r="R2179" s="33">
        <f>M2179/Q2179</f>
        <v>113.56064692337887</v>
      </c>
    </row>
    <row r="2180" spans="1:18" ht="15" customHeight="1">
      <c r="A2180" s="37" t="s">
        <v>52</v>
      </c>
      <c r="B2180" s="26" t="s">
        <v>555</v>
      </c>
      <c r="C2180" s="65">
        <v>6</v>
      </c>
      <c r="D2180" s="51" t="s">
        <v>3038</v>
      </c>
      <c r="E2180" s="38" t="s">
        <v>3</v>
      </c>
      <c r="F2180" s="38" t="s">
        <v>11</v>
      </c>
      <c r="G2180" s="52">
        <v>0</v>
      </c>
      <c r="H2180" s="52">
        <v>79831630</v>
      </c>
      <c r="I2180" s="52">
        <v>79831630</v>
      </c>
      <c r="J2180" s="53">
        <f>+G2180-H2180+I2180</f>
        <v>0</v>
      </c>
      <c r="K2180" s="28">
        <v>0</v>
      </c>
      <c r="L2180" s="32">
        <v>0</v>
      </c>
      <c r="M2180" s="53">
        <f>+J2180+L2180</f>
        <v>0</v>
      </c>
      <c r="N2180" s="55" t="s">
        <v>1160</v>
      </c>
      <c r="O2180" s="29" t="s">
        <v>1161</v>
      </c>
      <c r="P2180" s="36">
        <v>42689</v>
      </c>
      <c r="Q2180" s="49">
        <v>26287.25</v>
      </c>
      <c r="R2180" s="33">
        <f>M2180/Q2180</f>
        <v>0</v>
      </c>
    </row>
    <row r="2181" spans="1:18" ht="15" customHeight="1">
      <c r="A2181" s="37" t="s">
        <v>52</v>
      </c>
      <c r="B2181" s="26" t="s">
        <v>195</v>
      </c>
      <c r="C2181" s="39">
        <v>6</v>
      </c>
      <c r="D2181" s="40" t="s">
        <v>3039</v>
      </c>
      <c r="E2181" s="38" t="s">
        <v>4</v>
      </c>
      <c r="F2181" s="38" t="s">
        <v>10</v>
      </c>
      <c r="G2181" s="32">
        <v>32781087</v>
      </c>
      <c r="H2181" s="32">
        <v>15087181</v>
      </c>
      <c r="I2181" s="32">
        <v>6763843</v>
      </c>
      <c r="J2181" s="35">
        <f>+G2181-H2181+I2181</f>
        <v>24457749</v>
      </c>
      <c r="K2181" s="28">
        <v>0</v>
      </c>
      <c r="L2181" s="32">
        <v>0</v>
      </c>
      <c r="M2181" s="35">
        <f>+J2181+L2181</f>
        <v>24457749</v>
      </c>
      <c r="N2181" s="28" t="s">
        <v>2897</v>
      </c>
      <c r="O2181" s="29" t="s">
        <v>1394</v>
      </c>
      <c r="P2181" s="36">
        <v>44062</v>
      </c>
      <c r="Q2181" s="31">
        <v>28668.35</v>
      </c>
      <c r="R2181" s="33">
        <f>M2181/Q2181</f>
        <v>853.12719427521995</v>
      </c>
    </row>
    <row r="2182" spans="1:18" ht="15" customHeight="1">
      <c r="A2182" s="37" t="s">
        <v>2639</v>
      </c>
      <c r="B2182" s="26" t="s">
        <v>2640</v>
      </c>
      <c r="C2182" s="39">
        <v>6</v>
      </c>
      <c r="D2182" s="40" t="s">
        <v>3040</v>
      </c>
      <c r="E2182" s="38" t="s">
        <v>4</v>
      </c>
      <c r="F2182" s="38" t="s">
        <v>14</v>
      </c>
      <c r="G2182" s="32">
        <v>4275872</v>
      </c>
      <c r="H2182" s="32">
        <v>0</v>
      </c>
      <c r="I2182" s="32">
        <v>12607172</v>
      </c>
      <c r="J2182" s="35">
        <f>+G2182-H2182+I2182</f>
        <v>16883044</v>
      </c>
      <c r="K2182" s="28">
        <v>0</v>
      </c>
      <c r="L2182" s="32">
        <v>0</v>
      </c>
      <c r="M2182" s="35">
        <f>+J2182+L2182</f>
        <v>16883044</v>
      </c>
      <c r="N2182" s="28" t="s">
        <v>2854</v>
      </c>
      <c r="O2182" s="29" t="s">
        <v>2855</v>
      </c>
      <c r="P2182" s="36">
        <v>43179</v>
      </c>
      <c r="Q2182" s="31">
        <v>26966.89</v>
      </c>
      <c r="R2182" s="33">
        <f>M2182/Q2182</f>
        <v>626.06566793575382</v>
      </c>
    </row>
    <row r="2183" spans="1:18" ht="15" customHeight="1">
      <c r="A2183" s="37" t="s">
        <v>627</v>
      </c>
      <c r="B2183" s="26" t="s">
        <v>628</v>
      </c>
      <c r="C2183" s="39">
        <v>5</v>
      </c>
      <c r="D2183" s="40" t="s">
        <v>3041</v>
      </c>
      <c r="E2183" s="38" t="s">
        <v>3</v>
      </c>
      <c r="F2183" s="38" t="s">
        <v>11</v>
      </c>
      <c r="G2183" s="32">
        <v>0</v>
      </c>
      <c r="H2183" s="32">
        <f>+((1507002*1.544)*1.19)</f>
        <v>2768905.19472</v>
      </c>
      <c r="I2183" s="52">
        <v>0</v>
      </c>
      <c r="J2183" s="35">
        <f>+G2183-H2183+I2183</f>
        <v>-2768905.19472</v>
      </c>
      <c r="K2183" s="28">
        <v>0</v>
      </c>
      <c r="L2183" s="32">
        <v>0</v>
      </c>
      <c r="M2183" s="35">
        <f>+J2183+L2183</f>
        <v>-2768905.19472</v>
      </c>
      <c r="N2183" s="28" t="s">
        <v>2105</v>
      </c>
      <c r="O2183" s="29" t="s">
        <v>2106</v>
      </c>
      <c r="P2183" s="36">
        <v>43690</v>
      </c>
      <c r="Q2183" s="31">
        <v>27960.63</v>
      </c>
      <c r="R2183" s="33">
        <f>M2183/Q2183</f>
        <v>-99.028712683512495</v>
      </c>
    </row>
    <row r="2184" spans="1:18" ht="15" customHeight="1">
      <c r="A2184" s="37" t="s">
        <v>236</v>
      </c>
      <c r="B2184" s="26" t="s">
        <v>237</v>
      </c>
      <c r="C2184" s="39">
        <v>5</v>
      </c>
      <c r="D2184" s="40" t="s">
        <v>3042</v>
      </c>
      <c r="E2184" s="38" t="s">
        <v>3</v>
      </c>
      <c r="F2184" s="38" t="s">
        <v>13</v>
      </c>
      <c r="G2184" s="32">
        <v>0</v>
      </c>
      <c r="H2184" s="32">
        <v>98416771</v>
      </c>
      <c r="I2184" s="32">
        <v>98412623</v>
      </c>
      <c r="J2184" s="35">
        <f>+G2184-H2184+I2184</f>
        <v>-4148</v>
      </c>
      <c r="K2184" s="28">
        <v>0</v>
      </c>
      <c r="L2184" s="32">
        <v>0</v>
      </c>
      <c r="M2184" s="35">
        <f>+J2184+L2184</f>
        <v>-4148</v>
      </c>
      <c r="N2184" s="28" t="s">
        <v>2690</v>
      </c>
      <c r="O2184" s="29" t="s">
        <v>2691</v>
      </c>
      <c r="P2184" s="36">
        <v>44729</v>
      </c>
      <c r="Q2184" s="31">
        <v>32916.25</v>
      </c>
      <c r="R2184" s="33">
        <f>M2184/Q2184</f>
        <v>-0.12601678502259522</v>
      </c>
    </row>
    <row r="2185" spans="1:18" ht="15" customHeight="1">
      <c r="A2185" s="37" t="s">
        <v>627</v>
      </c>
      <c r="B2185" s="26" t="s">
        <v>1895</v>
      </c>
      <c r="C2185" s="39">
        <v>5</v>
      </c>
      <c r="D2185" s="40" t="s">
        <v>3043</v>
      </c>
      <c r="E2185" s="38" t="s">
        <v>3</v>
      </c>
      <c r="F2185" s="38" t="s">
        <v>21</v>
      </c>
      <c r="G2185" s="32">
        <v>25597</v>
      </c>
      <c r="H2185" s="32">
        <v>0</v>
      </c>
      <c r="I2185" s="32">
        <v>171849</v>
      </c>
      <c r="J2185" s="35">
        <f>+G2185-H2185+I2185</f>
        <v>197446</v>
      </c>
      <c r="K2185" s="28">
        <v>0</v>
      </c>
      <c r="L2185" s="32">
        <v>0</v>
      </c>
      <c r="M2185" s="35">
        <f>+J2185+L2185</f>
        <v>197446</v>
      </c>
      <c r="N2185" s="28" t="s">
        <v>1898</v>
      </c>
      <c r="O2185" s="29" t="s">
        <v>1899</v>
      </c>
      <c r="P2185" s="36">
        <v>43829</v>
      </c>
      <c r="Q2185" s="31">
        <v>28309.03</v>
      </c>
      <c r="R2185" s="33">
        <f>M2185/Q2185</f>
        <v>6.9746649743915636</v>
      </c>
    </row>
    <row r="2186" spans="1:18" ht="15" customHeight="1">
      <c r="A2186" s="37" t="s">
        <v>3044</v>
      </c>
      <c r="B2186" s="26" t="s">
        <v>3045</v>
      </c>
      <c r="C2186" s="39">
        <v>5</v>
      </c>
      <c r="D2186" s="40" t="s">
        <v>3046</v>
      </c>
      <c r="E2186" s="38" t="s">
        <v>3</v>
      </c>
      <c r="F2186" s="38" t="s">
        <v>12</v>
      </c>
      <c r="G2186" s="32">
        <v>0</v>
      </c>
      <c r="H2186" s="32">
        <v>6448883</v>
      </c>
      <c r="I2186" s="32">
        <v>13391948</v>
      </c>
      <c r="J2186" s="35">
        <f>+G2186-H2186+I2186</f>
        <v>6943065</v>
      </c>
      <c r="K2186" s="28">
        <v>0</v>
      </c>
      <c r="L2186" s="32">
        <v>0</v>
      </c>
      <c r="M2186" s="35">
        <f>+J2186+L2186</f>
        <v>6943065</v>
      </c>
      <c r="N2186" s="28" t="s">
        <v>3047</v>
      </c>
      <c r="O2186" s="29" t="s">
        <v>3048</v>
      </c>
      <c r="P2186" s="36">
        <v>44361</v>
      </c>
      <c r="Q2186" s="31">
        <v>29662.41</v>
      </c>
      <c r="R2186" s="33">
        <f>M2186/Q2186</f>
        <v>234.06948390235317</v>
      </c>
    </row>
    <row r="2187" spans="1:18" ht="15" customHeight="1">
      <c r="A2187" s="37" t="s">
        <v>688</v>
      </c>
      <c r="B2187" s="26" t="s">
        <v>736</v>
      </c>
      <c r="C2187" s="39">
        <v>5</v>
      </c>
      <c r="D2187" s="40" t="s">
        <v>3049</v>
      </c>
      <c r="E2187" s="38" t="s">
        <v>3</v>
      </c>
      <c r="F2187" s="38" t="s">
        <v>15</v>
      </c>
      <c r="G2187" s="32">
        <v>247629.58353</v>
      </c>
      <c r="H2187" s="32">
        <v>128484.34243999999</v>
      </c>
      <c r="I2187" s="52">
        <v>0</v>
      </c>
      <c r="J2187" s="35">
        <f>+G2187-H2187+I2187</f>
        <v>119145.24109000001</v>
      </c>
      <c r="K2187" s="28">
        <v>0</v>
      </c>
      <c r="L2187" s="32">
        <v>0</v>
      </c>
      <c r="M2187" s="35">
        <f>+J2187+L2187</f>
        <v>119145.24109000001</v>
      </c>
      <c r="N2187" s="28" t="s">
        <v>2508</v>
      </c>
      <c r="O2187" s="29" t="s">
        <v>2509</v>
      </c>
      <c r="P2187" s="36">
        <v>43427</v>
      </c>
      <c r="Q2187" s="31">
        <v>27507.17</v>
      </c>
      <c r="R2187" s="33">
        <f>M2187/Q2187</f>
        <v>4.3314249008531238</v>
      </c>
    </row>
    <row r="2188" spans="1:18" ht="15" customHeight="1">
      <c r="A2188" s="37" t="s">
        <v>293</v>
      </c>
      <c r="B2188" s="26" t="s">
        <v>294</v>
      </c>
      <c r="C2188" s="39">
        <v>5</v>
      </c>
      <c r="D2188" s="40" t="s">
        <v>3050</v>
      </c>
      <c r="E2188" s="38" t="s">
        <v>3</v>
      </c>
      <c r="F2188" s="38" t="s">
        <v>12</v>
      </c>
      <c r="G2188" s="32">
        <v>2766086.8652508399</v>
      </c>
      <c r="H2188" s="32">
        <v>0</v>
      </c>
      <c r="I2188" s="32">
        <v>4552332.9707332803</v>
      </c>
      <c r="J2188" s="35">
        <f>+G2188-H2188+I2188</f>
        <v>7318419.8359841201</v>
      </c>
      <c r="K2188" s="28">
        <v>0</v>
      </c>
      <c r="L2188" s="32">
        <v>0</v>
      </c>
      <c r="M2188" s="35">
        <f>+J2188+L2188</f>
        <v>7318419.8359841201</v>
      </c>
      <c r="N2188" s="28" t="s">
        <v>2927</v>
      </c>
      <c r="O2188" s="29" t="s">
        <v>2928</v>
      </c>
      <c r="P2188" s="36">
        <v>43518</v>
      </c>
      <c r="Q2188" s="31">
        <v>27551</v>
      </c>
      <c r="R2188" s="33">
        <f>M2188/Q2188</f>
        <v>265.63173155181738</v>
      </c>
    </row>
    <row r="2189" spans="1:18" ht="15" customHeight="1">
      <c r="A2189" s="37" t="s">
        <v>874</v>
      </c>
      <c r="B2189" s="26" t="s">
        <v>875</v>
      </c>
      <c r="C2189" s="39">
        <v>5</v>
      </c>
      <c r="D2189" s="40" t="s">
        <v>3051</v>
      </c>
      <c r="E2189" s="38" t="s">
        <v>3</v>
      </c>
      <c r="F2189" s="38" t="s">
        <v>10</v>
      </c>
      <c r="G2189" s="32">
        <v>57540</v>
      </c>
      <c r="H2189" s="32">
        <v>0</v>
      </c>
      <c r="I2189" s="52">
        <v>0</v>
      </c>
      <c r="J2189" s="35">
        <f>+G2189-H2189+I2189</f>
        <v>57540</v>
      </c>
      <c r="K2189" s="28">
        <v>0</v>
      </c>
      <c r="L2189" s="32">
        <v>0</v>
      </c>
      <c r="M2189" s="35">
        <f>+J2189+L2189</f>
        <v>57540</v>
      </c>
      <c r="N2189" s="28" t="s">
        <v>2908</v>
      </c>
      <c r="O2189" s="29" t="s">
        <v>2909</v>
      </c>
      <c r="P2189" s="36">
        <v>43788</v>
      </c>
      <c r="Q2189" s="31">
        <v>28139.99</v>
      </c>
      <c r="R2189" s="33">
        <f>M2189/Q2189</f>
        <v>2.0447768460472089</v>
      </c>
    </row>
    <row r="2190" spans="1:18" ht="15" customHeight="1">
      <c r="A2190" s="37" t="s">
        <v>356</v>
      </c>
      <c r="B2190" s="26" t="s">
        <v>1841</v>
      </c>
      <c r="C2190" s="39">
        <v>5</v>
      </c>
      <c r="D2190" s="40" t="s">
        <v>3052</v>
      </c>
      <c r="E2190" s="38" t="s">
        <v>198</v>
      </c>
      <c r="F2190" s="38" t="s">
        <v>13</v>
      </c>
      <c r="G2190" s="32">
        <v>1624343</v>
      </c>
      <c r="H2190" s="32">
        <v>0</v>
      </c>
      <c r="I2190" s="52">
        <v>0</v>
      </c>
      <c r="J2190" s="35">
        <f>+G2190-H2190+I2190</f>
        <v>1624343</v>
      </c>
      <c r="K2190" s="28">
        <v>0</v>
      </c>
      <c r="L2190" s="32">
        <v>0</v>
      </c>
      <c r="M2190" s="35">
        <f>+J2190+L2190</f>
        <v>1624343</v>
      </c>
      <c r="N2190" s="28" t="s">
        <v>2963</v>
      </c>
      <c r="O2190" s="29" t="s">
        <v>2964</v>
      </c>
      <c r="P2190" s="36">
        <v>43796</v>
      </c>
      <c r="Q2190" s="31">
        <v>28199.85</v>
      </c>
      <c r="R2190" s="33">
        <f>M2190/Q2190</f>
        <v>57.60112199178365</v>
      </c>
    </row>
    <row r="2191" spans="1:18" ht="15" customHeight="1">
      <c r="A2191" s="37" t="s">
        <v>356</v>
      </c>
      <c r="B2191" s="26" t="s">
        <v>1540</v>
      </c>
      <c r="C2191" s="39">
        <v>5</v>
      </c>
      <c r="D2191" s="40" t="s">
        <v>3053</v>
      </c>
      <c r="E2191" s="38" t="s">
        <v>3</v>
      </c>
      <c r="F2191" s="38" t="s">
        <v>11</v>
      </c>
      <c r="G2191" s="32">
        <v>0</v>
      </c>
      <c r="H2191" s="32">
        <v>262719192.35422456</v>
      </c>
      <c r="I2191" s="52">
        <v>0</v>
      </c>
      <c r="J2191" s="35">
        <f>+G2191-H2191+I2191</f>
        <v>-262719192.35422456</v>
      </c>
      <c r="K2191" s="28">
        <v>0</v>
      </c>
      <c r="L2191" s="32">
        <v>0</v>
      </c>
      <c r="M2191" s="35">
        <f>+J2191+L2191</f>
        <v>-262719192.35422456</v>
      </c>
      <c r="N2191" s="28" t="s">
        <v>2911</v>
      </c>
      <c r="O2191" s="29" t="s">
        <v>2912</v>
      </c>
      <c r="P2191" s="36">
        <v>42551</v>
      </c>
      <c r="Q2191" s="31">
        <v>26052.07</v>
      </c>
      <c r="R2191" s="33">
        <f>M2191/Q2191</f>
        <v>-10084.38839425138</v>
      </c>
    </row>
    <row r="2192" spans="1:18" ht="15" customHeight="1">
      <c r="A2192" s="37" t="s">
        <v>39</v>
      </c>
      <c r="B2192" s="26" t="s">
        <v>1658</v>
      </c>
      <c r="C2192" s="39">
        <v>5</v>
      </c>
      <c r="D2192" s="40" t="s">
        <v>3054</v>
      </c>
      <c r="E2192" s="38" t="s">
        <v>3</v>
      </c>
      <c r="F2192" s="38" t="s">
        <v>10</v>
      </c>
      <c r="G2192" s="32">
        <v>5454179</v>
      </c>
      <c r="H2192" s="32">
        <v>759046</v>
      </c>
      <c r="I2192" s="52">
        <v>0</v>
      </c>
      <c r="J2192" s="35">
        <f>+G2192-H2192+I2192</f>
        <v>4695133</v>
      </c>
      <c r="K2192" s="28">
        <v>0</v>
      </c>
      <c r="L2192" s="32">
        <v>0</v>
      </c>
      <c r="M2192" s="35">
        <f>+J2192+L2192</f>
        <v>4695133</v>
      </c>
      <c r="N2192" s="28" t="s">
        <v>2430</v>
      </c>
      <c r="O2192" s="29" t="s">
        <v>2431</v>
      </c>
      <c r="P2192" s="36">
        <v>43133</v>
      </c>
      <c r="Q2192" s="31">
        <v>26826.67</v>
      </c>
      <c r="R2192" s="33">
        <f>M2192/Q2192</f>
        <v>175.01736145410518</v>
      </c>
    </row>
    <row r="2193" spans="1:18" ht="15" customHeight="1">
      <c r="A2193" s="37" t="s">
        <v>2639</v>
      </c>
      <c r="B2193" s="26" t="s">
        <v>2640</v>
      </c>
      <c r="C2193" s="39">
        <v>5</v>
      </c>
      <c r="D2193" s="40" t="s">
        <v>3055</v>
      </c>
      <c r="E2193" s="38" t="s">
        <v>4</v>
      </c>
      <c r="F2193" s="38" t="s">
        <v>11</v>
      </c>
      <c r="G2193" s="32">
        <v>0</v>
      </c>
      <c r="H2193" s="32">
        <v>11384511</v>
      </c>
      <c r="I2193" s="32">
        <v>11384511</v>
      </c>
      <c r="J2193" s="35">
        <f>+G2193-H2193+I2193</f>
        <v>0</v>
      </c>
      <c r="K2193" s="28">
        <v>0</v>
      </c>
      <c r="L2193" s="32">
        <v>0</v>
      </c>
      <c r="M2193" s="35">
        <f>+J2193+L2193</f>
        <v>0</v>
      </c>
      <c r="N2193" s="28" t="s">
        <v>2854</v>
      </c>
      <c r="O2193" s="29" t="s">
        <v>2855</v>
      </c>
      <c r="P2193" s="36">
        <v>43179</v>
      </c>
      <c r="Q2193" s="31">
        <v>26966.89</v>
      </c>
      <c r="R2193" s="33">
        <f>M2193/Q2193</f>
        <v>0</v>
      </c>
    </row>
    <row r="2194" spans="1:18" ht="15" customHeight="1">
      <c r="A2194" s="37" t="s">
        <v>52</v>
      </c>
      <c r="B2194" s="26" t="s">
        <v>2606</v>
      </c>
      <c r="C2194" s="39">
        <v>5</v>
      </c>
      <c r="D2194" s="40" t="s">
        <v>3056</v>
      </c>
      <c r="E2194" s="38" t="s">
        <v>3</v>
      </c>
      <c r="F2194" s="38" t="s">
        <v>10</v>
      </c>
      <c r="G2194" s="32">
        <v>59652</v>
      </c>
      <c r="H2194" s="32">
        <v>-13503242</v>
      </c>
      <c r="I2194" s="52">
        <v>0</v>
      </c>
      <c r="J2194" s="35">
        <f>+G2194-H2194+I2194</f>
        <v>13562894</v>
      </c>
      <c r="K2194" s="28">
        <v>0</v>
      </c>
      <c r="L2194" s="32">
        <v>0</v>
      </c>
      <c r="M2194" s="35">
        <f>+J2194+L2194</f>
        <v>13562894</v>
      </c>
      <c r="N2194" s="28" t="s">
        <v>2684</v>
      </c>
      <c r="O2194" s="29" t="s">
        <v>2685</v>
      </c>
      <c r="P2194" s="36">
        <v>42727</v>
      </c>
      <c r="Q2194" s="31">
        <v>26341.19</v>
      </c>
      <c r="R2194" s="33">
        <f>M2194/Q2194</f>
        <v>514.89298699109645</v>
      </c>
    </row>
    <row r="2195" spans="1:18" ht="15" customHeight="1">
      <c r="A2195" s="46" t="s">
        <v>52</v>
      </c>
      <c r="B2195" s="47" t="s">
        <v>2606</v>
      </c>
      <c r="C2195" s="65">
        <v>5</v>
      </c>
      <c r="D2195" s="51" t="s">
        <v>3057</v>
      </c>
      <c r="E2195" s="48" t="s">
        <v>6</v>
      </c>
      <c r="F2195" s="38" t="s">
        <v>13</v>
      </c>
      <c r="G2195" s="52">
        <v>3672003</v>
      </c>
      <c r="H2195" s="52">
        <v>0</v>
      </c>
      <c r="I2195" s="52">
        <v>0</v>
      </c>
      <c r="J2195" s="53">
        <f>+G2195-H2195+I2195</f>
        <v>3672003</v>
      </c>
      <c r="K2195" s="70">
        <v>0</v>
      </c>
      <c r="L2195" s="52">
        <v>0</v>
      </c>
      <c r="M2195" s="53">
        <f>+J2195+L2195</f>
        <v>3672003</v>
      </c>
      <c r="N2195" s="55" t="s">
        <v>2608</v>
      </c>
      <c r="O2195" s="56" t="s">
        <v>2609</v>
      </c>
      <c r="P2195" s="56">
        <v>44488</v>
      </c>
      <c r="Q2195" s="49">
        <v>30240.57</v>
      </c>
      <c r="R2195" s="57">
        <f>M2195/Q2195</f>
        <v>121.42638184399303</v>
      </c>
    </row>
    <row r="2196" spans="1:18" ht="15" customHeight="1">
      <c r="A2196" s="37" t="s">
        <v>688</v>
      </c>
      <c r="B2196" s="26" t="s">
        <v>1728</v>
      </c>
      <c r="C2196" s="39">
        <v>5</v>
      </c>
      <c r="D2196" s="40" t="s">
        <v>3058</v>
      </c>
      <c r="E2196" s="38" t="s">
        <v>6</v>
      </c>
      <c r="F2196" s="38" t="s">
        <v>11</v>
      </c>
      <c r="G2196" s="32">
        <v>1742584.97</v>
      </c>
      <c r="H2196" s="32">
        <v>1614005</v>
      </c>
      <c r="I2196" s="32">
        <v>137088</v>
      </c>
      <c r="J2196" s="35">
        <f>+G2196-H2196+I2196</f>
        <v>265667.96999999997</v>
      </c>
      <c r="K2196" s="28">
        <v>0</v>
      </c>
      <c r="L2196" s="32">
        <v>0</v>
      </c>
      <c r="M2196" s="35">
        <f>+J2196+L2196</f>
        <v>265667.96999999997</v>
      </c>
      <c r="N2196" s="28" t="s">
        <v>2343</v>
      </c>
      <c r="O2196" s="29" t="s">
        <v>2344</v>
      </c>
      <c r="P2196" s="36">
        <v>42810</v>
      </c>
      <c r="Q2196" s="31">
        <v>26446.36</v>
      </c>
      <c r="R2196" s="33">
        <f>M2196/Q2196</f>
        <v>10.045540104573936</v>
      </c>
    </row>
    <row r="2197" spans="1:18" ht="15" customHeight="1">
      <c r="A2197" s="37" t="s">
        <v>688</v>
      </c>
      <c r="B2197" s="26" t="s">
        <v>689</v>
      </c>
      <c r="C2197" s="39">
        <v>4</v>
      </c>
      <c r="D2197" s="40" t="s">
        <v>3059</v>
      </c>
      <c r="E2197" s="38" t="s">
        <v>3</v>
      </c>
      <c r="F2197" s="38" t="s">
        <v>13</v>
      </c>
      <c r="G2197" s="32">
        <v>0</v>
      </c>
      <c r="H2197" s="32">
        <v>0</v>
      </c>
      <c r="I2197" s="32">
        <v>3638544</v>
      </c>
      <c r="J2197" s="35">
        <f>+G2197-H2197+I2197</f>
        <v>3638544</v>
      </c>
      <c r="K2197" s="28">
        <v>0</v>
      </c>
      <c r="L2197" s="32">
        <v>0</v>
      </c>
      <c r="M2197" s="35">
        <f>+J2197+L2197</f>
        <v>3638544</v>
      </c>
      <c r="N2197" s="28" t="s">
        <v>3060</v>
      </c>
      <c r="O2197" s="29" t="s">
        <v>3061</v>
      </c>
      <c r="P2197" s="36">
        <v>44994</v>
      </c>
      <c r="Q2197" s="31">
        <v>35600.75</v>
      </c>
      <c r="R2197" s="33">
        <f>M2197/Q2197</f>
        <v>102.20413895774668</v>
      </c>
    </row>
    <row r="2198" spans="1:18" ht="15" customHeight="1">
      <c r="A2198" s="37" t="s">
        <v>627</v>
      </c>
      <c r="B2198" s="26" t="s">
        <v>1895</v>
      </c>
      <c r="C2198" s="39">
        <v>4</v>
      </c>
      <c r="D2198" s="40" t="s">
        <v>3062</v>
      </c>
      <c r="E2198" s="38" t="s">
        <v>3</v>
      </c>
      <c r="F2198" s="38" t="s">
        <v>11</v>
      </c>
      <c r="G2198" s="32">
        <v>1084806</v>
      </c>
      <c r="H2198" s="32">
        <v>532506</v>
      </c>
      <c r="I2198" s="32">
        <v>188487</v>
      </c>
      <c r="J2198" s="35">
        <f>+G2198-H2198+I2198</f>
        <v>740787</v>
      </c>
      <c r="K2198" s="28">
        <v>0</v>
      </c>
      <c r="L2198" s="32">
        <v>0</v>
      </c>
      <c r="M2198" s="35">
        <f>+J2198+L2198</f>
        <v>740787</v>
      </c>
      <c r="N2198" s="28" t="s">
        <v>1898</v>
      </c>
      <c r="O2198" s="29" t="s">
        <v>1899</v>
      </c>
      <c r="P2198" s="36">
        <v>43829</v>
      </c>
      <c r="Q2198" s="31">
        <v>28309.03</v>
      </c>
      <c r="R2198" s="33">
        <f>M2198/Q2198</f>
        <v>26.167869404214841</v>
      </c>
    </row>
    <row r="2199" spans="1:18" ht="15" customHeight="1">
      <c r="A2199" s="37" t="s">
        <v>3044</v>
      </c>
      <c r="B2199" s="26" t="s">
        <v>3045</v>
      </c>
      <c r="C2199" s="39">
        <v>4</v>
      </c>
      <c r="D2199" s="40" t="s">
        <v>3063</v>
      </c>
      <c r="E2199" s="38" t="s">
        <v>3</v>
      </c>
      <c r="F2199" s="38" t="s">
        <v>12</v>
      </c>
      <c r="G2199" s="32">
        <v>9448545</v>
      </c>
      <c r="H2199" s="32">
        <v>0</v>
      </c>
      <c r="I2199" s="32">
        <v>1193566</v>
      </c>
      <c r="J2199" s="35">
        <f>+G2199-H2199+I2199</f>
        <v>10642111</v>
      </c>
      <c r="K2199" s="28">
        <v>0</v>
      </c>
      <c r="L2199" s="32">
        <v>0</v>
      </c>
      <c r="M2199" s="35">
        <f>+J2199+L2199</f>
        <v>10642111</v>
      </c>
      <c r="N2199" s="28" t="s">
        <v>3047</v>
      </c>
      <c r="O2199" s="29" t="s">
        <v>3064</v>
      </c>
      <c r="P2199" s="36">
        <v>44361</v>
      </c>
      <c r="Q2199" s="31">
        <v>29662.41</v>
      </c>
      <c r="R2199" s="33">
        <f>M2199/Q2199</f>
        <v>358.77432076490078</v>
      </c>
    </row>
    <row r="2200" spans="1:18" ht="15" customHeight="1">
      <c r="A2200" s="37" t="s">
        <v>688</v>
      </c>
      <c r="B2200" s="26" t="s">
        <v>736</v>
      </c>
      <c r="C2200" s="39">
        <v>4</v>
      </c>
      <c r="D2200" s="40" t="s">
        <v>3065</v>
      </c>
      <c r="E2200" s="38" t="s">
        <v>3</v>
      </c>
      <c r="F2200" s="38" t="s">
        <v>13</v>
      </c>
      <c r="G2200" s="32">
        <v>332521.93800000002</v>
      </c>
      <c r="H2200" s="32">
        <v>372226.05</v>
      </c>
      <c r="I2200" s="32">
        <v>1331670.5989649999</v>
      </c>
      <c r="J2200" s="35">
        <f>+G2200-H2200+I2200</f>
        <v>1291966.4869649999</v>
      </c>
      <c r="K2200" s="28">
        <v>0</v>
      </c>
      <c r="L2200" s="32">
        <v>0</v>
      </c>
      <c r="M2200" s="35">
        <f>+J2200+L2200</f>
        <v>1291966.4869649999</v>
      </c>
      <c r="N2200" s="28" t="s">
        <v>2508</v>
      </c>
      <c r="O2200" s="29" t="s">
        <v>2509</v>
      </c>
      <c r="P2200" s="36">
        <v>43427</v>
      </c>
      <c r="Q2200" s="31">
        <v>27507.17</v>
      </c>
      <c r="R2200" s="33">
        <f>M2200/Q2200</f>
        <v>46.96835359526262</v>
      </c>
    </row>
    <row r="2201" spans="1:18" ht="15" customHeight="1">
      <c r="A2201" s="37" t="s">
        <v>293</v>
      </c>
      <c r="B2201" s="26" t="s">
        <v>294</v>
      </c>
      <c r="C2201" s="39">
        <v>4</v>
      </c>
      <c r="D2201" s="40" t="s">
        <v>3066</v>
      </c>
      <c r="E2201" s="38" t="s">
        <v>3</v>
      </c>
      <c r="F2201" s="38" t="s">
        <v>14</v>
      </c>
      <c r="G2201" s="32">
        <v>13798445.957681</v>
      </c>
      <c r="H2201" s="32">
        <v>14902298.2204291</v>
      </c>
      <c r="I2201" s="32">
        <v>3710888.8462035698</v>
      </c>
      <c r="J2201" s="35">
        <f>+G2201-H2201+I2201</f>
        <v>2607036.5834554699</v>
      </c>
      <c r="K2201" s="28">
        <v>0</v>
      </c>
      <c r="L2201" s="32">
        <v>0</v>
      </c>
      <c r="M2201" s="35">
        <f>+J2201+L2201</f>
        <v>2607036.5834554699</v>
      </c>
      <c r="N2201" s="28" t="s">
        <v>2927</v>
      </c>
      <c r="O2201" s="29" t="s">
        <v>2928</v>
      </c>
      <c r="P2201" s="36">
        <v>43518</v>
      </c>
      <c r="Q2201" s="31">
        <v>27551</v>
      </c>
      <c r="R2201" s="33">
        <f>M2201/Q2201</f>
        <v>94.625842381600307</v>
      </c>
    </row>
    <row r="2202" spans="1:18" ht="15" customHeight="1">
      <c r="A2202" s="37" t="s">
        <v>874</v>
      </c>
      <c r="B2202" s="26" t="s">
        <v>875</v>
      </c>
      <c r="C2202" s="39">
        <v>4</v>
      </c>
      <c r="D2202" s="40" t="s">
        <v>3067</v>
      </c>
      <c r="E2202" s="38" t="s">
        <v>3</v>
      </c>
      <c r="F2202" s="38" t="s">
        <v>10</v>
      </c>
      <c r="G2202" s="32">
        <v>3048340</v>
      </c>
      <c r="H2202" s="32">
        <v>2311908</v>
      </c>
      <c r="I2202" s="32">
        <v>331963</v>
      </c>
      <c r="J2202" s="35">
        <f>+G2202-H2202+I2202</f>
        <v>1068395</v>
      </c>
      <c r="K2202" s="28">
        <v>0</v>
      </c>
      <c r="L2202" s="32">
        <v>0</v>
      </c>
      <c r="M2202" s="35">
        <f>+J2202+L2202</f>
        <v>1068395</v>
      </c>
      <c r="N2202" s="28" t="s">
        <v>2908</v>
      </c>
      <c r="O2202" s="29" t="s">
        <v>2909</v>
      </c>
      <c r="P2202" s="36">
        <v>43788</v>
      </c>
      <c r="Q2202" s="31">
        <v>28139.99</v>
      </c>
      <c r="R2202" s="33">
        <f>M2202/Q2202</f>
        <v>37.967142134734232</v>
      </c>
    </row>
    <row r="2203" spans="1:18" ht="15" customHeight="1">
      <c r="A2203" s="37" t="s">
        <v>356</v>
      </c>
      <c r="B2203" s="26" t="s">
        <v>1540</v>
      </c>
      <c r="C2203" s="39">
        <v>4</v>
      </c>
      <c r="D2203" s="40" t="s">
        <v>3068</v>
      </c>
      <c r="E2203" s="38" t="s">
        <v>3</v>
      </c>
      <c r="F2203" s="38" t="s">
        <v>11</v>
      </c>
      <c r="G2203" s="32">
        <v>0</v>
      </c>
      <c r="H2203" s="32">
        <v>241085511</v>
      </c>
      <c r="I2203" s="52">
        <v>0</v>
      </c>
      <c r="J2203" s="35">
        <f>+G2203-H2203+I2203</f>
        <v>-241085511</v>
      </c>
      <c r="K2203" s="28">
        <v>0</v>
      </c>
      <c r="L2203" s="32">
        <v>0</v>
      </c>
      <c r="M2203" s="35">
        <f>+J2203+L2203</f>
        <v>-241085511</v>
      </c>
      <c r="N2203" s="28" t="s">
        <v>2635</v>
      </c>
      <c r="O2203" s="29" t="s">
        <v>2636</v>
      </c>
      <c r="P2203" s="36">
        <v>42655</v>
      </c>
      <c r="Q2203" s="31">
        <v>26229.37</v>
      </c>
      <c r="R2203" s="33">
        <f>M2203/Q2203</f>
        <v>-9191.4335342404338</v>
      </c>
    </row>
    <row r="2204" spans="1:18" ht="15" customHeight="1">
      <c r="A2204" s="37" t="s">
        <v>39</v>
      </c>
      <c r="B2204" s="26" t="s">
        <v>1658</v>
      </c>
      <c r="C2204" s="39">
        <v>4</v>
      </c>
      <c r="D2204" s="40" t="s">
        <v>3069</v>
      </c>
      <c r="E2204" s="38" t="s">
        <v>3</v>
      </c>
      <c r="F2204" s="38" t="s">
        <v>10</v>
      </c>
      <c r="G2204" s="32">
        <v>3281696</v>
      </c>
      <c r="H2204" s="32">
        <v>0</v>
      </c>
      <c r="I2204" s="52">
        <v>0</v>
      </c>
      <c r="J2204" s="35">
        <f>+G2204-H2204+I2204</f>
        <v>3281696</v>
      </c>
      <c r="K2204" s="28">
        <v>0</v>
      </c>
      <c r="L2204" s="32">
        <v>0</v>
      </c>
      <c r="M2204" s="35">
        <f>+J2204+L2204</f>
        <v>3281696</v>
      </c>
      <c r="N2204" s="28" t="s">
        <v>2430</v>
      </c>
      <c r="O2204" s="29" t="s">
        <v>2431</v>
      </c>
      <c r="P2204" s="36">
        <v>43133</v>
      </c>
      <c r="Q2204" s="31">
        <v>26826.67</v>
      </c>
      <c r="R2204" s="33">
        <f>M2204/Q2204</f>
        <v>122.32960706640073</v>
      </c>
    </row>
    <row r="2205" spans="1:18" ht="15" customHeight="1">
      <c r="A2205" s="37" t="s">
        <v>52</v>
      </c>
      <c r="B2205" s="26" t="s">
        <v>195</v>
      </c>
      <c r="C2205" s="39">
        <v>4</v>
      </c>
      <c r="D2205" s="40" t="s">
        <v>3070</v>
      </c>
      <c r="E2205" s="38" t="s">
        <v>3</v>
      </c>
      <c r="F2205" s="38" t="s">
        <v>10</v>
      </c>
      <c r="G2205" s="32">
        <v>269283652</v>
      </c>
      <c r="H2205" s="32">
        <v>40691442</v>
      </c>
      <c r="I2205" s="32">
        <v>5371780</v>
      </c>
      <c r="J2205" s="35">
        <f>+G2205-H2205+I2205</f>
        <v>233963990</v>
      </c>
      <c r="K2205" s="28">
        <v>0</v>
      </c>
      <c r="L2205" s="32">
        <v>0</v>
      </c>
      <c r="M2205" s="35">
        <f>+J2205+L2205</f>
        <v>233963990</v>
      </c>
      <c r="N2205" s="28" t="s">
        <v>2897</v>
      </c>
      <c r="O2205" s="29" t="s">
        <v>1394</v>
      </c>
      <c r="P2205" s="36">
        <v>44062</v>
      </c>
      <c r="Q2205" s="31">
        <v>28668.35</v>
      </c>
      <c r="R2205" s="33">
        <f>M2205/Q2205</f>
        <v>8161.0553101242313</v>
      </c>
    </row>
    <row r="2206" spans="1:18" ht="15" customHeight="1">
      <c r="A2206" s="37" t="s">
        <v>2639</v>
      </c>
      <c r="B2206" s="26" t="s">
        <v>2640</v>
      </c>
      <c r="C2206" s="39">
        <v>4</v>
      </c>
      <c r="D2206" s="40" t="s">
        <v>3071</v>
      </c>
      <c r="E2206" s="38" t="s">
        <v>4</v>
      </c>
      <c r="F2206" s="38" t="s">
        <v>11</v>
      </c>
      <c r="G2206" s="32">
        <v>28202449</v>
      </c>
      <c r="H2206" s="32">
        <v>18276246</v>
      </c>
      <c r="I2206" s="32">
        <v>696061</v>
      </c>
      <c r="J2206" s="35">
        <f>+G2206-H2206+I2206</f>
        <v>10622264</v>
      </c>
      <c r="K2206" s="28">
        <v>0</v>
      </c>
      <c r="L2206" s="32">
        <v>0</v>
      </c>
      <c r="M2206" s="35">
        <f>+J2206+L2206</f>
        <v>10622264</v>
      </c>
      <c r="N2206" s="28" t="s">
        <v>2854</v>
      </c>
      <c r="O2206" s="29" t="s">
        <v>2855</v>
      </c>
      <c r="P2206" s="36">
        <v>43179</v>
      </c>
      <c r="Q2206" s="31">
        <v>26966.89</v>
      </c>
      <c r="R2206" s="33">
        <f>M2206/Q2206</f>
        <v>393.90022357045996</v>
      </c>
    </row>
    <row r="2207" spans="1:18" ht="15" customHeight="1">
      <c r="A2207" s="37" t="s">
        <v>688</v>
      </c>
      <c r="B2207" s="26" t="s">
        <v>3072</v>
      </c>
      <c r="C2207" s="39">
        <v>4</v>
      </c>
      <c r="D2207" s="40" t="s">
        <v>3073</v>
      </c>
      <c r="E2207" s="38" t="s">
        <v>4</v>
      </c>
      <c r="F2207" s="38" t="s">
        <v>21</v>
      </c>
      <c r="G2207" s="32">
        <v>777022</v>
      </c>
      <c r="H2207" s="32">
        <v>287885</v>
      </c>
      <c r="I2207" s="32">
        <v>201549</v>
      </c>
      <c r="J2207" s="35">
        <f>+G2207-H2207+I2207</f>
        <v>690686</v>
      </c>
      <c r="K2207" s="28">
        <v>0</v>
      </c>
      <c r="L2207" s="32">
        <v>0</v>
      </c>
      <c r="M2207" s="35">
        <f>+J2207+L2207</f>
        <v>690686</v>
      </c>
      <c r="N2207" s="28" t="s">
        <v>3074</v>
      </c>
      <c r="O2207" s="29" t="s">
        <v>3075</v>
      </c>
      <c r="P2207" s="36">
        <v>44327</v>
      </c>
      <c r="Q2207" s="31">
        <v>29537.09</v>
      </c>
      <c r="R2207" s="33">
        <f>M2207/Q2207</f>
        <v>23.383684716402328</v>
      </c>
    </row>
    <row r="2208" spans="1:18" ht="15" customHeight="1">
      <c r="A2208" s="37" t="s">
        <v>52</v>
      </c>
      <c r="B2208" s="26" t="s">
        <v>2606</v>
      </c>
      <c r="C2208" s="39">
        <v>4</v>
      </c>
      <c r="D2208" s="40" t="s">
        <v>3076</v>
      </c>
      <c r="E2208" s="38" t="s">
        <v>3</v>
      </c>
      <c r="F2208" s="38" t="s">
        <v>10</v>
      </c>
      <c r="G2208" s="32">
        <v>5895585</v>
      </c>
      <c r="H2208" s="32">
        <v>-6904912</v>
      </c>
      <c r="I2208" s="52">
        <v>0</v>
      </c>
      <c r="J2208" s="35">
        <f>+G2208-H2208+I2208</f>
        <v>12800497</v>
      </c>
      <c r="K2208" s="28">
        <v>0</v>
      </c>
      <c r="L2208" s="32">
        <v>0</v>
      </c>
      <c r="M2208" s="35">
        <f>+J2208+L2208</f>
        <v>12800497</v>
      </c>
      <c r="N2208" s="28" t="s">
        <v>2684</v>
      </c>
      <c r="O2208" s="29" t="s">
        <v>2685</v>
      </c>
      <c r="P2208" s="36">
        <v>42727</v>
      </c>
      <c r="Q2208" s="31">
        <v>26341.19</v>
      </c>
      <c r="R2208" s="33">
        <f>M2208/Q2208</f>
        <v>485.94983749785035</v>
      </c>
    </row>
    <row r="2209" spans="1:18" ht="15" customHeight="1">
      <c r="A2209" s="37" t="s">
        <v>688</v>
      </c>
      <c r="B2209" s="26" t="s">
        <v>1728</v>
      </c>
      <c r="C2209" s="39">
        <v>4</v>
      </c>
      <c r="D2209" s="40" t="s">
        <v>3077</v>
      </c>
      <c r="E2209" s="38" t="s">
        <v>4</v>
      </c>
      <c r="F2209" s="38" t="s">
        <v>12</v>
      </c>
      <c r="G2209" s="32">
        <v>159066.25</v>
      </c>
      <c r="H2209" s="32">
        <v>94438.399999999994</v>
      </c>
      <c r="I2209" s="32">
        <v>137088</v>
      </c>
      <c r="J2209" s="35">
        <f>+G2209-H2209+I2209</f>
        <v>201715.85</v>
      </c>
      <c r="K2209" s="28">
        <v>0</v>
      </c>
      <c r="L2209" s="32">
        <v>0</v>
      </c>
      <c r="M2209" s="35">
        <f>+J2209+L2209</f>
        <v>201715.85</v>
      </c>
      <c r="N2209" s="28" t="s">
        <v>2343</v>
      </c>
      <c r="O2209" s="29" t="s">
        <v>2344</v>
      </c>
      <c r="P2209" s="36">
        <v>42810</v>
      </c>
      <c r="Q2209" s="31">
        <v>26446.36</v>
      </c>
      <c r="R2209" s="33">
        <f>M2209/Q2209</f>
        <v>7.6273577913935986</v>
      </c>
    </row>
    <row r="2210" spans="1:18" ht="15" customHeight="1">
      <c r="A2210" s="37" t="s">
        <v>688</v>
      </c>
      <c r="B2210" s="26" t="s">
        <v>3078</v>
      </c>
      <c r="C2210" s="39">
        <v>3</v>
      </c>
      <c r="D2210" s="40" t="s">
        <v>3079</v>
      </c>
      <c r="E2210" s="38" t="s">
        <v>3</v>
      </c>
      <c r="F2210" s="38" t="s">
        <v>11</v>
      </c>
      <c r="G2210" s="32">
        <v>1118576</v>
      </c>
      <c r="H2210" s="32">
        <v>938322</v>
      </c>
      <c r="I2210" s="52">
        <v>0</v>
      </c>
      <c r="J2210" s="35">
        <f>+G2210-H2210+I2210</f>
        <v>180254</v>
      </c>
      <c r="K2210" s="28">
        <v>0</v>
      </c>
      <c r="L2210" s="32">
        <v>0</v>
      </c>
      <c r="M2210" s="35">
        <f>+J2210+L2210</f>
        <v>180254</v>
      </c>
      <c r="N2210" s="28" t="s">
        <v>3080</v>
      </c>
      <c r="O2210" s="29" t="s">
        <v>3081</v>
      </c>
      <c r="P2210" s="36">
        <v>44320</v>
      </c>
      <c r="Q2210" s="31">
        <v>29509.84</v>
      </c>
      <c r="R2210" s="33">
        <f>M2210/Q2210</f>
        <v>6.1082676151412549</v>
      </c>
    </row>
    <row r="2211" spans="1:18" ht="15" customHeight="1">
      <c r="A2211" s="37" t="s">
        <v>627</v>
      </c>
      <c r="B2211" s="26" t="s">
        <v>1895</v>
      </c>
      <c r="C2211" s="39">
        <v>3</v>
      </c>
      <c r="D2211" s="40" t="s">
        <v>3082</v>
      </c>
      <c r="E2211" s="38" t="s">
        <v>3</v>
      </c>
      <c r="F2211" s="38" t="s">
        <v>13</v>
      </c>
      <c r="G2211" s="32">
        <v>337377</v>
      </c>
      <c r="H2211" s="32">
        <v>0</v>
      </c>
      <c r="I2211" s="32">
        <v>171454</v>
      </c>
      <c r="J2211" s="35">
        <f>+G2211-H2211+I2211</f>
        <v>508831</v>
      </c>
      <c r="K2211" s="28">
        <v>0</v>
      </c>
      <c r="L2211" s="32">
        <v>0</v>
      </c>
      <c r="M2211" s="35">
        <f>+J2211+L2211</f>
        <v>508831</v>
      </c>
      <c r="N2211" s="28" t="s">
        <v>1898</v>
      </c>
      <c r="O2211" s="29" t="s">
        <v>1899</v>
      </c>
      <c r="P2211" s="36">
        <v>43829</v>
      </c>
      <c r="Q2211" s="31">
        <v>28309.03</v>
      </c>
      <c r="R2211" s="33">
        <f>M2211/Q2211</f>
        <v>17.974158775486128</v>
      </c>
    </row>
    <row r="2212" spans="1:18" ht="15" customHeight="1">
      <c r="A2212" s="37" t="s">
        <v>3044</v>
      </c>
      <c r="B2212" s="26" t="s">
        <v>3045</v>
      </c>
      <c r="C2212" s="39">
        <v>3</v>
      </c>
      <c r="D2212" s="40" t="s">
        <v>3083</v>
      </c>
      <c r="E2212" s="38" t="s">
        <v>4</v>
      </c>
      <c r="F2212" s="38" t="s">
        <v>11</v>
      </c>
      <c r="G2212" s="32">
        <v>0</v>
      </c>
      <c r="H2212" s="32">
        <v>0</v>
      </c>
      <c r="I2212" s="32">
        <v>3740314</v>
      </c>
      <c r="J2212" s="35">
        <f>+G2212-H2212+I2212</f>
        <v>3740314</v>
      </c>
      <c r="K2212" s="28">
        <v>0</v>
      </c>
      <c r="L2212" s="32">
        <v>0</v>
      </c>
      <c r="M2212" s="35">
        <f>+J2212+L2212</f>
        <v>3740314</v>
      </c>
      <c r="N2212" s="28" t="s">
        <v>3047</v>
      </c>
      <c r="O2212" s="29" t="s">
        <v>3084</v>
      </c>
      <c r="P2212" s="36">
        <v>44361</v>
      </c>
      <c r="Q2212" s="31">
        <v>29662.41</v>
      </c>
      <c r="R2212" s="33">
        <f>M2212/Q2212</f>
        <v>126.09609266408225</v>
      </c>
    </row>
    <row r="2213" spans="1:18" ht="15" customHeight="1">
      <c r="A2213" s="37" t="s">
        <v>391</v>
      </c>
      <c r="B2213" s="26" t="s">
        <v>392</v>
      </c>
      <c r="C2213" s="39">
        <v>3</v>
      </c>
      <c r="D2213" s="40" t="s">
        <v>3085</v>
      </c>
      <c r="E2213" s="38" t="s">
        <v>3</v>
      </c>
      <c r="F2213" s="38" t="s">
        <v>13</v>
      </c>
      <c r="G2213" s="32">
        <v>23655178</v>
      </c>
      <c r="H2213" s="32">
        <v>0</v>
      </c>
      <c r="I2213" s="52">
        <v>0</v>
      </c>
      <c r="J2213" s="35">
        <f>+G2213-H2213+I2213</f>
        <v>23655178</v>
      </c>
      <c r="K2213" s="28">
        <v>0</v>
      </c>
      <c r="L2213" s="32">
        <v>0</v>
      </c>
      <c r="M2213" s="35">
        <f>+J2213+L2213</f>
        <v>23655178</v>
      </c>
      <c r="N2213" s="28" t="s">
        <v>2549</v>
      </c>
      <c r="O2213" s="29" t="s">
        <v>2550</v>
      </c>
      <c r="P2213" s="36">
        <v>43269</v>
      </c>
      <c r="Q2213" s="31">
        <v>27126.25</v>
      </c>
      <c r="R2213" s="33">
        <f>M2213/Q2213</f>
        <v>872.0401087507488</v>
      </c>
    </row>
    <row r="2214" spans="1:18" ht="15" customHeight="1">
      <c r="A2214" s="37" t="s">
        <v>688</v>
      </c>
      <c r="B2214" s="26" t="s">
        <v>736</v>
      </c>
      <c r="C2214" s="39">
        <v>3</v>
      </c>
      <c r="D2214" s="40" t="s">
        <v>3086</v>
      </c>
      <c r="E2214" s="38" t="s">
        <v>3</v>
      </c>
      <c r="F2214" s="38" t="s">
        <v>13</v>
      </c>
      <c r="G2214" s="32">
        <v>5777316.9770400003</v>
      </c>
      <c r="H2214" s="32">
        <v>1079724.9657600001</v>
      </c>
      <c r="I2214" s="52">
        <v>0</v>
      </c>
      <c r="J2214" s="35">
        <f>+G2214-H2214+I2214</f>
        <v>4697592.0112800002</v>
      </c>
      <c r="K2214" s="28">
        <v>0</v>
      </c>
      <c r="L2214" s="32">
        <v>0</v>
      </c>
      <c r="M2214" s="35">
        <f>+J2214+L2214</f>
        <v>4697592.0112800002</v>
      </c>
      <c r="N2214" s="28" t="s">
        <v>2508</v>
      </c>
      <c r="O2214" s="29" t="s">
        <v>2509</v>
      </c>
      <c r="P2214" s="36">
        <v>43427</v>
      </c>
      <c r="Q2214" s="31">
        <v>27507.17</v>
      </c>
      <c r="R2214" s="33">
        <f>M2214/Q2214</f>
        <v>170.77700146107361</v>
      </c>
    </row>
    <row r="2215" spans="1:18" ht="15" customHeight="1">
      <c r="A2215" s="37" t="s">
        <v>293</v>
      </c>
      <c r="B2215" s="26" t="s">
        <v>294</v>
      </c>
      <c r="C2215" s="39">
        <v>3</v>
      </c>
      <c r="D2215" s="40" t="s">
        <v>3087</v>
      </c>
      <c r="E2215" s="38" t="s">
        <v>3</v>
      </c>
      <c r="F2215" s="38" t="s">
        <v>12</v>
      </c>
      <c r="G2215" s="32">
        <v>120022.3248588</v>
      </c>
      <c r="H2215" s="32">
        <v>0</v>
      </c>
      <c r="I2215" s="32">
        <v>2932702.1501062699</v>
      </c>
      <c r="J2215" s="35">
        <f>+G2215-H2215+I2215</f>
        <v>3052724.4749650699</v>
      </c>
      <c r="K2215" s="28">
        <v>0</v>
      </c>
      <c r="L2215" s="32">
        <v>0</v>
      </c>
      <c r="M2215" s="35">
        <f>+J2215+L2215</f>
        <v>3052724.4749650699</v>
      </c>
      <c r="N2215" s="28" t="s">
        <v>2927</v>
      </c>
      <c r="O2215" s="29" t="s">
        <v>2928</v>
      </c>
      <c r="P2215" s="36">
        <v>43518</v>
      </c>
      <c r="Q2215" s="31">
        <v>27551</v>
      </c>
      <c r="R2215" s="33">
        <f>M2215/Q2215</f>
        <v>110.80267413034264</v>
      </c>
    </row>
    <row r="2216" spans="1:18" ht="15" customHeight="1">
      <c r="A2216" s="37" t="s">
        <v>874</v>
      </c>
      <c r="B2216" s="26" t="s">
        <v>875</v>
      </c>
      <c r="C2216" s="39">
        <v>3</v>
      </c>
      <c r="D2216" s="40" t="s">
        <v>3088</v>
      </c>
      <c r="E2216" s="38" t="s">
        <v>3</v>
      </c>
      <c r="F2216" s="38" t="s">
        <v>10</v>
      </c>
      <c r="G2216" s="32">
        <v>419673</v>
      </c>
      <c r="H2216" s="32">
        <v>6912286</v>
      </c>
      <c r="I2216" s="32"/>
      <c r="J2216" s="35">
        <f>+G2216-H2216+I2216</f>
        <v>-6492613</v>
      </c>
      <c r="K2216" s="28">
        <v>0</v>
      </c>
      <c r="L2216" s="32">
        <v>0</v>
      </c>
      <c r="M2216" s="35">
        <f>+J2216+L2216</f>
        <v>-6492613</v>
      </c>
      <c r="N2216" s="28" t="s">
        <v>1179</v>
      </c>
      <c r="O2216" s="29" t="s">
        <v>1180</v>
      </c>
      <c r="P2216" s="36">
        <v>44454</v>
      </c>
      <c r="Q2216" s="31">
        <v>30028</v>
      </c>
      <c r="R2216" s="33">
        <v>-216.22</v>
      </c>
    </row>
    <row r="2217" spans="1:18" ht="15" customHeight="1">
      <c r="A2217" s="37" t="s">
        <v>356</v>
      </c>
      <c r="B2217" s="26" t="s">
        <v>1841</v>
      </c>
      <c r="C2217" s="39">
        <v>3</v>
      </c>
      <c r="D2217" s="40" t="s">
        <v>3089</v>
      </c>
      <c r="E2217" s="38" t="s">
        <v>3</v>
      </c>
      <c r="F2217" s="38" t="s">
        <v>10</v>
      </c>
      <c r="G2217" s="32">
        <v>7393589</v>
      </c>
      <c r="H2217" s="32">
        <v>0</v>
      </c>
      <c r="I2217" s="32">
        <v>22536757</v>
      </c>
      <c r="J2217" s="35">
        <f>+G2217-H2217+I2217</f>
        <v>29930346</v>
      </c>
      <c r="K2217" s="28">
        <v>0</v>
      </c>
      <c r="L2217" s="32">
        <v>0</v>
      </c>
      <c r="M2217" s="35">
        <f>+J2217+L2217</f>
        <v>29930346</v>
      </c>
      <c r="N2217" s="28" t="s">
        <v>2963</v>
      </c>
      <c r="O2217" s="29" t="s">
        <v>2964</v>
      </c>
      <c r="P2217" s="36">
        <v>43796</v>
      </c>
      <c r="Q2217" s="31">
        <v>28199.85</v>
      </c>
      <c r="R2217" s="33">
        <f>M2217/Q2217</f>
        <v>1061.3654327948555</v>
      </c>
    </row>
    <row r="2218" spans="1:18" ht="15" customHeight="1">
      <c r="A2218" s="37" t="s">
        <v>874</v>
      </c>
      <c r="B2218" s="26" t="s">
        <v>875</v>
      </c>
      <c r="C2218" s="39">
        <v>59</v>
      </c>
      <c r="D2218" s="40" t="s">
        <v>3090</v>
      </c>
      <c r="E2218" s="38" t="s">
        <v>3</v>
      </c>
      <c r="F2218" s="38" t="s">
        <v>9</v>
      </c>
      <c r="G2218" s="32"/>
      <c r="H2218" s="32"/>
      <c r="I2218" s="32">
        <v>22219678</v>
      </c>
      <c r="J2218" s="35">
        <f>+G2218-H2218+I2218</f>
        <v>22219678</v>
      </c>
      <c r="K2218" s="27">
        <v>326</v>
      </c>
      <c r="L2218" s="32">
        <v>0</v>
      </c>
      <c r="M2218" s="35">
        <f>+J2218+L2218</f>
        <v>22219678</v>
      </c>
      <c r="N2218" s="28" t="s">
        <v>1179</v>
      </c>
      <c r="O2218" s="29" t="s">
        <v>1180</v>
      </c>
      <c r="P2218" s="36">
        <v>44454</v>
      </c>
      <c r="Q2218" s="31">
        <v>30028</v>
      </c>
      <c r="R2218" s="33">
        <v>739.96</v>
      </c>
    </row>
    <row r="2219" spans="1:18" ht="15" customHeight="1">
      <c r="A2219" s="37" t="s">
        <v>2639</v>
      </c>
      <c r="B2219" s="26" t="s">
        <v>2640</v>
      </c>
      <c r="C2219" s="39">
        <v>3</v>
      </c>
      <c r="D2219" s="40" t="s">
        <v>3091</v>
      </c>
      <c r="E2219" s="38" t="s">
        <v>4</v>
      </c>
      <c r="F2219" s="38" t="s">
        <v>12</v>
      </c>
      <c r="G2219" s="32">
        <v>15563422</v>
      </c>
      <c r="H2219" s="32">
        <v>39771069</v>
      </c>
      <c r="I2219" s="32">
        <v>33547604</v>
      </c>
      <c r="J2219" s="35">
        <f>+G2219-H2219+I2219</f>
        <v>9339957</v>
      </c>
      <c r="K2219" s="28">
        <v>0</v>
      </c>
      <c r="L2219" s="32">
        <v>0</v>
      </c>
      <c r="M2219" s="35">
        <f>+J2219+L2219</f>
        <v>9339957</v>
      </c>
      <c r="N2219" s="28" t="s">
        <v>2854</v>
      </c>
      <c r="O2219" s="29" t="s">
        <v>2855</v>
      </c>
      <c r="P2219" s="36">
        <v>43179</v>
      </c>
      <c r="Q2219" s="31">
        <v>26966.89</v>
      </c>
      <c r="R2219" s="33">
        <f>M2219/Q2219</f>
        <v>346.34905990271773</v>
      </c>
    </row>
    <row r="2220" spans="1:18" ht="15" customHeight="1">
      <c r="A2220" s="37" t="s">
        <v>688</v>
      </c>
      <c r="B2220" s="26" t="s">
        <v>3072</v>
      </c>
      <c r="C2220" s="39">
        <v>3</v>
      </c>
      <c r="D2220" s="40" t="s">
        <v>3092</v>
      </c>
      <c r="E2220" s="38" t="s">
        <v>3</v>
      </c>
      <c r="F2220" s="38" t="s">
        <v>11</v>
      </c>
      <c r="G2220" s="32">
        <v>278888</v>
      </c>
      <c r="H2220" s="32">
        <v>445559</v>
      </c>
      <c r="I2220" s="52">
        <v>0</v>
      </c>
      <c r="J2220" s="35">
        <f>+G2220-H2220+I2220</f>
        <v>-166671</v>
      </c>
      <c r="K2220" s="28">
        <v>0</v>
      </c>
      <c r="L2220" s="32">
        <v>0</v>
      </c>
      <c r="M2220" s="35">
        <f>+J2220+L2220</f>
        <v>-166671</v>
      </c>
      <c r="N2220" s="28" t="s">
        <v>3074</v>
      </c>
      <c r="O2220" s="29" t="s">
        <v>3075</v>
      </c>
      <c r="P2220" s="36">
        <v>44327</v>
      </c>
      <c r="Q2220" s="31">
        <v>29537.09</v>
      </c>
      <c r="R2220" s="33">
        <f>M2220/Q2220</f>
        <v>-5.6427698192340543</v>
      </c>
    </row>
    <row r="2221" spans="1:18" ht="15" customHeight="1">
      <c r="A2221" s="37" t="s">
        <v>52</v>
      </c>
      <c r="B2221" s="26" t="s">
        <v>2606</v>
      </c>
      <c r="C2221" s="39">
        <v>3</v>
      </c>
      <c r="D2221" s="40" t="s">
        <v>3093</v>
      </c>
      <c r="E2221" s="38" t="s">
        <v>3</v>
      </c>
      <c r="F2221" s="38" t="s">
        <v>10</v>
      </c>
      <c r="G2221" s="32">
        <v>2916563</v>
      </c>
      <c r="H2221" s="32">
        <v>-282081</v>
      </c>
      <c r="I2221" s="52">
        <v>0</v>
      </c>
      <c r="J2221" s="35">
        <f>+G2221-H2221+I2221</f>
        <v>3198644</v>
      </c>
      <c r="K2221" s="28">
        <v>0</v>
      </c>
      <c r="L2221" s="32">
        <v>0</v>
      </c>
      <c r="M2221" s="35">
        <f>+J2221+L2221</f>
        <v>3198644</v>
      </c>
      <c r="N2221" s="28" t="s">
        <v>2684</v>
      </c>
      <c r="O2221" s="29" t="s">
        <v>2685</v>
      </c>
      <c r="P2221" s="36">
        <v>42727</v>
      </c>
      <c r="Q2221" s="31">
        <v>26341.19</v>
      </c>
      <c r="R2221" s="33">
        <f>M2221/Q2221</f>
        <v>121.43126411525068</v>
      </c>
    </row>
    <row r="2222" spans="1:18" ht="15" customHeight="1">
      <c r="A2222" s="46" t="s">
        <v>52</v>
      </c>
      <c r="B2222" s="47" t="s">
        <v>2606</v>
      </c>
      <c r="C2222" s="65">
        <v>3</v>
      </c>
      <c r="D2222" s="51" t="s">
        <v>3094</v>
      </c>
      <c r="E2222" s="38" t="s">
        <v>198</v>
      </c>
      <c r="F2222" s="48" t="s">
        <v>11</v>
      </c>
      <c r="G2222" s="52">
        <v>6002155</v>
      </c>
      <c r="H2222" s="52">
        <v>0</v>
      </c>
      <c r="I2222" s="52">
        <v>4545158</v>
      </c>
      <c r="J2222" s="53">
        <f>+G2222-H2222+I2222</f>
        <v>10547313</v>
      </c>
      <c r="K2222" s="70">
        <v>0</v>
      </c>
      <c r="L2222" s="52">
        <v>0</v>
      </c>
      <c r="M2222" s="53">
        <f>+J2222+L2222</f>
        <v>10547313</v>
      </c>
      <c r="N2222" s="55" t="s">
        <v>2608</v>
      </c>
      <c r="O2222" s="56" t="s">
        <v>2609</v>
      </c>
      <c r="P2222" s="56">
        <v>44488</v>
      </c>
      <c r="Q2222" s="49">
        <v>30240.57</v>
      </c>
      <c r="R2222" s="57">
        <f>M2222/Q2222</f>
        <v>348.78023132500476</v>
      </c>
    </row>
    <row r="2223" spans="1:18" ht="15" customHeight="1">
      <c r="A2223" s="37" t="s">
        <v>688</v>
      </c>
      <c r="B2223" s="26" t="s">
        <v>1728</v>
      </c>
      <c r="C2223" s="39">
        <v>3</v>
      </c>
      <c r="D2223" s="40" t="s">
        <v>3095</v>
      </c>
      <c r="E2223" s="38" t="s">
        <v>4</v>
      </c>
      <c r="F2223" s="38" t="s">
        <v>20</v>
      </c>
      <c r="G2223" s="32">
        <v>68902</v>
      </c>
      <c r="H2223" s="32">
        <v>0</v>
      </c>
      <c r="I2223" s="52">
        <v>0</v>
      </c>
      <c r="J2223" s="35">
        <f>+G2223-H2223+I2223</f>
        <v>68902</v>
      </c>
      <c r="K2223" s="28">
        <v>0</v>
      </c>
      <c r="L2223" s="32">
        <v>0</v>
      </c>
      <c r="M2223" s="35">
        <f>+J2223+L2223</f>
        <v>68902</v>
      </c>
      <c r="N2223" s="28" t="s">
        <v>2343</v>
      </c>
      <c r="O2223" s="29" t="s">
        <v>2344</v>
      </c>
      <c r="P2223" s="36">
        <v>42810</v>
      </c>
      <c r="Q2223" s="31">
        <v>26446.36</v>
      </c>
      <c r="R2223" s="33">
        <f>M2223/Q2223</f>
        <v>2.6053490915195892</v>
      </c>
    </row>
    <row r="2224" spans="1:18" ht="15" customHeight="1">
      <c r="A2224" s="46" t="s">
        <v>189</v>
      </c>
      <c r="B2224" s="26" t="s">
        <v>190</v>
      </c>
      <c r="C2224" s="65" t="s">
        <v>3096</v>
      </c>
      <c r="D2224" s="51" t="s">
        <v>3097</v>
      </c>
      <c r="E2224" s="38" t="s">
        <v>3</v>
      </c>
      <c r="F2224" s="38" t="s">
        <v>13</v>
      </c>
      <c r="G2224" s="52"/>
      <c r="H2224" s="52"/>
      <c r="I2224" s="52">
        <v>31400610</v>
      </c>
      <c r="J2224" s="53">
        <f>+G2224-H2224+I2224</f>
        <v>31400610</v>
      </c>
      <c r="K2224" s="54">
        <v>58</v>
      </c>
      <c r="L2224" s="52">
        <v>0</v>
      </c>
      <c r="M2224" s="53">
        <f>+J2224+L2224</f>
        <v>31400610</v>
      </c>
      <c r="N2224" s="55" t="s">
        <v>389</v>
      </c>
      <c r="O2224" s="56" t="s">
        <v>390</v>
      </c>
      <c r="P2224" s="56">
        <v>44734</v>
      </c>
      <c r="Q2224" s="49">
        <v>32981.75</v>
      </c>
      <c r="R2224" s="57">
        <f>M2224/Q2224</f>
        <v>952.06015447937114</v>
      </c>
    </row>
    <row r="2225" spans="1:18" ht="15" customHeight="1">
      <c r="A2225" s="37" t="s">
        <v>627</v>
      </c>
      <c r="B2225" s="26" t="s">
        <v>628</v>
      </c>
      <c r="C2225" s="39">
        <v>2</v>
      </c>
      <c r="D2225" s="40" t="s">
        <v>3098</v>
      </c>
      <c r="E2225" s="38" t="s">
        <v>3</v>
      </c>
      <c r="F2225" s="38" t="s">
        <v>11</v>
      </c>
      <c r="G2225" s="32">
        <f>+((680116*1.544)*1.19)</f>
        <v>1249617.9337599999</v>
      </c>
      <c r="H2225" s="32">
        <f>+((1117429*1.544)*1.19)</f>
        <v>2053119.3474399999</v>
      </c>
      <c r="I2225" s="32">
        <f>+((1015596*1.544)*1.19)</f>
        <v>1866015.4665599999</v>
      </c>
      <c r="J2225" s="35">
        <f>+G2225-H2225+I2225</f>
        <v>1062514.0528799999</v>
      </c>
      <c r="K2225" s="28">
        <v>0</v>
      </c>
      <c r="L2225" s="32">
        <v>0</v>
      </c>
      <c r="M2225" s="35">
        <f>+J2225+L2225</f>
        <v>1062514.0528799999</v>
      </c>
      <c r="N2225" s="28" t="s">
        <v>2105</v>
      </c>
      <c r="O2225" s="29" t="s">
        <v>2106</v>
      </c>
      <c r="P2225" s="36">
        <v>43690</v>
      </c>
      <c r="Q2225" s="31">
        <v>27960.63</v>
      </c>
      <c r="R2225" s="33">
        <f>M2225/Q2225</f>
        <v>38.000361682837614</v>
      </c>
    </row>
    <row r="2226" spans="1:18" ht="15" customHeight="1">
      <c r="A2226" s="37" t="s">
        <v>688</v>
      </c>
      <c r="B2226" s="26" t="s">
        <v>3078</v>
      </c>
      <c r="C2226" s="39">
        <v>2</v>
      </c>
      <c r="D2226" s="40" t="s">
        <v>3099</v>
      </c>
      <c r="E2226" s="38" t="s">
        <v>3</v>
      </c>
      <c r="F2226" s="38" t="s">
        <v>21</v>
      </c>
      <c r="G2226" s="32">
        <v>0</v>
      </c>
      <c r="H2226" s="32">
        <v>2056320</v>
      </c>
      <c r="I2226" s="32">
        <v>2022430</v>
      </c>
      <c r="J2226" s="35">
        <f>+G2226-H2226+I2226</f>
        <v>-33890</v>
      </c>
      <c r="K2226" s="28">
        <v>0</v>
      </c>
      <c r="L2226" s="32">
        <v>0</v>
      </c>
      <c r="M2226" s="35">
        <f>+J2226+L2226</f>
        <v>-33890</v>
      </c>
      <c r="N2226" s="28" t="s">
        <v>3080</v>
      </c>
      <c r="O2226" s="29" t="s">
        <v>3081</v>
      </c>
      <c r="P2226" s="36">
        <v>44320</v>
      </c>
      <c r="Q2226" s="31">
        <v>29509.84</v>
      </c>
      <c r="R2226" s="33">
        <f>M2226/Q2226</f>
        <v>-1.148430489626511</v>
      </c>
    </row>
    <row r="2227" spans="1:18" ht="15" customHeight="1">
      <c r="A2227" s="37" t="s">
        <v>627</v>
      </c>
      <c r="B2227" s="26" t="s">
        <v>1895</v>
      </c>
      <c r="C2227" s="39">
        <v>2</v>
      </c>
      <c r="D2227" s="40" t="s">
        <v>3100</v>
      </c>
      <c r="E2227" s="38" t="s">
        <v>3</v>
      </c>
      <c r="F2227" s="38" t="s">
        <v>11</v>
      </c>
      <c r="G2227" s="32">
        <v>3503386</v>
      </c>
      <c r="H2227" s="32">
        <v>6008965</v>
      </c>
      <c r="I2227" s="32">
        <v>1482897</v>
      </c>
      <c r="J2227" s="35">
        <f>+G2227-H2227+I2227</f>
        <v>-1022682</v>
      </c>
      <c r="K2227" s="28">
        <v>0</v>
      </c>
      <c r="L2227" s="32">
        <v>0</v>
      </c>
      <c r="M2227" s="35">
        <f>+J2227+L2227</f>
        <v>-1022682</v>
      </c>
      <c r="N2227" s="28" t="s">
        <v>1898</v>
      </c>
      <c r="O2227" s="29" t="s">
        <v>1899</v>
      </c>
      <c r="P2227" s="36">
        <v>43829</v>
      </c>
      <c r="Q2227" s="31">
        <v>28309.03</v>
      </c>
      <c r="R2227" s="33">
        <f>M2227/Q2227</f>
        <v>-36.125646127754997</v>
      </c>
    </row>
    <row r="2228" spans="1:18" ht="15" customHeight="1">
      <c r="A2228" s="37" t="s">
        <v>3044</v>
      </c>
      <c r="B2228" s="26" t="s">
        <v>3045</v>
      </c>
      <c r="C2228" s="39">
        <v>2</v>
      </c>
      <c r="D2228" s="40" t="s">
        <v>3101</v>
      </c>
      <c r="E2228" s="38" t="s">
        <v>3</v>
      </c>
      <c r="F2228" s="38" t="s">
        <v>12</v>
      </c>
      <c r="G2228" s="32">
        <v>0</v>
      </c>
      <c r="H2228" s="32">
        <v>0</v>
      </c>
      <c r="I2228" s="32">
        <v>3752129</v>
      </c>
      <c r="J2228" s="35">
        <f>+G2228-H2228+I2228</f>
        <v>3752129</v>
      </c>
      <c r="K2228" s="28">
        <v>0</v>
      </c>
      <c r="L2228" s="32">
        <v>0</v>
      </c>
      <c r="M2228" s="35">
        <f>+J2228+L2228</f>
        <v>3752129</v>
      </c>
      <c r="N2228" s="28" t="s">
        <v>3047</v>
      </c>
      <c r="O2228" s="29" t="s">
        <v>3102</v>
      </c>
      <c r="P2228" s="36">
        <v>44361</v>
      </c>
      <c r="Q2228" s="31">
        <v>29662.41</v>
      </c>
      <c r="R2228" s="33">
        <f>M2228/Q2228</f>
        <v>126.49440824262088</v>
      </c>
    </row>
    <row r="2229" spans="1:18" ht="15" customHeight="1">
      <c r="A2229" s="37" t="s">
        <v>688</v>
      </c>
      <c r="B2229" s="26" t="s">
        <v>736</v>
      </c>
      <c r="C2229" s="39">
        <v>2</v>
      </c>
      <c r="D2229" s="40" t="s">
        <v>3103</v>
      </c>
      <c r="E2229" s="38" t="s">
        <v>3</v>
      </c>
      <c r="F2229" s="38" t="s">
        <v>13</v>
      </c>
      <c r="G2229" s="32">
        <v>8436838.4266950004</v>
      </c>
      <c r="H2229" s="32">
        <v>2623582.1382749998</v>
      </c>
      <c r="I2229" s="32">
        <v>3627232.9619399998</v>
      </c>
      <c r="J2229" s="35">
        <f>+G2229-H2229+I2229</f>
        <v>9440489.2503600009</v>
      </c>
      <c r="K2229" s="28">
        <v>0</v>
      </c>
      <c r="L2229" s="32">
        <v>0</v>
      </c>
      <c r="M2229" s="35">
        <f>+J2229+L2229</f>
        <v>9440489.2503600009</v>
      </c>
      <c r="N2229" s="28" t="s">
        <v>2508</v>
      </c>
      <c r="O2229" s="29" t="s">
        <v>2509</v>
      </c>
      <c r="P2229" s="36">
        <v>43427</v>
      </c>
      <c r="Q2229" s="31">
        <v>27507.17</v>
      </c>
      <c r="R2229" s="33">
        <f>M2229/Q2229</f>
        <v>343.20103632471103</v>
      </c>
    </row>
    <row r="2230" spans="1:18" ht="15" customHeight="1">
      <c r="A2230" s="37" t="s">
        <v>293</v>
      </c>
      <c r="B2230" s="26" t="s">
        <v>294</v>
      </c>
      <c r="C2230" s="39">
        <v>2</v>
      </c>
      <c r="D2230" s="40" t="s">
        <v>3104</v>
      </c>
      <c r="E2230" s="38" t="s">
        <v>3</v>
      </c>
      <c r="F2230" s="38" t="s">
        <v>13</v>
      </c>
      <c r="G2230" s="32">
        <v>2383471.2542950399</v>
      </c>
      <c r="H2230" s="32">
        <v>2239850.1228421498</v>
      </c>
      <c r="I2230" s="52">
        <v>0</v>
      </c>
      <c r="J2230" s="35">
        <f>+G2230-H2230+I2230</f>
        <v>143621.13145289011</v>
      </c>
      <c r="K2230" s="28">
        <v>0</v>
      </c>
      <c r="L2230" s="32">
        <v>0</v>
      </c>
      <c r="M2230" s="35">
        <f>+J2230+L2230</f>
        <v>143621.13145289011</v>
      </c>
      <c r="N2230" s="28" t="s">
        <v>2927</v>
      </c>
      <c r="O2230" s="29" t="s">
        <v>2928</v>
      </c>
      <c r="P2230" s="36">
        <v>43518</v>
      </c>
      <c r="Q2230" s="31">
        <v>27551</v>
      </c>
      <c r="R2230" s="33">
        <f>M2230/Q2230</f>
        <v>5.2129190030449024</v>
      </c>
    </row>
    <row r="2231" spans="1:18" ht="15" customHeight="1">
      <c r="A2231" s="37" t="s">
        <v>52</v>
      </c>
      <c r="B2231" s="26" t="s">
        <v>622</v>
      </c>
      <c r="C2231" s="65">
        <v>2</v>
      </c>
      <c r="D2231" s="51" t="s">
        <v>3105</v>
      </c>
      <c r="E2231" s="38" t="s">
        <v>3</v>
      </c>
      <c r="F2231" s="38" t="s">
        <v>21</v>
      </c>
      <c r="G2231" s="52"/>
      <c r="H2231" s="52"/>
      <c r="I2231" s="52">
        <v>4657363</v>
      </c>
      <c r="J2231" s="53">
        <f>+G2231-H2231+I2231</f>
        <v>4657363</v>
      </c>
      <c r="K2231" s="28">
        <v>0</v>
      </c>
      <c r="L2231" s="32">
        <v>0</v>
      </c>
      <c r="M2231" s="53">
        <f>+J2231+L2231</f>
        <v>4657363</v>
      </c>
      <c r="N2231" s="55" t="s">
        <v>1105</v>
      </c>
      <c r="O2231" s="29" t="s">
        <v>1106</v>
      </c>
      <c r="P2231" s="36">
        <v>43487</v>
      </c>
      <c r="Q2231" s="49">
        <v>27554.23</v>
      </c>
      <c r="R2231" s="33">
        <f>M2231/Q2231</f>
        <v>169.02533658171541</v>
      </c>
    </row>
    <row r="2232" spans="1:18" ht="15" customHeight="1">
      <c r="A2232" s="37" t="s">
        <v>356</v>
      </c>
      <c r="B2232" s="26" t="s">
        <v>1841</v>
      </c>
      <c r="C2232" s="39">
        <v>2</v>
      </c>
      <c r="D2232" s="40" t="s">
        <v>3106</v>
      </c>
      <c r="E2232" s="38" t="s">
        <v>3</v>
      </c>
      <c r="F2232" s="38" t="s">
        <v>10</v>
      </c>
      <c r="G2232" s="32">
        <v>0</v>
      </c>
      <c r="H2232" s="32">
        <v>0</v>
      </c>
      <c r="I2232" s="32">
        <v>13681787</v>
      </c>
      <c r="J2232" s="35">
        <f>+G2232-H2232+I2232</f>
        <v>13681787</v>
      </c>
      <c r="K2232" s="28">
        <v>0</v>
      </c>
      <c r="L2232" s="32">
        <v>0</v>
      </c>
      <c r="M2232" s="35">
        <f>+J2232+L2232</f>
        <v>13681787</v>
      </c>
      <c r="N2232" s="28" t="s">
        <v>2963</v>
      </c>
      <c r="O2232" s="29" t="s">
        <v>2964</v>
      </c>
      <c r="P2232" s="36">
        <v>43796</v>
      </c>
      <c r="Q2232" s="31">
        <v>28199.85</v>
      </c>
      <c r="R2232" s="33">
        <f>M2232/Q2232</f>
        <v>485.17233247694583</v>
      </c>
    </row>
    <row r="2233" spans="1:18" ht="15" customHeight="1">
      <c r="A2233" s="37" t="s">
        <v>356</v>
      </c>
      <c r="B2233" s="26" t="s">
        <v>1540</v>
      </c>
      <c r="C2233" s="39">
        <v>2</v>
      </c>
      <c r="D2233" s="40" t="s">
        <v>3107</v>
      </c>
      <c r="E2233" s="38" t="s">
        <v>4</v>
      </c>
      <c r="F2233" s="38" t="s">
        <v>13</v>
      </c>
      <c r="G2233" s="32">
        <v>0</v>
      </c>
      <c r="H2233" s="32">
        <v>0</v>
      </c>
      <c r="I2233" s="32">
        <v>5833618</v>
      </c>
      <c r="J2233" s="35">
        <f>+G2233-H2233+I2233</f>
        <v>5833618</v>
      </c>
      <c r="K2233" s="28">
        <v>0</v>
      </c>
      <c r="L2233" s="32">
        <v>0</v>
      </c>
      <c r="M2233" s="35">
        <f>+J2233+L2233</f>
        <v>5833618</v>
      </c>
      <c r="N2233" s="28" t="s">
        <v>2911</v>
      </c>
      <c r="O2233" s="29" t="s">
        <v>2912</v>
      </c>
      <c r="P2233" s="36">
        <v>42551</v>
      </c>
      <c r="Q2233" s="31">
        <v>26052.07</v>
      </c>
      <c r="R2233" s="33">
        <f>M2233/Q2233</f>
        <v>223.92147725689361</v>
      </c>
    </row>
    <row r="2234" spans="1:18" ht="15" customHeight="1">
      <c r="A2234" s="37" t="s">
        <v>39</v>
      </c>
      <c r="B2234" s="26" t="s">
        <v>1658</v>
      </c>
      <c r="C2234" s="39">
        <v>2</v>
      </c>
      <c r="D2234" s="40" t="s">
        <v>1094</v>
      </c>
      <c r="E2234" s="38" t="s">
        <v>4</v>
      </c>
      <c r="F2234" s="38" t="s">
        <v>9</v>
      </c>
      <c r="G2234" s="32">
        <v>0</v>
      </c>
      <c r="H2234" s="32">
        <v>23461577</v>
      </c>
      <c r="I2234" s="32">
        <v>14139647.83</v>
      </c>
      <c r="J2234" s="35">
        <f>+G2234-H2234+I2234</f>
        <v>-9321929.1699999999</v>
      </c>
      <c r="K2234" s="28">
        <v>0</v>
      </c>
      <c r="L2234" s="32">
        <v>0</v>
      </c>
      <c r="M2234" s="35">
        <f>+J2234+L2234</f>
        <v>-9321929.1699999999</v>
      </c>
      <c r="N2234" s="28" t="s">
        <v>2430</v>
      </c>
      <c r="O2234" s="29" t="s">
        <v>2431</v>
      </c>
      <c r="P2234" s="36">
        <v>43133</v>
      </c>
      <c r="Q2234" s="31">
        <v>26826.67</v>
      </c>
      <c r="R2234" s="33">
        <f>M2234/Q2234</f>
        <v>-347.48737618198606</v>
      </c>
    </row>
    <row r="2235" spans="1:18" ht="15" customHeight="1">
      <c r="A2235" s="37" t="s">
        <v>52</v>
      </c>
      <c r="B2235" s="26" t="s">
        <v>555</v>
      </c>
      <c r="C2235" s="65">
        <v>2</v>
      </c>
      <c r="D2235" s="51" t="s">
        <v>3108</v>
      </c>
      <c r="E2235" s="38" t="s">
        <v>3</v>
      </c>
      <c r="F2235" s="38" t="s">
        <v>11</v>
      </c>
      <c r="G2235" s="52">
        <v>5736906</v>
      </c>
      <c r="H2235" s="52">
        <v>3487604</v>
      </c>
      <c r="I2235" s="52">
        <v>0</v>
      </c>
      <c r="J2235" s="53">
        <f>+G2235-H2235+I2235</f>
        <v>2249302</v>
      </c>
      <c r="K2235" s="28">
        <v>0</v>
      </c>
      <c r="L2235" s="32">
        <v>0</v>
      </c>
      <c r="M2235" s="53">
        <f>+J2235+L2235</f>
        <v>2249302</v>
      </c>
      <c r="N2235" s="55" t="s">
        <v>1160</v>
      </c>
      <c r="O2235" s="29" t="s">
        <v>1161</v>
      </c>
      <c r="P2235" s="36">
        <v>42689</v>
      </c>
      <c r="Q2235" s="49">
        <v>26287.25</v>
      </c>
      <c r="R2235" s="33">
        <f>M2235/Q2235</f>
        <v>85.56627262265927</v>
      </c>
    </row>
    <row r="2236" spans="1:18" ht="15" customHeight="1">
      <c r="A2236" s="37" t="s">
        <v>874</v>
      </c>
      <c r="B2236" s="26" t="s">
        <v>3109</v>
      </c>
      <c r="C2236" s="39">
        <v>2</v>
      </c>
      <c r="D2236" s="40" t="s">
        <v>3110</v>
      </c>
      <c r="E2236" s="38" t="s">
        <v>3</v>
      </c>
      <c r="F2236" s="38" t="s">
        <v>10</v>
      </c>
      <c r="G2236" s="32">
        <v>1287887</v>
      </c>
      <c r="H2236" s="32">
        <v>872292920</v>
      </c>
      <c r="I2236" s="32">
        <v>903690777</v>
      </c>
      <c r="J2236" s="35">
        <f>+G2236-H2236+I2236</f>
        <v>32685744</v>
      </c>
      <c r="K2236" s="28">
        <v>0</v>
      </c>
      <c r="L2236" s="32">
        <v>0</v>
      </c>
      <c r="M2236" s="35">
        <f>+J2236+L2236</f>
        <v>32685744</v>
      </c>
      <c r="N2236" s="28" t="s">
        <v>3111</v>
      </c>
      <c r="O2236" s="29" t="s">
        <v>3112</v>
      </c>
      <c r="P2236" s="36">
        <v>44964</v>
      </c>
      <c r="Q2236" s="31">
        <v>35311.370000000003</v>
      </c>
      <c r="R2236" s="33">
        <f>M2236/Q2236</f>
        <v>925.64360997605013</v>
      </c>
    </row>
    <row r="2237" spans="1:18" ht="15" customHeight="1">
      <c r="A2237" s="37" t="s">
        <v>2639</v>
      </c>
      <c r="B2237" s="26" t="s">
        <v>2640</v>
      </c>
      <c r="C2237" s="39">
        <v>2</v>
      </c>
      <c r="D2237" s="40" t="s">
        <v>3113</v>
      </c>
      <c r="E2237" s="38" t="s">
        <v>4</v>
      </c>
      <c r="F2237" s="38" t="s">
        <v>12</v>
      </c>
      <c r="G2237" s="32">
        <v>0</v>
      </c>
      <c r="H2237" s="32">
        <v>0</v>
      </c>
      <c r="I2237" s="32">
        <v>645099</v>
      </c>
      <c r="J2237" s="35">
        <f>+G2237-H2237+I2237</f>
        <v>645099</v>
      </c>
      <c r="K2237" s="28">
        <v>0</v>
      </c>
      <c r="L2237" s="32">
        <v>0</v>
      </c>
      <c r="M2237" s="35">
        <f>+J2237+L2237</f>
        <v>645099</v>
      </c>
      <c r="N2237" s="28" t="s">
        <v>3114</v>
      </c>
      <c r="O2237" s="29" t="s">
        <v>3115</v>
      </c>
      <c r="P2237" s="36">
        <v>43286</v>
      </c>
      <c r="Q2237" s="31">
        <v>27172.33</v>
      </c>
      <c r="R2237" s="33">
        <f>M2237/Q2237</f>
        <v>23.741026257225638</v>
      </c>
    </row>
    <row r="2238" spans="1:18" ht="15" customHeight="1">
      <c r="A2238" s="37" t="s">
        <v>688</v>
      </c>
      <c r="B2238" s="26" t="s">
        <v>3072</v>
      </c>
      <c r="C2238" s="39">
        <v>2</v>
      </c>
      <c r="D2238" s="40" t="s">
        <v>3116</v>
      </c>
      <c r="E2238" s="38" t="s">
        <v>198</v>
      </c>
      <c r="F2238" s="38" t="s">
        <v>9</v>
      </c>
      <c r="G2238" s="32">
        <v>0</v>
      </c>
      <c r="H2238" s="32">
        <v>88631</v>
      </c>
      <c r="I2238" s="52">
        <v>0</v>
      </c>
      <c r="J2238" s="35">
        <f>+G2238-H2238+I2238</f>
        <v>-88631</v>
      </c>
      <c r="K2238" s="28">
        <v>0</v>
      </c>
      <c r="L2238" s="32">
        <v>0</v>
      </c>
      <c r="M2238" s="35">
        <f>+J2238+L2238</f>
        <v>-88631</v>
      </c>
      <c r="N2238" s="28" t="s">
        <v>3117</v>
      </c>
      <c r="O2238" s="29" t="s">
        <v>3118</v>
      </c>
      <c r="P2238" s="36">
        <v>44292</v>
      </c>
      <c r="Q2238" s="31">
        <v>29406.14</v>
      </c>
      <c r="R2238" s="33">
        <f>M2238/Q2238</f>
        <v>-3.0140304031743033</v>
      </c>
    </row>
    <row r="2239" spans="1:18" ht="15" customHeight="1">
      <c r="A2239" s="37" t="s">
        <v>52</v>
      </c>
      <c r="B2239" s="26" t="s">
        <v>2606</v>
      </c>
      <c r="C2239" s="39">
        <v>2</v>
      </c>
      <c r="D2239" s="40" t="s">
        <v>3119</v>
      </c>
      <c r="E2239" s="38" t="s">
        <v>3</v>
      </c>
      <c r="F2239" s="38" t="s">
        <v>10</v>
      </c>
      <c r="G2239" s="32">
        <v>1998168</v>
      </c>
      <c r="H2239" s="32">
        <v>-7274345</v>
      </c>
      <c r="I2239" s="52">
        <v>0</v>
      </c>
      <c r="J2239" s="35">
        <f>+G2239-H2239+I2239</f>
        <v>9272513</v>
      </c>
      <c r="K2239" s="28">
        <v>0</v>
      </c>
      <c r="L2239" s="32">
        <v>0</v>
      </c>
      <c r="M2239" s="35">
        <f>+J2239+L2239</f>
        <v>9272513</v>
      </c>
      <c r="N2239" s="28" t="s">
        <v>2684</v>
      </c>
      <c r="O2239" s="29" t="s">
        <v>2685</v>
      </c>
      <c r="P2239" s="36">
        <v>42727</v>
      </c>
      <c r="Q2239" s="31">
        <v>26341.19</v>
      </c>
      <c r="R2239" s="33">
        <f>M2239/Q2239</f>
        <v>352.01572138540439</v>
      </c>
    </row>
    <row r="2240" spans="1:18" ht="15" customHeight="1">
      <c r="A2240" s="37" t="s">
        <v>688</v>
      </c>
      <c r="B2240" s="26" t="s">
        <v>1728</v>
      </c>
      <c r="C2240" s="39">
        <v>2</v>
      </c>
      <c r="D2240" s="40" t="s">
        <v>3120</v>
      </c>
      <c r="E2240" s="38" t="s">
        <v>4</v>
      </c>
      <c r="F2240" s="38" t="s">
        <v>12</v>
      </c>
      <c r="G2240" s="32">
        <v>94438.399999999994</v>
      </c>
      <c r="H2240" s="32">
        <v>42230.720000000001</v>
      </c>
      <c r="I2240" s="52">
        <v>0</v>
      </c>
      <c r="J2240" s="35">
        <f>+G2240-H2240+I2240</f>
        <v>52207.679999999993</v>
      </c>
      <c r="K2240" s="28">
        <v>0</v>
      </c>
      <c r="L2240" s="32">
        <v>0</v>
      </c>
      <c r="M2240" s="35">
        <f>+J2240+L2240</f>
        <v>52207.679999999993</v>
      </c>
      <c r="N2240" s="28" t="s">
        <v>2343</v>
      </c>
      <c r="O2240" s="29" t="s">
        <v>2344</v>
      </c>
      <c r="P2240" s="36">
        <v>42810</v>
      </c>
      <c r="Q2240" s="31">
        <v>26446.36</v>
      </c>
      <c r="R2240" s="33">
        <f>M2240/Q2240</f>
        <v>1.9740970023852051</v>
      </c>
    </row>
    <row r="2241" spans="1:18" ht="15" customHeight="1">
      <c r="A2241" s="37" t="s">
        <v>627</v>
      </c>
      <c r="B2241" s="26" t="s">
        <v>628</v>
      </c>
      <c r="C2241" s="39">
        <v>1</v>
      </c>
      <c r="D2241" s="40" t="s">
        <v>3121</v>
      </c>
      <c r="E2241" s="38" t="s">
        <v>3</v>
      </c>
      <c r="F2241" s="38" t="s">
        <v>9</v>
      </c>
      <c r="G2241" s="32">
        <f>+((665160*1.544))*1.19</f>
        <v>1222138.3776</v>
      </c>
      <c r="H2241" s="32">
        <f>+((415607*1.544)*1.19)</f>
        <v>763619.67751999991</v>
      </c>
      <c r="I2241" s="52">
        <v>0</v>
      </c>
      <c r="J2241" s="35">
        <f>+G2241-H2241+I2241</f>
        <v>458518.7000800001</v>
      </c>
      <c r="K2241" s="28">
        <v>0</v>
      </c>
      <c r="L2241" s="32">
        <v>0</v>
      </c>
      <c r="M2241" s="35">
        <f>+J2241+L2241</f>
        <v>458518.7000800001</v>
      </c>
      <c r="N2241" s="28" t="s">
        <v>2105</v>
      </c>
      <c r="O2241" s="29" t="s">
        <v>2106</v>
      </c>
      <c r="P2241" s="36">
        <v>43690</v>
      </c>
      <c r="Q2241" s="31">
        <v>27960.63</v>
      </c>
      <c r="R2241" s="33">
        <f>M2241/Q2241</f>
        <v>16.398725639586807</v>
      </c>
    </row>
    <row r="2242" spans="1:18" ht="15" customHeight="1">
      <c r="A2242" s="37" t="s">
        <v>688</v>
      </c>
      <c r="B2242" s="26" t="s">
        <v>3078</v>
      </c>
      <c r="C2242" s="39">
        <v>1</v>
      </c>
      <c r="D2242" s="40" t="s">
        <v>3122</v>
      </c>
      <c r="E2242" s="38" t="s">
        <v>4</v>
      </c>
      <c r="F2242" s="38" t="s">
        <v>21</v>
      </c>
      <c r="G2242" s="32">
        <v>0</v>
      </c>
      <c r="H2242" s="32">
        <v>93755</v>
      </c>
      <c r="I2242" s="32">
        <v>150614</v>
      </c>
      <c r="J2242" s="35">
        <f>+G2242-H2242+I2242</f>
        <v>56859</v>
      </c>
      <c r="K2242" s="28">
        <v>0</v>
      </c>
      <c r="L2242" s="32">
        <v>0</v>
      </c>
      <c r="M2242" s="35">
        <f>+J2242+L2242</f>
        <v>56859</v>
      </c>
      <c r="N2242" s="28" t="s">
        <v>3080</v>
      </c>
      <c r="O2242" s="29" t="s">
        <v>3081</v>
      </c>
      <c r="P2242" s="36">
        <v>44320</v>
      </c>
      <c r="Q2242" s="31">
        <v>29509.84</v>
      </c>
      <c r="R2242" s="33">
        <f>M2242/Q2242</f>
        <v>1.9267810330384711</v>
      </c>
    </row>
    <row r="2243" spans="1:18" ht="15" customHeight="1">
      <c r="A2243" s="37" t="s">
        <v>627</v>
      </c>
      <c r="B2243" s="26" t="s">
        <v>1895</v>
      </c>
      <c r="C2243" s="39">
        <v>1</v>
      </c>
      <c r="D2243" s="40" t="s">
        <v>3123</v>
      </c>
      <c r="E2243" s="38" t="s">
        <v>3</v>
      </c>
      <c r="F2243" s="38" t="s">
        <v>9</v>
      </c>
      <c r="G2243" s="32">
        <v>0</v>
      </c>
      <c r="H2243" s="32">
        <v>3924854</v>
      </c>
      <c r="I2243" s="52">
        <v>0</v>
      </c>
      <c r="J2243" s="35">
        <f>+G2243-H2243+I2243</f>
        <v>-3924854</v>
      </c>
      <c r="K2243" s="28">
        <v>0</v>
      </c>
      <c r="L2243" s="32">
        <v>0</v>
      </c>
      <c r="M2243" s="35">
        <f>+J2243+L2243</f>
        <v>-3924854</v>
      </c>
      <c r="N2243" s="28" t="s">
        <v>1898</v>
      </c>
      <c r="O2243" s="29" t="s">
        <v>1899</v>
      </c>
      <c r="P2243" s="36">
        <v>43829</v>
      </c>
      <c r="Q2243" s="31">
        <v>28309.03</v>
      </c>
      <c r="R2243" s="33">
        <f>M2243/Q2243</f>
        <v>-138.64318205180467</v>
      </c>
    </row>
    <row r="2244" spans="1:18" ht="15" customHeight="1">
      <c r="A2244" s="37" t="s">
        <v>3044</v>
      </c>
      <c r="B2244" s="26" t="s">
        <v>3045</v>
      </c>
      <c r="C2244" s="39">
        <v>1</v>
      </c>
      <c r="D2244" s="40" t="s">
        <v>3124</v>
      </c>
      <c r="E2244" s="38" t="s">
        <v>3</v>
      </c>
      <c r="F2244" s="38" t="s">
        <v>10</v>
      </c>
      <c r="G2244" s="32">
        <v>0</v>
      </c>
      <c r="H2244" s="32">
        <v>1738994</v>
      </c>
      <c r="I2244" s="32">
        <v>25557176</v>
      </c>
      <c r="J2244" s="35">
        <f>+G2244-H2244+I2244</f>
        <v>23818182</v>
      </c>
      <c r="K2244" s="28">
        <v>0</v>
      </c>
      <c r="L2244" s="32">
        <v>0</v>
      </c>
      <c r="M2244" s="35">
        <f>+J2244+L2244</f>
        <v>23818182</v>
      </c>
      <c r="N2244" s="28" t="s">
        <v>3047</v>
      </c>
      <c r="O2244" s="29" t="s">
        <v>3125</v>
      </c>
      <c r="P2244" s="36">
        <v>44361</v>
      </c>
      <c r="Q2244" s="31">
        <v>29662.41</v>
      </c>
      <c r="R2244" s="33">
        <f>M2244/Q2244</f>
        <v>802.97528083523889</v>
      </c>
    </row>
    <row r="2245" spans="1:18" ht="15" customHeight="1">
      <c r="A2245" s="37" t="s">
        <v>688</v>
      </c>
      <c r="B2245" s="26" t="s">
        <v>3126</v>
      </c>
      <c r="C2245" s="39">
        <v>1</v>
      </c>
      <c r="D2245" s="40" t="s">
        <v>3127</v>
      </c>
      <c r="E2245" s="38" t="s">
        <v>4</v>
      </c>
      <c r="F2245" s="38" t="s">
        <v>12</v>
      </c>
      <c r="G2245" s="32">
        <v>0</v>
      </c>
      <c r="H2245" s="32">
        <v>0</v>
      </c>
      <c r="I2245" s="32">
        <v>2015343</v>
      </c>
      <c r="J2245" s="35">
        <f>+G2245-H2245+I2245</f>
        <v>2015343</v>
      </c>
      <c r="K2245" s="28">
        <v>0</v>
      </c>
      <c r="L2245" s="32">
        <v>0</v>
      </c>
      <c r="M2245" s="35">
        <f>+J2245+L2245</f>
        <v>2015343</v>
      </c>
      <c r="N2245" s="28" t="s">
        <v>3128</v>
      </c>
      <c r="O2245" s="29" t="s">
        <v>3129</v>
      </c>
      <c r="P2245" s="36">
        <v>44327</v>
      </c>
      <c r="Q2245" s="31">
        <v>29537.09</v>
      </c>
      <c r="R2245" s="33">
        <f>M2245/Q2245</f>
        <v>68.2309259307535</v>
      </c>
    </row>
    <row r="2246" spans="1:18" ht="15" customHeight="1">
      <c r="A2246" s="37" t="s">
        <v>391</v>
      </c>
      <c r="B2246" s="26" t="s">
        <v>392</v>
      </c>
      <c r="C2246" s="39">
        <v>1</v>
      </c>
      <c r="D2246" s="40" t="s">
        <v>3130</v>
      </c>
      <c r="E2246" s="38" t="s">
        <v>3</v>
      </c>
      <c r="F2246" s="38" t="s">
        <v>10</v>
      </c>
      <c r="G2246" s="32">
        <v>40557193</v>
      </c>
      <c r="H2246" s="32">
        <v>49133245</v>
      </c>
      <c r="I2246" s="32">
        <v>304338</v>
      </c>
      <c r="J2246" s="35">
        <f>+G2246-H2246+I2246</f>
        <v>-8271714</v>
      </c>
      <c r="K2246" s="28">
        <v>0</v>
      </c>
      <c r="L2246" s="32">
        <v>0</v>
      </c>
      <c r="M2246" s="35">
        <f>+J2246+L2246</f>
        <v>-8271714</v>
      </c>
      <c r="N2246" s="28" t="s">
        <v>2449</v>
      </c>
      <c r="O2246" s="29" t="s">
        <v>2450</v>
      </c>
      <c r="P2246" s="36">
        <v>43427</v>
      </c>
      <c r="Q2246" s="31">
        <v>27507.17</v>
      </c>
      <c r="R2246" s="33">
        <f>M2246/Q2246</f>
        <v>-300.71119638988671</v>
      </c>
    </row>
    <row r="2247" spans="1:18" ht="15" customHeight="1">
      <c r="A2247" s="46" t="s">
        <v>189</v>
      </c>
      <c r="B2247" s="26" t="s">
        <v>190</v>
      </c>
      <c r="C2247" s="65" t="s">
        <v>3131</v>
      </c>
      <c r="D2247" s="51" t="s">
        <v>3132</v>
      </c>
      <c r="E2247" s="38" t="s">
        <v>198</v>
      </c>
      <c r="F2247" s="48" t="s">
        <v>11</v>
      </c>
      <c r="G2247" s="52"/>
      <c r="H2247" s="52"/>
      <c r="I2247" s="52">
        <v>358590769</v>
      </c>
      <c r="J2247" s="53">
        <f>+G2247-H2247+I2247</f>
        <v>358590769</v>
      </c>
      <c r="K2247" s="63">
        <v>0</v>
      </c>
      <c r="L2247" s="52">
        <v>0</v>
      </c>
      <c r="M2247" s="53">
        <f>+J2247+L2247</f>
        <v>358590769</v>
      </c>
      <c r="N2247" s="55" t="s">
        <v>794</v>
      </c>
      <c r="O2247" s="56" t="s">
        <v>795</v>
      </c>
      <c r="P2247" s="56">
        <v>44699</v>
      </c>
      <c r="Q2247" s="49">
        <v>32489.56</v>
      </c>
      <c r="R2247" s="57">
        <f>M2247/Q2247</f>
        <v>11037.107581635453</v>
      </c>
    </row>
    <row r="2248" spans="1:18" ht="15" customHeight="1">
      <c r="A2248" s="37" t="s">
        <v>293</v>
      </c>
      <c r="B2248" s="26" t="s">
        <v>294</v>
      </c>
      <c r="C2248" s="39">
        <v>1</v>
      </c>
      <c r="D2248" s="40" t="s">
        <v>3133</v>
      </c>
      <c r="E2248" s="38" t="s">
        <v>3</v>
      </c>
      <c r="F2248" s="38" t="s">
        <v>13</v>
      </c>
      <c r="G2248" s="32">
        <v>2813381.5978174298</v>
      </c>
      <c r="H2248" s="32">
        <v>265262.87083281402</v>
      </c>
      <c r="I2248" s="52">
        <v>0</v>
      </c>
      <c r="J2248" s="35">
        <f>+G2248-H2248+I2248</f>
        <v>2548118.7269846159</v>
      </c>
      <c r="K2248" s="28">
        <v>0</v>
      </c>
      <c r="L2248" s="32">
        <v>0</v>
      </c>
      <c r="M2248" s="35">
        <f>+J2248+L2248</f>
        <v>2548118.7269846159</v>
      </c>
      <c r="N2248" s="28" t="s">
        <v>2927</v>
      </c>
      <c r="O2248" s="29" t="s">
        <v>2928</v>
      </c>
      <c r="P2248" s="36">
        <v>43518</v>
      </c>
      <c r="Q2248" s="31">
        <v>27551</v>
      </c>
      <c r="R2248" s="33">
        <f>M2248/Q2248</f>
        <v>92.487340821916291</v>
      </c>
    </row>
    <row r="2249" spans="1:18" ht="15" customHeight="1">
      <c r="A2249" s="37" t="s">
        <v>874</v>
      </c>
      <c r="B2249" s="26" t="s">
        <v>875</v>
      </c>
      <c r="C2249" s="39">
        <v>1</v>
      </c>
      <c r="D2249" s="40" t="s">
        <v>3134</v>
      </c>
      <c r="E2249" s="38" t="s">
        <v>3</v>
      </c>
      <c r="F2249" s="38" t="s">
        <v>12</v>
      </c>
      <c r="G2249" s="32">
        <v>0</v>
      </c>
      <c r="H2249" s="32">
        <v>0</v>
      </c>
      <c r="I2249" s="32">
        <v>56371830</v>
      </c>
      <c r="J2249" s="35">
        <f>+G2249-H2249+I2249</f>
        <v>56371830</v>
      </c>
      <c r="K2249" s="28">
        <v>0</v>
      </c>
      <c r="L2249" s="32">
        <v>0</v>
      </c>
      <c r="M2249" s="35">
        <f>+J2249+L2249</f>
        <v>56371830</v>
      </c>
      <c r="N2249" s="28" t="s">
        <v>2908</v>
      </c>
      <c r="O2249" s="29" t="s">
        <v>2909</v>
      </c>
      <c r="P2249" s="36">
        <v>43788</v>
      </c>
      <c r="Q2249" s="31">
        <v>28139.99</v>
      </c>
      <c r="R2249" s="33">
        <f>M2249/Q2249</f>
        <v>2003.2640381179949</v>
      </c>
    </row>
    <row r="2250" spans="1:18" ht="15" customHeight="1">
      <c r="A2250" s="37" t="s">
        <v>52</v>
      </c>
      <c r="B2250" s="26" t="s">
        <v>622</v>
      </c>
      <c r="C2250" s="65">
        <v>1</v>
      </c>
      <c r="D2250" s="51" t="s">
        <v>3135</v>
      </c>
      <c r="E2250" s="38" t="s">
        <v>4</v>
      </c>
      <c r="F2250" s="38" t="s">
        <v>9</v>
      </c>
      <c r="G2250" s="52">
        <v>13338869</v>
      </c>
      <c r="H2250" s="52">
        <v>5133612</v>
      </c>
      <c r="I2250" s="52">
        <v>8972134</v>
      </c>
      <c r="J2250" s="53">
        <f>+G2250-H2250+I2250</f>
        <v>17177391</v>
      </c>
      <c r="K2250" s="28">
        <v>0</v>
      </c>
      <c r="L2250" s="32">
        <v>0</v>
      </c>
      <c r="M2250" s="53">
        <f>+J2250+L2250</f>
        <v>17177391</v>
      </c>
      <c r="N2250" s="55" t="s">
        <v>1105</v>
      </c>
      <c r="O2250" s="29" t="s">
        <v>1106</v>
      </c>
      <c r="P2250" s="36">
        <v>43487</v>
      </c>
      <c r="Q2250" s="49">
        <v>27554.23</v>
      </c>
      <c r="R2250" s="33">
        <f>M2250/Q2250</f>
        <v>623.40304918700326</v>
      </c>
    </row>
    <row r="2251" spans="1:18" ht="15" customHeight="1">
      <c r="A2251" s="37" t="s">
        <v>356</v>
      </c>
      <c r="B2251" s="26" t="s">
        <v>1841</v>
      </c>
      <c r="C2251" s="39">
        <v>1</v>
      </c>
      <c r="D2251" s="40" t="s">
        <v>3136</v>
      </c>
      <c r="E2251" s="38" t="s">
        <v>3</v>
      </c>
      <c r="F2251" s="38" t="s">
        <v>10</v>
      </c>
      <c r="G2251" s="32">
        <v>16442712</v>
      </c>
      <c r="H2251" s="32">
        <v>5649060</v>
      </c>
      <c r="I2251" s="52">
        <v>0</v>
      </c>
      <c r="J2251" s="35">
        <f>+G2251-H2251+I2251</f>
        <v>10793652</v>
      </c>
      <c r="K2251" s="28">
        <v>0</v>
      </c>
      <c r="L2251" s="32">
        <v>0</v>
      </c>
      <c r="M2251" s="35">
        <f>+J2251+L2251</f>
        <v>10793652</v>
      </c>
      <c r="N2251" s="28" t="s">
        <v>2963</v>
      </c>
      <c r="O2251" s="29" t="s">
        <v>2964</v>
      </c>
      <c r="P2251" s="36">
        <v>43796</v>
      </c>
      <c r="Q2251" s="31">
        <v>28199.85</v>
      </c>
      <c r="R2251" s="33">
        <f>M2251/Q2251</f>
        <v>382.75565295560085</v>
      </c>
    </row>
    <row r="2252" spans="1:18" ht="15" customHeight="1">
      <c r="A2252" s="37" t="s">
        <v>356</v>
      </c>
      <c r="B2252" s="26" t="s">
        <v>1540</v>
      </c>
      <c r="C2252" s="39">
        <v>1</v>
      </c>
      <c r="D2252" s="40" t="s">
        <v>3137</v>
      </c>
      <c r="E2252" s="38" t="s">
        <v>3</v>
      </c>
      <c r="F2252" s="38" t="s">
        <v>10</v>
      </c>
      <c r="G2252" s="32">
        <v>50127968</v>
      </c>
      <c r="H2252" s="32">
        <v>8936704</v>
      </c>
      <c r="I2252" s="32">
        <v>56916041.140000001</v>
      </c>
      <c r="J2252" s="35">
        <f>+G2252-H2252+I2252</f>
        <v>98107305.140000001</v>
      </c>
      <c r="K2252" s="28">
        <v>0</v>
      </c>
      <c r="L2252" s="32">
        <v>0</v>
      </c>
      <c r="M2252" s="35">
        <f>+J2252+L2252</f>
        <v>98107305.140000001</v>
      </c>
      <c r="N2252" s="28" t="s">
        <v>2911</v>
      </c>
      <c r="O2252" s="29" t="s">
        <v>2912</v>
      </c>
      <c r="P2252" s="36">
        <v>42551</v>
      </c>
      <c r="Q2252" s="31">
        <v>26052.07</v>
      </c>
      <c r="R2252" s="33">
        <f>M2252/Q2252</f>
        <v>3765.8161190262426</v>
      </c>
    </row>
    <row r="2253" spans="1:18" ht="15" customHeight="1">
      <c r="A2253" s="37" t="s">
        <v>39</v>
      </c>
      <c r="B2253" s="26" t="s">
        <v>1658</v>
      </c>
      <c r="C2253" s="39">
        <v>1</v>
      </c>
      <c r="D2253" s="40" t="s">
        <v>3138</v>
      </c>
      <c r="E2253" s="38" t="s">
        <v>4</v>
      </c>
      <c r="F2253" s="38" t="s">
        <v>11</v>
      </c>
      <c r="G2253" s="32">
        <v>852380</v>
      </c>
      <c r="H2253" s="32">
        <v>78054933</v>
      </c>
      <c r="I2253" s="32">
        <v>43101320.43</v>
      </c>
      <c r="J2253" s="35">
        <f>+G2253-H2253+I2253</f>
        <v>-34101232.57</v>
      </c>
      <c r="K2253" s="28">
        <v>0</v>
      </c>
      <c r="L2253" s="32">
        <v>0</v>
      </c>
      <c r="M2253" s="35">
        <f>+J2253+L2253</f>
        <v>-34101232.57</v>
      </c>
      <c r="N2253" s="28" t="s">
        <v>2430</v>
      </c>
      <c r="O2253" s="29" t="s">
        <v>3139</v>
      </c>
      <c r="P2253" s="36">
        <v>43133</v>
      </c>
      <c r="Q2253" s="31">
        <v>26826.67</v>
      </c>
      <c r="R2253" s="33">
        <f>M2253/Q2253</f>
        <v>-1271.1690481897306</v>
      </c>
    </row>
    <row r="2254" spans="1:18" ht="15" customHeight="1">
      <c r="A2254" s="37" t="s">
        <v>52</v>
      </c>
      <c r="B2254" s="26" t="s">
        <v>555</v>
      </c>
      <c r="C2254" s="65">
        <v>1</v>
      </c>
      <c r="D2254" s="51" t="s">
        <v>3140</v>
      </c>
      <c r="E2254" s="38" t="s">
        <v>3</v>
      </c>
      <c r="F2254" s="38" t="s">
        <v>10</v>
      </c>
      <c r="G2254" s="52">
        <v>1357980</v>
      </c>
      <c r="H2254" s="52">
        <v>1563191</v>
      </c>
      <c r="I2254" s="52">
        <v>516117</v>
      </c>
      <c r="J2254" s="53">
        <f>+G2254-H2254+I2254</f>
        <v>310906</v>
      </c>
      <c r="K2254" s="28">
        <v>0</v>
      </c>
      <c r="L2254" s="32">
        <v>0</v>
      </c>
      <c r="M2254" s="53">
        <f>+J2254+L2254</f>
        <v>310906</v>
      </c>
      <c r="N2254" s="55" t="s">
        <v>1160</v>
      </c>
      <c r="O2254" s="29" t="s">
        <v>1161</v>
      </c>
      <c r="P2254" s="36">
        <v>42689</v>
      </c>
      <c r="Q2254" s="49">
        <v>26287.25</v>
      </c>
      <c r="R2254" s="33">
        <f>M2254/Q2254</f>
        <v>11.827254657676249</v>
      </c>
    </row>
    <row r="2255" spans="1:18" ht="15" customHeight="1">
      <c r="A2255" s="37" t="s">
        <v>874</v>
      </c>
      <c r="B2255" s="26" t="s">
        <v>3109</v>
      </c>
      <c r="C2255" s="39">
        <v>1</v>
      </c>
      <c r="D2255" s="40" t="s">
        <v>3141</v>
      </c>
      <c r="E2255" s="38" t="s">
        <v>3</v>
      </c>
      <c r="F2255" s="38" t="s">
        <v>10</v>
      </c>
      <c r="G2255" s="32">
        <v>15989807</v>
      </c>
      <c r="H2255" s="32">
        <v>0</v>
      </c>
      <c r="I2255" s="32">
        <v>162932</v>
      </c>
      <c r="J2255" s="35">
        <f>+G2255-H2255+I2255</f>
        <v>16152739</v>
      </c>
      <c r="K2255" s="28">
        <v>0</v>
      </c>
      <c r="L2255" s="32">
        <v>0</v>
      </c>
      <c r="M2255" s="35">
        <f>+J2255+L2255</f>
        <v>16152739</v>
      </c>
      <c r="N2255" s="28" t="s">
        <v>3142</v>
      </c>
      <c r="O2255" s="29" t="s">
        <v>3143</v>
      </c>
      <c r="P2255" s="36">
        <v>44953</v>
      </c>
      <c r="Q2255" s="31">
        <v>35273.86</v>
      </c>
      <c r="R2255" s="33">
        <f>M2255/Q2255</f>
        <v>457.92377131394181</v>
      </c>
    </row>
    <row r="2256" spans="1:18" ht="15" customHeight="1">
      <c r="A2256" s="37" t="s">
        <v>2639</v>
      </c>
      <c r="B2256" s="26" t="s">
        <v>2640</v>
      </c>
      <c r="C2256" s="39">
        <v>1</v>
      </c>
      <c r="D2256" s="40" t="s">
        <v>3144</v>
      </c>
      <c r="E2256" s="38" t="s">
        <v>4</v>
      </c>
      <c r="F2256" s="38" t="s">
        <v>11</v>
      </c>
      <c r="G2256" s="32">
        <v>9467133</v>
      </c>
      <c r="H2256" s="32">
        <v>1340842</v>
      </c>
      <c r="I2256" s="32">
        <v>2437602</v>
      </c>
      <c r="J2256" s="35">
        <f>+G2256-H2256+I2256</f>
        <v>10563893</v>
      </c>
      <c r="K2256" s="28">
        <v>0</v>
      </c>
      <c r="L2256" s="32">
        <v>0</v>
      </c>
      <c r="M2256" s="35">
        <f>+J2256+L2256</f>
        <v>10563893</v>
      </c>
      <c r="N2256" s="28" t="s">
        <v>3114</v>
      </c>
      <c r="O2256" s="29" t="s">
        <v>3115</v>
      </c>
      <c r="P2256" s="36">
        <v>43286</v>
      </c>
      <c r="Q2256" s="31">
        <v>27172.33</v>
      </c>
      <c r="R2256" s="33">
        <f>M2256/Q2256</f>
        <v>388.77391081294832</v>
      </c>
    </row>
    <row r="2257" spans="1:18" ht="15" customHeight="1">
      <c r="A2257" s="37" t="s">
        <v>688</v>
      </c>
      <c r="B2257" s="26" t="s">
        <v>3072</v>
      </c>
      <c r="C2257" s="39">
        <v>1</v>
      </c>
      <c r="D2257" s="40" t="s">
        <v>3145</v>
      </c>
      <c r="E2257" s="38" t="s">
        <v>4</v>
      </c>
      <c r="F2257" s="38" t="s">
        <v>21</v>
      </c>
      <c r="G2257" s="32">
        <v>0</v>
      </c>
      <c r="H2257" s="32">
        <v>0</v>
      </c>
      <c r="I2257" s="32">
        <v>775523</v>
      </c>
      <c r="J2257" s="35">
        <f>+G2257-H2257+I2257</f>
        <v>775523</v>
      </c>
      <c r="K2257" s="28">
        <v>0</v>
      </c>
      <c r="L2257" s="32">
        <v>0</v>
      </c>
      <c r="M2257" s="35">
        <f>+J2257+L2257</f>
        <v>775523</v>
      </c>
      <c r="N2257" s="28" t="s">
        <v>3117</v>
      </c>
      <c r="O2257" s="29" t="s">
        <v>3118</v>
      </c>
      <c r="P2257" s="36">
        <v>44292</v>
      </c>
      <c r="Q2257" s="31">
        <v>29406.14</v>
      </c>
      <c r="R2257" s="33">
        <f>M2257/Q2257</f>
        <v>26.372825539156107</v>
      </c>
    </row>
    <row r="2258" spans="1:18" ht="15" customHeight="1">
      <c r="A2258" s="37" t="s">
        <v>52</v>
      </c>
      <c r="B2258" s="26" t="s">
        <v>2606</v>
      </c>
      <c r="C2258" s="39">
        <v>1</v>
      </c>
      <c r="D2258" s="40" t="s">
        <v>3146</v>
      </c>
      <c r="E2258" s="38" t="s">
        <v>3</v>
      </c>
      <c r="F2258" s="38" t="s">
        <v>10</v>
      </c>
      <c r="G2258" s="32">
        <v>4390315</v>
      </c>
      <c r="H2258" s="32">
        <v>-735618</v>
      </c>
      <c r="I2258" s="32">
        <v>5448731</v>
      </c>
      <c r="J2258" s="35">
        <f>+G2258-H2258+I2258</f>
        <v>10574664</v>
      </c>
      <c r="K2258" s="28">
        <v>0</v>
      </c>
      <c r="L2258" s="32">
        <v>0</v>
      </c>
      <c r="M2258" s="35">
        <f>+J2258+L2258</f>
        <v>10574664</v>
      </c>
      <c r="N2258" s="28" t="s">
        <v>2684</v>
      </c>
      <c r="O2258" s="29" t="s">
        <v>2685</v>
      </c>
      <c r="P2258" s="36">
        <v>42727</v>
      </c>
      <c r="Q2258" s="31">
        <v>26341.19</v>
      </c>
      <c r="R2258" s="33">
        <f>M2258/Q2258</f>
        <v>401.44974467744248</v>
      </c>
    </row>
    <row r="2259" spans="1:18" ht="15" customHeight="1">
      <c r="A2259" s="26"/>
      <c r="B2259" s="26"/>
      <c r="C2259" s="39"/>
      <c r="E2259" s="64"/>
      <c r="F2259" s="64"/>
      <c r="J2259" s="32"/>
      <c r="K2259" s="47"/>
      <c r="M2259" s="32"/>
      <c r="N2259" s="28"/>
      <c r="O2259" s="29"/>
      <c r="P2259" s="36"/>
      <c r="R2259" s="33"/>
    </row>
    <row r="2260" spans="1:18" ht="15" customHeight="1">
      <c r="A2260" s="26"/>
      <c r="B2260" s="26"/>
      <c r="C2260" s="39"/>
      <c r="E2260" s="64"/>
      <c r="F2260" s="64"/>
      <c r="J2260" s="32"/>
      <c r="K2260" s="47"/>
      <c r="M2260" s="32"/>
      <c r="N2260" s="28"/>
      <c r="O2260" s="29"/>
      <c r="P2260" s="36"/>
      <c r="R2260" s="33"/>
    </row>
    <row r="2261" spans="1:18" ht="15" customHeight="1">
      <c r="A2261" s="26"/>
      <c r="B2261" s="26"/>
      <c r="C2261" s="39"/>
      <c r="E2261" s="64"/>
      <c r="F2261" s="64"/>
      <c r="J2261" s="32"/>
      <c r="K2261" s="47"/>
      <c r="M2261" s="32"/>
      <c r="N2261" s="28"/>
      <c r="O2261" s="29"/>
      <c r="P2261" s="36"/>
      <c r="R2261" s="33"/>
    </row>
    <row r="2262" spans="1:18" ht="15" customHeight="1">
      <c r="A2262" s="26"/>
      <c r="B2262" s="26"/>
      <c r="C2262" s="39"/>
      <c r="E2262" s="64"/>
      <c r="F2262" s="64"/>
      <c r="J2262" s="32"/>
      <c r="K2262" s="47"/>
      <c r="M2262" s="32"/>
      <c r="N2262" s="28"/>
      <c r="O2262" s="29"/>
      <c r="P2262" s="36"/>
      <c r="R2262" s="33"/>
    </row>
    <row r="2263" spans="1:18" ht="15" customHeight="1">
      <c r="A2263" s="26"/>
      <c r="B2263" s="26"/>
      <c r="C2263" s="39"/>
      <c r="E2263" s="64"/>
      <c r="F2263" s="64"/>
      <c r="J2263" s="32"/>
      <c r="K2263" s="47"/>
      <c r="M2263" s="32"/>
      <c r="N2263" s="28"/>
      <c r="O2263" s="29"/>
      <c r="P2263" s="36"/>
      <c r="R2263" s="33"/>
    </row>
    <row r="2264" spans="1:18" ht="15" customHeight="1">
      <c r="A2264" s="26"/>
      <c r="B2264" s="26"/>
      <c r="C2264" s="39"/>
      <c r="E2264" s="64"/>
      <c r="F2264" s="64"/>
      <c r="J2264" s="32"/>
      <c r="K2264" s="47"/>
      <c r="M2264" s="32"/>
      <c r="N2264" s="28"/>
      <c r="O2264" s="29"/>
      <c r="P2264" s="36"/>
      <c r="R2264" s="33"/>
    </row>
    <row r="2265" spans="1:18" ht="15" customHeight="1">
      <c r="A2265" s="26"/>
      <c r="B2265" s="26"/>
      <c r="C2265" s="39"/>
      <c r="E2265" s="64"/>
      <c r="F2265" s="64"/>
      <c r="J2265" s="32"/>
      <c r="K2265" s="47"/>
      <c r="M2265" s="32"/>
      <c r="N2265" s="28"/>
      <c r="O2265" s="29"/>
      <c r="P2265" s="36"/>
      <c r="R2265" s="33"/>
    </row>
    <row r="2266" spans="1:18" ht="15" customHeight="1">
      <c r="A2266" s="26"/>
      <c r="B2266" s="26"/>
      <c r="C2266" s="39"/>
      <c r="E2266" s="64"/>
      <c r="F2266" s="64"/>
      <c r="J2266" s="32"/>
      <c r="K2266" s="47"/>
      <c r="M2266" s="32"/>
      <c r="N2266" s="28"/>
      <c r="O2266" s="29"/>
      <c r="P2266" s="36"/>
      <c r="R2266" s="33"/>
    </row>
    <row r="2267" spans="1:18" ht="15" customHeight="1">
      <c r="A2267" s="26"/>
      <c r="B2267" s="26"/>
      <c r="C2267" s="39"/>
      <c r="E2267" s="64"/>
      <c r="F2267" s="64"/>
      <c r="J2267" s="32"/>
      <c r="K2267" s="47"/>
      <c r="M2267" s="32"/>
      <c r="N2267" s="28"/>
      <c r="O2267" s="29"/>
      <c r="P2267" s="36"/>
      <c r="R2267" s="33"/>
    </row>
    <row r="2268" spans="1:18" ht="15" customHeight="1">
      <c r="A2268" s="26"/>
      <c r="B2268" s="26"/>
      <c r="C2268" s="39"/>
      <c r="E2268" s="64"/>
      <c r="F2268" s="64"/>
      <c r="J2268" s="32"/>
      <c r="K2268" s="47"/>
      <c r="M2268" s="32"/>
      <c r="N2268" s="28"/>
      <c r="O2268" s="29"/>
      <c r="P2268" s="36"/>
      <c r="R2268" s="33"/>
    </row>
    <row r="2269" spans="1:18" ht="15" customHeight="1">
      <c r="A2269" s="26"/>
      <c r="B2269" s="26"/>
      <c r="C2269" s="39"/>
      <c r="E2269" s="64"/>
      <c r="F2269" s="64"/>
      <c r="J2269" s="32"/>
      <c r="K2269" s="47"/>
      <c r="M2269" s="32"/>
      <c r="N2269" s="28"/>
      <c r="O2269" s="29"/>
      <c r="P2269" s="36"/>
      <c r="R2269" s="33"/>
    </row>
    <row r="2270" spans="1:18" ht="15" customHeight="1">
      <c r="A2270" s="26"/>
      <c r="B2270" s="26"/>
      <c r="C2270" s="39"/>
      <c r="E2270" s="64"/>
      <c r="F2270" s="64"/>
      <c r="J2270" s="32"/>
      <c r="K2270" s="47"/>
      <c r="M2270" s="32"/>
      <c r="N2270" s="28"/>
      <c r="O2270" s="29"/>
      <c r="P2270" s="36"/>
      <c r="R2270" s="33"/>
    </row>
    <row r="2271" spans="1:18" ht="15" customHeight="1">
      <c r="A2271" s="26"/>
      <c r="B2271" s="26"/>
      <c r="C2271" s="39"/>
      <c r="E2271" s="64"/>
      <c r="F2271" s="64"/>
      <c r="J2271" s="32"/>
      <c r="K2271" s="47"/>
      <c r="M2271" s="32"/>
      <c r="N2271" s="28"/>
      <c r="O2271" s="29"/>
      <c r="P2271" s="36"/>
      <c r="R2271" s="33"/>
    </row>
    <row r="2272" spans="1:18" ht="15" customHeight="1">
      <c r="A2272" s="26"/>
      <c r="B2272" s="26"/>
      <c r="C2272" s="39"/>
      <c r="E2272" s="64"/>
      <c r="F2272" s="64"/>
      <c r="J2272" s="32"/>
      <c r="K2272" s="47"/>
      <c r="M2272" s="32"/>
      <c r="N2272" s="28"/>
      <c r="O2272" s="29"/>
      <c r="P2272" s="36"/>
      <c r="R2272" s="33"/>
    </row>
    <row r="2273" spans="1:18" ht="15" customHeight="1">
      <c r="A2273" s="26"/>
      <c r="B2273" s="26"/>
      <c r="C2273" s="39"/>
      <c r="E2273" s="64"/>
      <c r="F2273" s="64"/>
      <c r="J2273" s="32"/>
      <c r="K2273" s="47"/>
      <c r="M2273" s="32"/>
      <c r="N2273" s="28"/>
      <c r="O2273" s="29"/>
      <c r="P2273" s="36"/>
      <c r="R2273" s="33"/>
    </row>
    <row r="2274" spans="1:18" ht="15" customHeight="1">
      <c r="A2274" s="26"/>
      <c r="B2274" s="26"/>
      <c r="C2274" s="39"/>
      <c r="E2274" s="64"/>
      <c r="F2274" s="64"/>
      <c r="J2274" s="32"/>
      <c r="K2274" s="47"/>
      <c r="M2274" s="32"/>
      <c r="N2274" s="28"/>
      <c r="O2274" s="29"/>
      <c r="P2274" s="36"/>
      <c r="R2274" s="33"/>
    </row>
    <row r="2275" spans="1:18" ht="15" customHeight="1">
      <c r="A2275" s="26"/>
      <c r="B2275" s="26"/>
      <c r="C2275" s="39"/>
      <c r="E2275" s="64"/>
      <c r="F2275" s="64"/>
      <c r="J2275" s="32"/>
      <c r="K2275" s="47"/>
      <c r="M2275" s="32"/>
      <c r="N2275" s="28"/>
      <c r="O2275" s="29"/>
      <c r="P2275" s="36"/>
      <c r="R2275" s="33"/>
    </row>
    <row r="2276" spans="1:18" ht="15" customHeight="1">
      <c r="A2276" s="26"/>
      <c r="B2276" s="26"/>
      <c r="C2276" s="39"/>
      <c r="E2276" s="64"/>
      <c r="F2276" s="64"/>
      <c r="J2276" s="32"/>
      <c r="K2276" s="47"/>
      <c r="M2276" s="32"/>
      <c r="N2276" s="28"/>
      <c r="O2276" s="29"/>
      <c r="P2276" s="36"/>
      <c r="R2276" s="33"/>
    </row>
    <row r="2277" spans="1:18" ht="15" customHeight="1">
      <c r="A2277" s="26"/>
      <c r="B2277" s="26"/>
      <c r="C2277" s="39"/>
      <c r="E2277" s="64"/>
      <c r="F2277" s="64"/>
      <c r="J2277" s="32"/>
      <c r="K2277" s="47"/>
      <c r="M2277" s="32"/>
      <c r="N2277" s="28"/>
      <c r="O2277" s="29"/>
      <c r="P2277" s="36"/>
      <c r="R2277" s="33"/>
    </row>
    <row r="2278" spans="1:18" ht="15" customHeight="1">
      <c r="A2278" s="26"/>
      <c r="B2278" s="26"/>
      <c r="C2278" s="39"/>
      <c r="E2278" s="64"/>
      <c r="F2278" s="64"/>
      <c r="J2278" s="32"/>
      <c r="K2278" s="47"/>
      <c r="M2278" s="32"/>
      <c r="N2278" s="28"/>
      <c r="O2278" s="29"/>
      <c r="P2278" s="36"/>
      <c r="R2278" s="33"/>
    </row>
    <row r="2279" spans="1:18" ht="15" customHeight="1">
      <c r="A2279" s="26"/>
      <c r="B2279" s="26"/>
      <c r="C2279" s="39"/>
      <c r="E2279" s="64"/>
      <c r="F2279" s="64"/>
      <c r="J2279" s="32"/>
      <c r="K2279" s="47"/>
      <c r="M2279" s="32"/>
      <c r="N2279" s="28"/>
      <c r="O2279" s="29"/>
      <c r="P2279" s="36"/>
      <c r="R2279" s="33"/>
    </row>
    <row r="2280" spans="1:18" ht="15" customHeight="1">
      <c r="A2280" s="26"/>
      <c r="B2280" s="26"/>
      <c r="C2280" s="39"/>
      <c r="E2280" s="64"/>
      <c r="F2280" s="64"/>
      <c r="J2280" s="32"/>
      <c r="K2280" s="47"/>
      <c r="M2280" s="32"/>
      <c r="N2280" s="28"/>
      <c r="O2280" s="29"/>
      <c r="P2280" s="36"/>
      <c r="R2280" s="33"/>
    </row>
    <row r="2281" spans="1:18" ht="15" customHeight="1">
      <c r="A2281" s="26"/>
      <c r="B2281" s="26"/>
      <c r="C2281" s="39"/>
      <c r="E2281" s="64"/>
      <c r="F2281" s="64"/>
      <c r="J2281" s="32"/>
      <c r="K2281" s="47"/>
      <c r="M2281" s="32"/>
      <c r="N2281" s="28"/>
      <c r="O2281" s="29"/>
      <c r="P2281" s="36"/>
      <c r="R2281" s="33"/>
    </row>
    <row r="2282" spans="1:18" ht="15" customHeight="1">
      <c r="A2282" s="26"/>
      <c r="B2282" s="26"/>
      <c r="C2282" s="39"/>
      <c r="E2282" s="64"/>
      <c r="F2282" s="64"/>
      <c r="J2282" s="32"/>
      <c r="K2282" s="47"/>
      <c r="M2282" s="32"/>
      <c r="N2282" s="28"/>
      <c r="O2282" s="29"/>
      <c r="P2282" s="36"/>
      <c r="R2282" s="33"/>
    </row>
    <row r="2283" spans="1:18" ht="15" customHeight="1">
      <c r="A2283" s="26"/>
      <c r="B2283" s="26"/>
      <c r="C2283" s="39"/>
      <c r="E2283" s="64"/>
      <c r="F2283" s="64"/>
      <c r="J2283" s="32"/>
      <c r="K2283" s="47"/>
      <c r="M2283" s="32"/>
      <c r="N2283" s="28"/>
      <c r="O2283" s="29"/>
      <c r="P2283" s="36"/>
      <c r="R2283" s="33"/>
    </row>
    <row r="2284" spans="1:18" ht="15" customHeight="1">
      <c r="A2284" s="26"/>
      <c r="B2284" s="26"/>
      <c r="C2284" s="39"/>
      <c r="E2284" s="64"/>
      <c r="F2284" s="64"/>
      <c r="J2284" s="32"/>
      <c r="K2284" s="47"/>
      <c r="M2284" s="32"/>
      <c r="N2284" s="28"/>
      <c r="O2284" s="29"/>
      <c r="P2284" s="36"/>
      <c r="R2284" s="33"/>
    </row>
    <row r="2285" spans="1:18" ht="15" customHeight="1">
      <c r="A2285" s="26"/>
      <c r="B2285" s="26"/>
      <c r="C2285" s="39"/>
      <c r="E2285" s="64"/>
      <c r="F2285" s="64"/>
      <c r="J2285" s="32"/>
      <c r="K2285" s="47"/>
      <c r="M2285" s="32"/>
      <c r="N2285" s="28"/>
      <c r="O2285" s="29"/>
      <c r="P2285" s="36"/>
      <c r="R2285" s="33"/>
    </row>
    <row r="2286" spans="1:18" ht="15" customHeight="1">
      <c r="A2286" s="26"/>
      <c r="B2286" s="26"/>
      <c r="C2286" s="39"/>
      <c r="E2286" s="64"/>
      <c r="F2286" s="64"/>
      <c r="J2286" s="32"/>
      <c r="K2286" s="47"/>
      <c r="M2286" s="32"/>
      <c r="N2286" s="28"/>
      <c r="O2286" s="29"/>
      <c r="P2286" s="36"/>
      <c r="R2286" s="33"/>
    </row>
    <row r="2287" spans="1:18" ht="15" customHeight="1">
      <c r="A2287" s="26"/>
      <c r="B2287" s="26"/>
      <c r="C2287" s="39"/>
      <c r="E2287" s="64"/>
      <c r="F2287" s="64"/>
      <c r="J2287" s="32"/>
      <c r="K2287" s="47"/>
      <c r="M2287" s="32"/>
      <c r="N2287" s="28"/>
      <c r="O2287" s="29"/>
      <c r="P2287" s="36"/>
      <c r="R2287" s="33"/>
    </row>
    <row r="2288" spans="1:18" ht="15" customHeight="1">
      <c r="A2288" s="26"/>
      <c r="B2288" s="26"/>
      <c r="C2288" s="39"/>
      <c r="E2288" s="64"/>
      <c r="F2288" s="64"/>
      <c r="J2288" s="32"/>
      <c r="K2288" s="47"/>
      <c r="M2288" s="32"/>
      <c r="N2288" s="28"/>
      <c r="O2288" s="29"/>
      <c r="P2288" s="36"/>
      <c r="R2288" s="33"/>
    </row>
    <row r="2289" spans="1:18" ht="15" customHeight="1">
      <c r="A2289" s="26"/>
      <c r="B2289" s="26"/>
      <c r="C2289" s="39"/>
      <c r="E2289" s="64"/>
      <c r="F2289" s="64"/>
      <c r="J2289" s="32"/>
      <c r="K2289" s="47"/>
      <c r="M2289" s="32"/>
      <c r="N2289" s="28"/>
      <c r="O2289" s="29"/>
      <c r="P2289" s="36"/>
      <c r="R2289" s="33"/>
    </row>
    <row r="2290" spans="1:18" ht="15" customHeight="1">
      <c r="A2290" s="26"/>
      <c r="B2290" s="26"/>
      <c r="C2290" s="39"/>
      <c r="E2290" s="64"/>
      <c r="F2290" s="64"/>
      <c r="J2290" s="32"/>
      <c r="K2290" s="47"/>
      <c r="M2290" s="32"/>
      <c r="N2290" s="28"/>
      <c r="O2290" s="29"/>
      <c r="P2290" s="36"/>
      <c r="R2290" s="33"/>
    </row>
    <row r="2291" spans="1:18" ht="15" customHeight="1">
      <c r="A2291" s="26"/>
      <c r="B2291" s="26"/>
      <c r="C2291" s="39"/>
      <c r="E2291" s="64"/>
      <c r="F2291" s="64"/>
      <c r="J2291" s="32"/>
      <c r="K2291" s="47"/>
      <c r="M2291" s="32"/>
      <c r="N2291" s="28"/>
      <c r="O2291" s="29"/>
      <c r="P2291" s="36"/>
      <c r="R2291" s="33"/>
    </row>
    <row r="2292" spans="1:18" ht="15" customHeight="1">
      <c r="A2292" s="26"/>
      <c r="B2292" s="26"/>
      <c r="C2292" s="39"/>
      <c r="E2292" s="64"/>
      <c r="F2292" s="64"/>
      <c r="J2292" s="32"/>
      <c r="K2292" s="47"/>
      <c r="M2292" s="32"/>
      <c r="N2292" s="28"/>
      <c r="O2292" s="29"/>
      <c r="P2292" s="36"/>
      <c r="R2292" s="33"/>
    </row>
    <row r="2293" spans="1:18" ht="15" customHeight="1">
      <c r="A2293" s="26"/>
      <c r="B2293" s="26"/>
      <c r="C2293" s="39"/>
      <c r="E2293" s="64"/>
      <c r="F2293" s="64"/>
      <c r="J2293" s="32"/>
      <c r="K2293" s="47"/>
      <c r="M2293" s="32"/>
      <c r="N2293" s="28"/>
      <c r="O2293" s="29"/>
      <c r="P2293" s="36"/>
      <c r="R2293" s="33"/>
    </row>
    <row r="2294" spans="1:18" ht="15" customHeight="1">
      <c r="A2294" s="26"/>
      <c r="B2294" s="26"/>
      <c r="C2294" s="39"/>
      <c r="E2294" s="64"/>
      <c r="F2294" s="64"/>
      <c r="J2294" s="32"/>
      <c r="K2294" s="47"/>
      <c r="M2294" s="32"/>
      <c r="N2294" s="28"/>
      <c r="O2294" s="29"/>
      <c r="P2294" s="36"/>
      <c r="R2294" s="33"/>
    </row>
    <row r="2295" spans="1:18" ht="15" customHeight="1">
      <c r="A2295" s="26"/>
      <c r="B2295" s="26"/>
      <c r="C2295" s="39"/>
      <c r="E2295" s="64"/>
      <c r="F2295" s="64"/>
      <c r="J2295" s="32"/>
      <c r="K2295" s="47"/>
      <c r="M2295" s="32"/>
      <c r="N2295" s="28"/>
      <c r="O2295" s="29"/>
      <c r="P2295" s="36"/>
      <c r="R2295" s="33"/>
    </row>
    <row r="2296" spans="1:18" ht="15" customHeight="1">
      <c r="A2296" s="26"/>
      <c r="B2296" s="26"/>
      <c r="C2296" s="39"/>
      <c r="E2296" s="64"/>
      <c r="F2296" s="64"/>
      <c r="J2296" s="32"/>
      <c r="K2296" s="47"/>
      <c r="M2296" s="32"/>
      <c r="N2296" s="28"/>
      <c r="O2296" s="29"/>
      <c r="P2296" s="36"/>
      <c r="R2296" s="33"/>
    </row>
    <row r="2297" spans="1:18" ht="15" customHeight="1">
      <c r="A2297" s="26"/>
      <c r="B2297" s="26"/>
      <c r="C2297" s="39"/>
      <c r="E2297" s="64"/>
      <c r="F2297" s="64"/>
      <c r="J2297" s="32"/>
      <c r="K2297" s="47"/>
      <c r="M2297" s="32"/>
      <c r="N2297" s="28"/>
      <c r="O2297" s="29"/>
      <c r="P2297" s="36"/>
      <c r="R2297" s="33"/>
    </row>
    <row r="2298" spans="1:18" ht="15" customHeight="1">
      <c r="A2298" s="26"/>
      <c r="B2298" s="26"/>
      <c r="C2298" s="39"/>
      <c r="E2298" s="64"/>
      <c r="F2298" s="64"/>
      <c r="J2298" s="32"/>
      <c r="K2298" s="47"/>
      <c r="M2298" s="32"/>
      <c r="N2298" s="28"/>
      <c r="O2298" s="29"/>
      <c r="P2298" s="36"/>
      <c r="R2298" s="33"/>
    </row>
    <row r="2299" spans="1:18" ht="15" customHeight="1">
      <c r="A2299" s="26"/>
      <c r="B2299" s="26"/>
      <c r="C2299" s="39"/>
      <c r="E2299" s="64"/>
      <c r="F2299" s="64"/>
      <c r="J2299" s="32"/>
      <c r="K2299" s="47"/>
      <c r="M2299" s="32"/>
      <c r="N2299" s="28"/>
      <c r="O2299" s="29"/>
      <c r="P2299" s="36"/>
      <c r="R2299" s="33"/>
    </row>
    <row r="2300" spans="1:18" ht="15" customHeight="1">
      <c r="A2300" s="26"/>
      <c r="B2300" s="26"/>
      <c r="C2300" s="39"/>
      <c r="E2300" s="64"/>
      <c r="F2300" s="64"/>
      <c r="J2300" s="32"/>
      <c r="K2300" s="47"/>
      <c r="M2300" s="32"/>
      <c r="N2300" s="28"/>
      <c r="O2300" s="29"/>
      <c r="P2300" s="36"/>
      <c r="R2300" s="33"/>
    </row>
    <row r="2301" spans="1:18" ht="15" customHeight="1">
      <c r="A2301" s="26"/>
      <c r="B2301" s="26"/>
      <c r="C2301" s="39"/>
      <c r="E2301" s="64"/>
      <c r="F2301" s="64"/>
      <c r="J2301" s="32"/>
      <c r="K2301" s="47"/>
      <c r="M2301" s="32"/>
      <c r="N2301" s="28"/>
      <c r="O2301" s="29"/>
      <c r="P2301" s="36"/>
      <c r="R2301" s="33"/>
    </row>
    <row r="2302" spans="1:18" ht="15" customHeight="1">
      <c r="A2302" s="26"/>
      <c r="B2302" s="26"/>
      <c r="C2302" s="39"/>
      <c r="E2302" s="64"/>
      <c r="F2302" s="64"/>
      <c r="J2302" s="32"/>
      <c r="K2302" s="47"/>
      <c r="M2302" s="32"/>
      <c r="N2302" s="28"/>
      <c r="O2302" s="29"/>
      <c r="P2302" s="36"/>
      <c r="R2302" s="33"/>
    </row>
    <row r="2303" spans="1:18" ht="15" customHeight="1">
      <c r="A2303" s="26"/>
      <c r="B2303" s="26"/>
      <c r="C2303" s="39"/>
      <c r="E2303" s="64"/>
      <c r="F2303" s="64"/>
      <c r="J2303" s="32"/>
      <c r="K2303" s="47"/>
      <c r="M2303" s="32"/>
      <c r="N2303" s="28"/>
      <c r="O2303" s="29"/>
      <c r="P2303" s="36"/>
      <c r="R2303" s="33"/>
    </row>
    <row r="2304" spans="1:18" ht="15" customHeight="1">
      <c r="A2304" s="26"/>
      <c r="B2304" s="26"/>
      <c r="C2304" s="39"/>
      <c r="E2304" s="64"/>
      <c r="F2304" s="64"/>
      <c r="J2304" s="32"/>
      <c r="K2304" s="47"/>
      <c r="M2304" s="32"/>
      <c r="N2304" s="28"/>
      <c r="O2304" s="29"/>
      <c r="P2304" s="36"/>
      <c r="R2304" s="33"/>
    </row>
    <row r="2305" spans="1:18" ht="15" customHeight="1">
      <c r="A2305" s="26"/>
      <c r="B2305" s="26"/>
      <c r="C2305" s="39"/>
      <c r="E2305" s="64"/>
      <c r="F2305" s="64"/>
      <c r="J2305" s="32"/>
      <c r="K2305" s="47"/>
      <c r="M2305" s="32"/>
      <c r="N2305" s="28"/>
      <c r="O2305" s="29"/>
      <c r="P2305" s="36"/>
      <c r="R2305" s="33"/>
    </row>
    <row r="2306" spans="1:18" ht="15" customHeight="1">
      <c r="A2306" s="26"/>
      <c r="B2306" s="26"/>
      <c r="C2306" s="39"/>
      <c r="E2306" s="64"/>
      <c r="F2306" s="64"/>
      <c r="J2306" s="32"/>
      <c r="K2306" s="47"/>
      <c r="M2306" s="32"/>
      <c r="N2306" s="28"/>
      <c r="O2306" s="29"/>
      <c r="P2306" s="36"/>
      <c r="R2306" s="33"/>
    </row>
    <row r="2307" spans="1:18" ht="15" customHeight="1">
      <c r="A2307" s="26"/>
      <c r="B2307" s="26"/>
      <c r="C2307" s="39"/>
      <c r="E2307" s="64"/>
      <c r="F2307" s="64"/>
      <c r="J2307" s="32"/>
      <c r="K2307" s="47"/>
      <c r="M2307" s="32"/>
      <c r="N2307" s="28"/>
      <c r="O2307" s="29"/>
      <c r="P2307" s="36"/>
      <c r="R2307" s="33"/>
    </row>
    <row r="2308" spans="1:18" ht="15" customHeight="1">
      <c r="A2308" s="26"/>
      <c r="B2308" s="26"/>
      <c r="C2308" s="39"/>
      <c r="E2308" s="64"/>
      <c r="F2308" s="64"/>
      <c r="J2308" s="32"/>
      <c r="K2308" s="47"/>
      <c r="M2308" s="32"/>
      <c r="N2308" s="28"/>
      <c r="O2308" s="29"/>
      <c r="P2308" s="36"/>
      <c r="R2308" s="33"/>
    </row>
    <row r="2309" spans="1:18" ht="15" customHeight="1">
      <c r="A2309" s="26"/>
      <c r="B2309" s="26"/>
      <c r="C2309" s="39"/>
      <c r="E2309" s="64"/>
      <c r="F2309" s="64"/>
      <c r="J2309" s="32"/>
      <c r="K2309" s="47"/>
      <c r="M2309" s="32"/>
      <c r="N2309" s="28"/>
      <c r="O2309" s="29"/>
      <c r="P2309" s="36"/>
      <c r="R2309" s="33"/>
    </row>
    <row r="2310" spans="1:18" ht="15" customHeight="1">
      <c r="A2310" s="26"/>
      <c r="B2310" s="26"/>
      <c r="C2310" s="39"/>
      <c r="E2310" s="64"/>
      <c r="F2310" s="64"/>
      <c r="J2310" s="32"/>
      <c r="K2310" s="47"/>
      <c r="M2310" s="32"/>
      <c r="N2310" s="28"/>
      <c r="O2310" s="29"/>
      <c r="P2310" s="36"/>
      <c r="R2310" s="33"/>
    </row>
    <row r="2311" spans="1:18" ht="15" customHeight="1">
      <c r="A2311" s="26"/>
      <c r="B2311" s="26"/>
      <c r="C2311" s="39"/>
      <c r="E2311" s="64"/>
      <c r="F2311" s="64"/>
      <c r="J2311" s="32"/>
      <c r="K2311" s="47"/>
      <c r="M2311" s="32"/>
      <c r="N2311" s="28"/>
      <c r="O2311" s="29"/>
      <c r="P2311" s="36"/>
      <c r="R2311" s="33"/>
    </row>
    <row r="2312" spans="1:18" ht="15" customHeight="1">
      <c r="A2312" s="26"/>
      <c r="B2312" s="26"/>
      <c r="C2312" s="39"/>
      <c r="E2312" s="64"/>
      <c r="F2312" s="64"/>
      <c r="J2312" s="32"/>
      <c r="K2312" s="47"/>
      <c r="M2312" s="32"/>
      <c r="N2312" s="28"/>
      <c r="O2312" s="29"/>
      <c r="P2312" s="36"/>
      <c r="R2312" s="33"/>
    </row>
    <row r="2313" spans="1:18" ht="15" customHeight="1">
      <c r="A2313" s="26"/>
      <c r="B2313" s="26"/>
      <c r="C2313" s="39"/>
      <c r="E2313" s="64"/>
      <c r="F2313" s="64"/>
      <c r="J2313" s="32"/>
      <c r="K2313" s="47"/>
      <c r="M2313" s="32"/>
      <c r="N2313" s="28"/>
      <c r="O2313" s="29"/>
      <c r="P2313" s="36"/>
      <c r="R2313" s="33"/>
    </row>
    <row r="2314" spans="1:18" ht="15" customHeight="1">
      <c r="A2314" s="26"/>
      <c r="B2314" s="26"/>
      <c r="C2314" s="39"/>
      <c r="E2314" s="64"/>
      <c r="F2314" s="64"/>
      <c r="J2314" s="32"/>
      <c r="K2314" s="47"/>
      <c r="M2314" s="32"/>
      <c r="N2314" s="28"/>
      <c r="O2314" s="29"/>
      <c r="P2314" s="36"/>
      <c r="R2314" s="33"/>
    </row>
    <row r="2315" spans="1:18" ht="15" customHeight="1">
      <c r="A2315" s="26"/>
      <c r="B2315" s="26"/>
      <c r="C2315" s="39"/>
      <c r="E2315" s="64"/>
      <c r="F2315" s="64"/>
      <c r="J2315" s="32"/>
      <c r="K2315" s="47"/>
      <c r="M2315" s="32"/>
      <c r="N2315" s="28"/>
      <c r="O2315" s="29"/>
      <c r="P2315" s="36"/>
      <c r="R2315" s="33"/>
    </row>
    <row r="2316" spans="1:18" ht="15" customHeight="1">
      <c r="A2316" s="26"/>
      <c r="B2316" s="26"/>
      <c r="C2316" s="39"/>
      <c r="E2316" s="64"/>
      <c r="F2316" s="64"/>
      <c r="J2316" s="32"/>
      <c r="K2316" s="47"/>
      <c r="M2316" s="32"/>
      <c r="N2316" s="28"/>
      <c r="O2316" s="29"/>
      <c r="P2316" s="36"/>
      <c r="R2316" s="33"/>
    </row>
    <row r="2317" spans="1:18" ht="15" customHeight="1">
      <c r="A2317" s="26"/>
      <c r="B2317" s="26"/>
      <c r="C2317" s="39"/>
      <c r="E2317" s="64"/>
      <c r="F2317" s="64"/>
      <c r="J2317" s="32"/>
      <c r="K2317" s="47"/>
      <c r="M2317" s="32"/>
      <c r="N2317" s="28"/>
      <c r="O2317" s="29"/>
      <c r="P2317" s="36"/>
      <c r="R2317" s="33"/>
    </row>
    <row r="2318" spans="1:18" ht="15" customHeight="1">
      <c r="A2318" s="26"/>
      <c r="B2318" s="26"/>
      <c r="C2318" s="39"/>
      <c r="E2318" s="64"/>
      <c r="F2318" s="64"/>
      <c r="J2318" s="32"/>
      <c r="K2318" s="47"/>
      <c r="M2318" s="32"/>
      <c r="N2318" s="28"/>
      <c r="O2318" s="29"/>
      <c r="P2318" s="36"/>
      <c r="R2318" s="33"/>
    </row>
    <row r="2319" spans="1:18" ht="15" customHeight="1">
      <c r="A2319" s="26"/>
      <c r="B2319" s="26"/>
      <c r="C2319" s="39"/>
      <c r="E2319" s="64"/>
      <c r="F2319" s="64"/>
      <c r="J2319" s="32"/>
      <c r="K2319" s="47"/>
      <c r="M2319" s="32"/>
      <c r="N2319" s="28"/>
      <c r="O2319" s="29"/>
      <c r="P2319" s="36"/>
      <c r="R2319" s="33"/>
    </row>
    <row r="2320" spans="1:18" ht="15" customHeight="1">
      <c r="A2320" s="26"/>
      <c r="B2320" s="26"/>
      <c r="C2320" s="39"/>
      <c r="E2320" s="64"/>
      <c r="F2320" s="64"/>
      <c r="J2320" s="32"/>
      <c r="K2320" s="47"/>
      <c r="M2320" s="32"/>
      <c r="N2320" s="28"/>
      <c r="O2320" s="29"/>
      <c r="P2320" s="36"/>
      <c r="R2320" s="33"/>
    </row>
    <row r="2321" spans="1:18" ht="15" customHeight="1">
      <c r="A2321" s="26"/>
      <c r="B2321" s="26"/>
      <c r="C2321" s="39"/>
      <c r="E2321" s="64"/>
      <c r="F2321" s="64"/>
      <c r="J2321" s="32"/>
      <c r="K2321" s="47"/>
      <c r="M2321" s="32"/>
      <c r="N2321" s="28"/>
      <c r="O2321" s="29"/>
      <c r="P2321" s="36"/>
      <c r="R2321" s="33"/>
    </row>
    <row r="2322" spans="1:18" ht="15" customHeight="1">
      <c r="A2322" s="26"/>
      <c r="B2322" s="26"/>
      <c r="C2322" s="39"/>
      <c r="E2322" s="64"/>
      <c r="F2322" s="64"/>
      <c r="J2322" s="32"/>
      <c r="K2322" s="47"/>
      <c r="M2322" s="32"/>
      <c r="N2322" s="28"/>
      <c r="O2322" s="29"/>
      <c r="P2322" s="36"/>
      <c r="R2322" s="33"/>
    </row>
    <row r="2323" spans="1:18" ht="15" customHeight="1">
      <c r="A2323" s="26"/>
      <c r="B2323" s="26"/>
      <c r="C2323" s="39"/>
      <c r="E2323" s="64"/>
      <c r="F2323" s="64"/>
      <c r="J2323" s="32"/>
      <c r="K2323" s="47"/>
      <c r="M2323" s="32"/>
      <c r="N2323" s="28"/>
      <c r="O2323" s="29"/>
      <c r="P2323" s="36"/>
      <c r="R2323" s="33"/>
    </row>
    <row r="2324" spans="1:18" ht="15" customHeight="1">
      <c r="A2324" s="26"/>
      <c r="B2324" s="26"/>
      <c r="C2324" s="39"/>
      <c r="E2324" s="64"/>
      <c r="F2324" s="64"/>
      <c r="J2324" s="32"/>
      <c r="K2324" s="47"/>
      <c r="M2324" s="32"/>
      <c r="N2324" s="28"/>
      <c r="O2324" s="29"/>
      <c r="P2324" s="36"/>
      <c r="R2324" s="33"/>
    </row>
    <row r="2325" spans="1:18" ht="15" customHeight="1">
      <c r="A2325" s="26"/>
      <c r="B2325" s="26"/>
      <c r="C2325" s="39"/>
      <c r="E2325" s="64"/>
      <c r="F2325" s="64"/>
      <c r="J2325" s="32"/>
      <c r="K2325" s="47"/>
      <c r="M2325" s="32"/>
      <c r="N2325" s="28"/>
      <c r="O2325" s="29"/>
      <c r="P2325" s="36"/>
      <c r="R2325" s="33"/>
    </row>
    <row r="2326" spans="1:18" ht="15" customHeight="1">
      <c r="A2326" s="26"/>
      <c r="B2326" s="26"/>
      <c r="C2326" s="39"/>
      <c r="E2326" s="64"/>
      <c r="F2326" s="64"/>
      <c r="J2326" s="32"/>
      <c r="K2326" s="47"/>
      <c r="M2326" s="32"/>
      <c r="N2326" s="28"/>
      <c r="O2326" s="29"/>
      <c r="P2326" s="36"/>
      <c r="R2326" s="33"/>
    </row>
    <row r="2327" spans="1:18" ht="15" customHeight="1">
      <c r="A2327" s="26"/>
      <c r="B2327" s="26"/>
      <c r="C2327" s="39"/>
      <c r="E2327" s="64"/>
      <c r="F2327" s="64"/>
      <c r="J2327" s="32"/>
      <c r="K2327" s="47"/>
      <c r="M2327" s="32"/>
      <c r="N2327" s="28"/>
      <c r="O2327" s="29"/>
      <c r="P2327" s="36"/>
      <c r="R2327" s="33"/>
    </row>
    <row r="2328" spans="1:18" ht="15" customHeight="1">
      <c r="A2328" s="26"/>
      <c r="B2328" s="26"/>
      <c r="C2328" s="39"/>
      <c r="E2328" s="64"/>
      <c r="F2328" s="64"/>
      <c r="J2328" s="32"/>
      <c r="K2328" s="47"/>
      <c r="M2328" s="32"/>
      <c r="N2328" s="28"/>
      <c r="O2328" s="29"/>
      <c r="P2328" s="36"/>
      <c r="R2328" s="33"/>
    </row>
    <row r="2329" spans="1:18" ht="15" customHeight="1">
      <c r="A2329" s="26"/>
      <c r="B2329" s="26"/>
      <c r="C2329" s="39"/>
      <c r="E2329" s="64"/>
      <c r="F2329" s="64"/>
      <c r="J2329" s="32"/>
      <c r="K2329" s="47"/>
      <c r="M2329" s="32"/>
      <c r="N2329" s="28"/>
      <c r="O2329" s="29"/>
      <c r="P2329" s="36"/>
      <c r="R2329" s="33"/>
    </row>
    <row r="2330" spans="1:18" ht="15" customHeight="1">
      <c r="A2330" s="26"/>
      <c r="B2330" s="26"/>
      <c r="C2330" s="39"/>
      <c r="E2330" s="64"/>
      <c r="F2330" s="64"/>
      <c r="J2330" s="32"/>
      <c r="K2330" s="47"/>
      <c r="M2330" s="32"/>
      <c r="N2330" s="28"/>
      <c r="O2330" s="29"/>
      <c r="P2330" s="36"/>
      <c r="R2330" s="33"/>
    </row>
    <row r="2331" spans="1:18" ht="15" customHeight="1">
      <c r="A2331" s="26"/>
      <c r="B2331" s="26"/>
      <c r="C2331" s="39"/>
      <c r="E2331" s="64"/>
      <c r="F2331" s="64"/>
      <c r="J2331" s="32"/>
      <c r="K2331" s="47"/>
      <c r="M2331" s="32"/>
      <c r="N2331" s="28"/>
      <c r="O2331" s="29"/>
      <c r="P2331" s="36"/>
      <c r="R2331" s="33"/>
    </row>
    <row r="2332" spans="1:18" ht="15" customHeight="1">
      <c r="A2332" s="26"/>
      <c r="B2332" s="26"/>
      <c r="C2332" s="39"/>
      <c r="E2332" s="64"/>
      <c r="F2332" s="64"/>
      <c r="J2332" s="32"/>
      <c r="K2332" s="47"/>
      <c r="M2332" s="32"/>
      <c r="N2332" s="28"/>
      <c r="O2332" s="29"/>
      <c r="P2332" s="36"/>
      <c r="R2332" s="33"/>
    </row>
    <row r="2333" spans="1:18" ht="15" customHeight="1">
      <c r="A2333" s="26"/>
      <c r="B2333" s="26"/>
      <c r="C2333" s="39"/>
      <c r="E2333" s="64"/>
      <c r="F2333" s="64"/>
      <c r="J2333" s="32"/>
      <c r="K2333" s="47"/>
      <c r="M2333" s="32"/>
      <c r="N2333" s="28"/>
      <c r="O2333" s="29"/>
      <c r="P2333" s="36"/>
      <c r="R2333" s="33"/>
    </row>
    <row r="2334" spans="1:18" ht="15" customHeight="1">
      <c r="A2334" s="26"/>
      <c r="B2334" s="26"/>
      <c r="C2334" s="39"/>
      <c r="E2334" s="64"/>
      <c r="F2334" s="64"/>
      <c r="J2334" s="32"/>
      <c r="K2334" s="47"/>
      <c r="M2334" s="32"/>
      <c r="N2334" s="28"/>
      <c r="O2334" s="29"/>
      <c r="P2334" s="36"/>
      <c r="R2334" s="33"/>
    </row>
    <row r="2335" spans="1:18" ht="15" customHeight="1">
      <c r="A2335" s="26"/>
      <c r="B2335" s="26"/>
      <c r="C2335" s="39"/>
      <c r="E2335" s="64"/>
      <c r="F2335" s="64"/>
      <c r="J2335" s="32"/>
      <c r="K2335" s="47"/>
      <c r="M2335" s="32"/>
      <c r="N2335" s="28"/>
      <c r="O2335" s="29"/>
      <c r="P2335" s="36"/>
      <c r="R2335" s="33"/>
    </row>
    <row r="2336" spans="1:18" ht="15" customHeight="1">
      <c r="A2336" s="26"/>
      <c r="B2336" s="26"/>
      <c r="C2336" s="39"/>
      <c r="E2336" s="64"/>
      <c r="F2336" s="64"/>
      <c r="J2336" s="32"/>
      <c r="K2336" s="47"/>
      <c r="M2336" s="32"/>
      <c r="N2336" s="28"/>
      <c r="O2336" s="29"/>
      <c r="P2336" s="36"/>
      <c r="R2336" s="33"/>
    </row>
    <row r="2337" spans="1:18" ht="15" customHeight="1">
      <c r="A2337" s="26"/>
      <c r="B2337" s="26"/>
      <c r="C2337" s="39"/>
      <c r="E2337" s="64"/>
      <c r="F2337" s="64"/>
      <c r="J2337" s="32"/>
      <c r="K2337" s="47"/>
      <c r="M2337" s="32"/>
      <c r="N2337" s="28"/>
      <c r="O2337" s="29"/>
      <c r="P2337" s="36"/>
      <c r="R2337" s="33"/>
    </row>
    <row r="2338" spans="1:18" ht="15" customHeight="1">
      <c r="A2338" s="26"/>
      <c r="B2338" s="26"/>
      <c r="C2338" s="39"/>
      <c r="E2338" s="64"/>
      <c r="F2338" s="64"/>
      <c r="J2338" s="32"/>
      <c r="K2338" s="47"/>
      <c r="M2338" s="32"/>
      <c r="N2338" s="28"/>
      <c r="O2338" s="29"/>
      <c r="P2338" s="36"/>
      <c r="R2338" s="33"/>
    </row>
    <row r="2339" spans="1:18" ht="15" customHeight="1">
      <c r="A2339" s="26"/>
      <c r="B2339" s="26"/>
      <c r="C2339" s="39"/>
      <c r="E2339" s="64"/>
      <c r="F2339" s="64"/>
      <c r="J2339" s="32"/>
      <c r="K2339" s="47"/>
      <c r="M2339" s="32"/>
      <c r="N2339" s="28"/>
      <c r="O2339" s="29"/>
      <c r="P2339" s="36"/>
      <c r="R2339" s="33"/>
    </row>
    <row r="2340" spans="1:18" ht="15" customHeight="1">
      <c r="A2340" s="26"/>
      <c r="B2340" s="26"/>
      <c r="C2340" s="39"/>
      <c r="E2340" s="64"/>
      <c r="F2340" s="64"/>
      <c r="J2340" s="32"/>
      <c r="K2340" s="47"/>
      <c r="M2340" s="32"/>
      <c r="N2340" s="28"/>
      <c r="O2340" s="29"/>
      <c r="P2340" s="36"/>
      <c r="R2340" s="33"/>
    </row>
    <row r="2341" spans="1:18" ht="15" customHeight="1">
      <c r="A2341" s="26"/>
      <c r="B2341" s="26"/>
      <c r="C2341" s="39"/>
      <c r="E2341" s="64"/>
      <c r="F2341" s="64"/>
      <c r="J2341" s="32"/>
      <c r="K2341" s="47"/>
      <c r="M2341" s="32"/>
      <c r="N2341" s="28"/>
      <c r="O2341" s="29"/>
      <c r="P2341" s="36"/>
      <c r="R2341" s="33"/>
    </row>
    <row r="2342" spans="1:18" ht="15" customHeight="1">
      <c r="A2342" s="26"/>
      <c r="B2342" s="26"/>
      <c r="C2342" s="39"/>
      <c r="E2342" s="64"/>
      <c r="F2342" s="64"/>
      <c r="J2342" s="32"/>
      <c r="K2342" s="47"/>
      <c r="M2342" s="32"/>
      <c r="N2342" s="28"/>
      <c r="O2342" s="29"/>
      <c r="P2342" s="36"/>
      <c r="R2342" s="33"/>
    </row>
    <row r="2343" spans="1:18" ht="15" customHeight="1">
      <c r="A2343" s="26"/>
      <c r="B2343" s="26"/>
      <c r="C2343" s="39"/>
      <c r="E2343" s="64"/>
      <c r="F2343" s="64"/>
      <c r="J2343" s="32"/>
      <c r="K2343" s="47"/>
      <c r="M2343" s="32"/>
      <c r="N2343" s="28"/>
      <c r="O2343" s="29"/>
      <c r="P2343" s="36"/>
      <c r="R2343" s="33"/>
    </row>
    <row r="2344" spans="1:18" ht="15" customHeight="1">
      <c r="A2344" s="26"/>
      <c r="B2344" s="26"/>
      <c r="C2344" s="39"/>
      <c r="E2344" s="64"/>
      <c r="F2344" s="64"/>
      <c r="J2344" s="32"/>
      <c r="K2344" s="47"/>
      <c r="M2344" s="32"/>
      <c r="N2344" s="28"/>
      <c r="O2344" s="29"/>
      <c r="P2344" s="36"/>
      <c r="R2344" s="33"/>
    </row>
    <row r="2345" spans="1:18" ht="15" customHeight="1">
      <c r="A2345" s="26"/>
      <c r="B2345" s="26"/>
      <c r="C2345" s="39"/>
      <c r="E2345" s="64"/>
      <c r="F2345" s="64"/>
      <c r="J2345" s="32"/>
      <c r="K2345" s="47"/>
      <c r="M2345" s="32"/>
      <c r="N2345" s="28"/>
      <c r="O2345" s="29"/>
      <c r="P2345" s="36"/>
      <c r="R2345" s="33"/>
    </row>
    <row r="2346" spans="1:18" ht="15" customHeight="1">
      <c r="A2346" s="26"/>
      <c r="B2346" s="26"/>
      <c r="C2346" s="39"/>
      <c r="E2346" s="64"/>
      <c r="F2346" s="64"/>
      <c r="J2346" s="32"/>
      <c r="K2346" s="47"/>
      <c r="M2346" s="32"/>
      <c r="N2346" s="28"/>
      <c r="O2346" s="29"/>
      <c r="P2346" s="36"/>
      <c r="R2346" s="33"/>
    </row>
    <row r="2347" spans="1:18" ht="15" customHeight="1">
      <c r="A2347" s="26"/>
      <c r="B2347" s="26"/>
      <c r="C2347" s="39"/>
      <c r="E2347" s="64"/>
      <c r="F2347" s="64"/>
      <c r="J2347" s="32"/>
      <c r="K2347" s="47"/>
      <c r="M2347" s="32"/>
      <c r="N2347" s="28"/>
      <c r="O2347" s="29"/>
      <c r="P2347" s="36"/>
      <c r="R2347" s="33"/>
    </row>
    <row r="2348" spans="1:18" ht="15" customHeight="1">
      <c r="A2348" s="26"/>
      <c r="B2348" s="26"/>
      <c r="C2348" s="39"/>
      <c r="E2348" s="64"/>
      <c r="F2348" s="64"/>
      <c r="J2348" s="32"/>
      <c r="K2348" s="47"/>
      <c r="M2348" s="32"/>
      <c r="N2348" s="28"/>
      <c r="O2348" s="29"/>
      <c r="P2348" s="36"/>
      <c r="R2348" s="33"/>
    </row>
    <row r="2349" spans="1:18" ht="15" customHeight="1">
      <c r="A2349" s="26"/>
      <c r="B2349" s="26"/>
      <c r="C2349" s="39"/>
      <c r="E2349" s="64"/>
      <c r="F2349" s="64"/>
      <c r="J2349" s="32"/>
      <c r="K2349" s="47"/>
      <c r="M2349" s="32"/>
      <c r="N2349" s="28"/>
      <c r="O2349" s="29"/>
      <c r="P2349" s="36"/>
      <c r="R2349" s="33"/>
    </row>
    <row r="2350" spans="1:18" ht="15" customHeight="1">
      <c r="A2350" s="26"/>
      <c r="B2350" s="26"/>
      <c r="C2350" s="39"/>
      <c r="E2350" s="64"/>
      <c r="F2350" s="64"/>
      <c r="J2350" s="32"/>
      <c r="K2350" s="47"/>
      <c r="M2350" s="32"/>
      <c r="N2350" s="28"/>
      <c r="O2350" s="29"/>
      <c r="P2350" s="36"/>
      <c r="R2350" s="33"/>
    </row>
    <row r="2351" spans="1:18" ht="15" customHeight="1">
      <c r="A2351" s="26"/>
      <c r="B2351" s="26"/>
      <c r="C2351" s="39"/>
      <c r="E2351" s="64"/>
      <c r="F2351" s="64"/>
      <c r="J2351" s="32"/>
      <c r="K2351" s="47"/>
      <c r="M2351" s="32"/>
      <c r="N2351" s="28"/>
      <c r="O2351" s="29"/>
      <c r="P2351" s="36"/>
      <c r="R2351" s="33"/>
    </row>
    <row r="2352" spans="1:18" ht="15" customHeight="1">
      <c r="A2352" s="26"/>
      <c r="B2352" s="26"/>
      <c r="C2352" s="39"/>
      <c r="E2352" s="64"/>
      <c r="F2352" s="64"/>
      <c r="J2352" s="32"/>
      <c r="K2352" s="47"/>
      <c r="M2352" s="32"/>
      <c r="N2352" s="28"/>
      <c r="O2352" s="29"/>
      <c r="P2352" s="36"/>
      <c r="R2352" s="33"/>
    </row>
    <row r="2353" spans="1:18" ht="15" customHeight="1">
      <c r="A2353" s="26"/>
      <c r="B2353" s="26"/>
      <c r="C2353" s="39"/>
      <c r="E2353" s="64"/>
      <c r="F2353" s="64"/>
      <c r="J2353" s="32"/>
      <c r="K2353" s="47"/>
      <c r="M2353" s="32"/>
      <c r="N2353" s="28"/>
      <c r="O2353" s="29"/>
      <c r="P2353" s="36"/>
      <c r="R2353" s="33"/>
    </row>
    <row r="2354" spans="1:18" ht="15" customHeight="1">
      <c r="A2354" s="26"/>
      <c r="B2354" s="26"/>
      <c r="C2354" s="39"/>
      <c r="E2354" s="64"/>
      <c r="F2354" s="64"/>
      <c r="J2354" s="32"/>
      <c r="K2354" s="47"/>
      <c r="M2354" s="32"/>
      <c r="N2354" s="28"/>
      <c r="O2354" s="29"/>
      <c r="P2354" s="36"/>
      <c r="R2354" s="33"/>
    </row>
    <row r="2355" spans="1:18" ht="15" customHeight="1">
      <c r="A2355" s="26"/>
      <c r="B2355" s="26"/>
      <c r="C2355" s="39"/>
      <c r="E2355" s="64"/>
      <c r="F2355" s="64"/>
      <c r="J2355" s="32"/>
      <c r="K2355" s="47"/>
      <c r="M2355" s="32"/>
      <c r="N2355" s="28"/>
      <c r="O2355" s="29"/>
      <c r="P2355" s="36"/>
      <c r="R2355" s="33"/>
    </row>
    <row r="2356" spans="1:18" ht="15" customHeight="1">
      <c r="A2356" s="26"/>
      <c r="B2356" s="26"/>
      <c r="C2356" s="39"/>
      <c r="E2356" s="64"/>
      <c r="F2356" s="64"/>
      <c r="J2356" s="32"/>
      <c r="K2356" s="47"/>
      <c r="M2356" s="32"/>
      <c r="N2356" s="28"/>
      <c r="O2356" s="29"/>
      <c r="P2356" s="36"/>
      <c r="R2356" s="33"/>
    </row>
    <row r="2357" spans="1:18" ht="15" customHeight="1">
      <c r="A2357" s="26"/>
      <c r="B2357" s="26"/>
      <c r="C2357" s="39"/>
      <c r="E2357" s="64"/>
      <c r="F2357" s="64"/>
      <c r="J2357" s="32"/>
      <c r="K2357" s="47"/>
      <c r="M2357" s="32"/>
      <c r="N2357" s="28"/>
      <c r="O2357" s="29"/>
      <c r="P2357" s="36"/>
      <c r="R2357" s="33"/>
    </row>
    <row r="2358" spans="1:18" ht="15" customHeight="1">
      <c r="A2358" s="26"/>
      <c r="B2358" s="26"/>
      <c r="C2358" s="39"/>
      <c r="E2358" s="64"/>
      <c r="F2358" s="64"/>
      <c r="J2358" s="32"/>
      <c r="K2358" s="47"/>
      <c r="M2358" s="32"/>
      <c r="N2358" s="28"/>
      <c r="O2358" s="29"/>
      <c r="P2358" s="36"/>
      <c r="R2358" s="33"/>
    </row>
    <row r="2359" spans="1:18" ht="15" customHeight="1">
      <c r="A2359" s="26"/>
      <c r="B2359" s="26"/>
      <c r="C2359" s="39"/>
      <c r="E2359" s="64"/>
      <c r="F2359" s="64"/>
      <c r="J2359" s="32"/>
      <c r="K2359" s="47"/>
      <c r="M2359" s="32"/>
      <c r="N2359" s="28"/>
      <c r="O2359" s="29"/>
      <c r="P2359" s="36"/>
      <c r="R2359" s="33"/>
    </row>
    <row r="2360" spans="1:18" ht="15" customHeight="1">
      <c r="A2360" s="26"/>
      <c r="B2360" s="26"/>
      <c r="C2360" s="39"/>
      <c r="E2360" s="64"/>
      <c r="F2360" s="64"/>
      <c r="J2360" s="32"/>
      <c r="K2360" s="47"/>
      <c r="M2360" s="32"/>
      <c r="N2360" s="28"/>
      <c r="O2360" s="29"/>
      <c r="P2360" s="36"/>
      <c r="R2360" s="33"/>
    </row>
    <row r="2361" spans="1:18" ht="15" customHeight="1">
      <c r="A2361" s="26"/>
      <c r="B2361" s="26"/>
      <c r="C2361" s="39"/>
      <c r="E2361" s="64"/>
      <c r="F2361" s="64"/>
      <c r="J2361" s="32"/>
      <c r="K2361" s="47"/>
      <c r="M2361" s="32"/>
      <c r="N2361" s="28"/>
      <c r="O2361" s="29"/>
      <c r="P2361" s="36"/>
      <c r="R2361" s="33"/>
    </row>
    <row r="2362" spans="1:18" ht="15" customHeight="1">
      <c r="A2362" s="26"/>
      <c r="B2362" s="26"/>
      <c r="C2362" s="39"/>
      <c r="E2362" s="64"/>
      <c r="F2362" s="64"/>
      <c r="J2362" s="32"/>
      <c r="K2362" s="47"/>
      <c r="M2362" s="32"/>
      <c r="N2362" s="28"/>
      <c r="O2362" s="29"/>
      <c r="P2362" s="36"/>
      <c r="R2362" s="33"/>
    </row>
    <row r="2363" spans="1:18" ht="15" customHeight="1">
      <c r="A2363" s="26"/>
      <c r="B2363" s="26"/>
      <c r="C2363" s="39"/>
      <c r="E2363" s="64"/>
      <c r="F2363" s="64"/>
      <c r="J2363" s="32"/>
      <c r="K2363" s="47"/>
      <c r="M2363" s="32"/>
      <c r="N2363" s="28"/>
      <c r="O2363" s="29"/>
      <c r="P2363" s="36"/>
      <c r="R2363" s="33"/>
    </row>
    <row r="2364" spans="1:18" ht="15" customHeight="1">
      <c r="A2364" s="26"/>
      <c r="B2364" s="26"/>
      <c r="C2364" s="39"/>
      <c r="E2364" s="64"/>
      <c r="F2364" s="64"/>
      <c r="J2364" s="32"/>
      <c r="K2364" s="47"/>
      <c r="M2364" s="32"/>
      <c r="N2364" s="28"/>
      <c r="O2364" s="29"/>
      <c r="P2364" s="36"/>
      <c r="R2364" s="33"/>
    </row>
    <row r="2365" spans="1:18" ht="15" customHeight="1">
      <c r="A2365" s="26"/>
      <c r="B2365" s="26"/>
      <c r="C2365" s="39"/>
      <c r="E2365" s="64"/>
      <c r="F2365" s="64"/>
      <c r="J2365" s="32"/>
      <c r="K2365" s="47"/>
      <c r="M2365" s="32"/>
      <c r="N2365" s="28"/>
      <c r="O2365" s="29"/>
      <c r="P2365" s="36"/>
      <c r="R2365" s="33"/>
    </row>
    <row r="2366" spans="1:18" ht="15" customHeight="1">
      <c r="A2366" s="26"/>
      <c r="B2366" s="26"/>
      <c r="C2366" s="39"/>
      <c r="E2366" s="64"/>
      <c r="F2366" s="64"/>
      <c r="J2366" s="32"/>
      <c r="K2366" s="47"/>
      <c r="M2366" s="32"/>
      <c r="N2366" s="28"/>
      <c r="O2366" s="29"/>
      <c r="P2366" s="36"/>
      <c r="R2366" s="33"/>
    </row>
    <row r="2367" spans="1:18" ht="15" customHeight="1">
      <c r="A2367" s="26"/>
      <c r="B2367" s="26"/>
      <c r="C2367" s="39"/>
      <c r="E2367" s="64"/>
      <c r="F2367" s="64"/>
      <c r="J2367" s="32"/>
      <c r="K2367" s="47"/>
      <c r="M2367" s="32"/>
      <c r="N2367" s="28"/>
      <c r="O2367" s="29"/>
      <c r="P2367" s="36"/>
      <c r="R2367" s="33"/>
    </row>
    <row r="2368" spans="1:18" ht="15" customHeight="1">
      <c r="A2368" s="26"/>
      <c r="B2368" s="26"/>
      <c r="C2368" s="39"/>
      <c r="E2368" s="64"/>
      <c r="F2368" s="64"/>
      <c r="J2368" s="32"/>
      <c r="K2368" s="47"/>
      <c r="M2368" s="32"/>
      <c r="N2368" s="28"/>
      <c r="O2368" s="29"/>
      <c r="P2368" s="36"/>
      <c r="R2368" s="33"/>
    </row>
    <row r="2369" spans="1:18" ht="15" customHeight="1">
      <c r="A2369" s="26"/>
      <c r="B2369" s="26"/>
      <c r="C2369" s="39"/>
      <c r="E2369" s="64"/>
      <c r="F2369" s="64"/>
      <c r="J2369" s="32"/>
      <c r="K2369" s="47"/>
      <c r="M2369" s="32"/>
      <c r="N2369" s="28"/>
      <c r="O2369" s="29"/>
      <c r="P2369" s="36"/>
      <c r="R2369" s="33"/>
    </row>
    <row r="2370" spans="1:18" ht="15" customHeight="1">
      <c r="A2370" s="26"/>
      <c r="B2370" s="26"/>
      <c r="C2370" s="39"/>
      <c r="E2370" s="64"/>
      <c r="F2370" s="64"/>
      <c r="J2370" s="32"/>
      <c r="K2370" s="47"/>
      <c r="M2370" s="32"/>
      <c r="N2370" s="28"/>
      <c r="O2370" s="29"/>
      <c r="P2370" s="36"/>
      <c r="R2370" s="33"/>
    </row>
    <row r="2371" spans="1:18" ht="15" customHeight="1">
      <c r="A2371" s="26"/>
      <c r="B2371" s="26"/>
      <c r="C2371" s="39"/>
      <c r="E2371" s="64"/>
      <c r="F2371" s="64"/>
      <c r="J2371" s="32"/>
      <c r="K2371" s="47"/>
      <c r="M2371" s="32"/>
      <c r="N2371" s="28"/>
      <c r="O2371" s="29"/>
      <c r="P2371" s="36"/>
      <c r="R2371" s="33"/>
    </row>
    <row r="2372" spans="1:18" ht="15" customHeight="1">
      <c r="A2372" s="26"/>
      <c r="B2372" s="26"/>
      <c r="C2372" s="39"/>
      <c r="E2372" s="64"/>
      <c r="F2372" s="64"/>
      <c r="J2372" s="32"/>
      <c r="K2372" s="47"/>
      <c r="M2372" s="32"/>
      <c r="N2372" s="28"/>
      <c r="O2372" s="29"/>
      <c r="P2372" s="36"/>
      <c r="R2372" s="33"/>
    </row>
    <row r="2373" spans="1:18" ht="15" customHeight="1">
      <c r="A2373" s="26"/>
      <c r="B2373" s="26"/>
      <c r="C2373" s="39"/>
      <c r="E2373" s="64"/>
      <c r="F2373" s="64"/>
      <c r="J2373" s="32"/>
      <c r="K2373" s="47"/>
      <c r="M2373" s="32"/>
      <c r="N2373" s="28"/>
      <c r="O2373" s="29"/>
      <c r="P2373" s="36"/>
      <c r="R2373" s="33"/>
    </row>
    <row r="2374" spans="1:18" ht="15" customHeight="1">
      <c r="A2374" s="26"/>
      <c r="B2374" s="26"/>
      <c r="C2374" s="39"/>
      <c r="E2374" s="64"/>
      <c r="F2374" s="64"/>
      <c r="J2374" s="32"/>
      <c r="K2374" s="47"/>
      <c r="M2374" s="32"/>
      <c r="N2374" s="28"/>
      <c r="O2374" s="29"/>
      <c r="P2374" s="36"/>
      <c r="R2374" s="33"/>
    </row>
    <row r="2375" spans="1:18" ht="15" customHeight="1">
      <c r="A2375" s="26"/>
      <c r="B2375" s="26"/>
      <c r="C2375" s="39"/>
      <c r="E2375" s="64"/>
      <c r="F2375" s="64"/>
      <c r="J2375" s="32"/>
      <c r="K2375" s="47"/>
      <c r="M2375" s="32"/>
      <c r="N2375" s="28"/>
      <c r="O2375" s="29"/>
      <c r="P2375" s="36"/>
      <c r="R2375" s="33"/>
    </row>
    <row r="2376" spans="1:18" ht="15" customHeight="1">
      <c r="A2376" s="26"/>
      <c r="B2376" s="26"/>
      <c r="C2376" s="39"/>
      <c r="E2376" s="64"/>
      <c r="F2376" s="64"/>
      <c r="J2376" s="32"/>
      <c r="K2376" s="47"/>
      <c r="M2376" s="32"/>
      <c r="N2376" s="28"/>
      <c r="O2376" s="29"/>
      <c r="P2376" s="36"/>
      <c r="R2376" s="33"/>
    </row>
    <row r="2377" spans="1:18" ht="15" customHeight="1">
      <c r="A2377" s="26"/>
      <c r="B2377" s="26"/>
      <c r="C2377" s="66"/>
      <c r="E2377" s="64"/>
      <c r="F2377" s="64"/>
      <c r="J2377" s="32"/>
      <c r="K2377" s="47"/>
      <c r="M2377" s="32"/>
      <c r="N2377" s="28"/>
      <c r="O2377" s="29"/>
      <c r="P2377" s="36"/>
      <c r="R2377" s="33"/>
    </row>
    <row r="2378" spans="1:18" ht="15" customHeight="1">
      <c r="A2378" s="26"/>
      <c r="B2378" s="26"/>
      <c r="C2378" s="67"/>
      <c r="E2378" s="64"/>
      <c r="F2378" s="64"/>
      <c r="J2378" s="32"/>
      <c r="K2378" s="47"/>
      <c r="M2378" s="32"/>
      <c r="N2378" s="28"/>
      <c r="O2378" s="29"/>
      <c r="P2378" s="36"/>
      <c r="R2378" s="33"/>
    </row>
    <row r="2379" spans="1:18" ht="15" customHeight="1">
      <c r="A2379" s="26"/>
      <c r="B2379" s="26"/>
      <c r="C2379" s="67"/>
      <c r="E2379" s="64"/>
      <c r="F2379" s="64"/>
      <c r="J2379" s="32"/>
      <c r="K2379" s="47"/>
      <c r="M2379" s="32"/>
      <c r="N2379" s="28"/>
      <c r="O2379" s="29"/>
      <c r="P2379" s="36"/>
      <c r="R2379" s="33"/>
    </row>
    <row r="2380" spans="1:18" ht="15" customHeight="1">
      <c r="A2380" s="26"/>
      <c r="B2380" s="26"/>
      <c r="C2380" s="67"/>
      <c r="E2380" s="64"/>
      <c r="F2380" s="64"/>
      <c r="J2380" s="32"/>
      <c r="K2380" s="47"/>
      <c r="M2380" s="32"/>
      <c r="N2380" s="28"/>
      <c r="O2380" s="29"/>
      <c r="P2380" s="36"/>
      <c r="R2380" s="33"/>
    </row>
    <row r="2381" spans="1:18" ht="15" customHeight="1">
      <c r="A2381" s="26"/>
      <c r="B2381" s="26"/>
      <c r="C2381" s="67"/>
      <c r="E2381" s="64"/>
      <c r="F2381" s="64"/>
      <c r="J2381" s="32"/>
      <c r="K2381" s="47"/>
      <c r="M2381" s="32"/>
      <c r="N2381" s="28"/>
      <c r="O2381" s="29"/>
      <c r="P2381" s="36"/>
      <c r="R2381" s="33"/>
    </row>
    <row r="2382" spans="1:18" ht="15" customHeight="1">
      <c r="A2382" s="26"/>
      <c r="B2382" s="26"/>
      <c r="C2382" s="67"/>
      <c r="E2382" s="64"/>
      <c r="F2382" s="64"/>
      <c r="J2382" s="32"/>
      <c r="K2382" s="47"/>
      <c r="M2382" s="32"/>
      <c r="N2382" s="28"/>
      <c r="O2382" s="29"/>
      <c r="P2382" s="36"/>
      <c r="R2382" s="33"/>
    </row>
    <row r="2383" spans="1:18" ht="15" customHeight="1">
      <c r="A2383" s="26"/>
      <c r="B2383" s="26"/>
      <c r="C2383" s="67"/>
      <c r="E2383" s="64"/>
      <c r="F2383" s="64"/>
      <c r="J2383" s="32"/>
      <c r="K2383" s="47"/>
      <c r="M2383" s="32"/>
      <c r="N2383" s="28"/>
      <c r="O2383" s="29"/>
      <c r="P2383" s="36"/>
      <c r="R2383" s="33"/>
    </row>
    <row r="2384" spans="1:18" ht="15" customHeight="1">
      <c r="A2384" s="26"/>
      <c r="B2384" s="26"/>
      <c r="C2384" s="67"/>
      <c r="E2384" s="64"/>
      <c r="F2384" s="64"/>
      <c r="J2384" s="32"/>
      <c r="K2384" s="47"/>
      <c r="M2384" s="32"/>
      <c r="N2384" s="28"/>
      <c r="O2384" s="29"/>
      <c r="P2384" s="36"/>
      <c r="R2384" s="33"/>
    </row>
    <row r="2385" spans="1:18" ht="15" customHeight="1">
      <c r="A2385" s="26"/>
      <c r="B2385" s="26"/>
      <c r="C2385" s="67"/>
      <c r="E2385" s="64"/>
      <c r="F2385" s="64"/>
      <c r="J2385" s="32"/>
      <c r="K2385" s="47"/>
      <c r="M2385" s="32"/>
      <c r="N2385" s="28"/>
      <c r="O2385" s="29"/>
      <c r="P2385" s="36"/>
      <c r="R2385" s="33"/>
    </row>
    <row r="2386" spans="1:18" ht="15" customHeight="1">
      <c r="A2386" s="26"/>
      <c r="B2386" s="26"/>
      <c r="C2386" s="67"/>
      <c r="E2386" s="64"/>
      <c r="F2386" s="64"/>
      <c r="J2386" s="32"/>
      <c r="K2386" s="47"/>
      <c r="M2386" s="32"/>
      <c r="N2386" s="28"/>
      <c r="O2386" s="29"/>
      <c r="P2386" s="36"/>
      <c r="R2386" s="33"/>
    </row>
    <row r="2387" spans="1:18" ht="15" customHeight="1">
      <c r="A2387" s="26"/>
      <c r="B2387" s="26"/>
      <c r="C2387" s="67"/>
      <c r="E2387" s="64"/>
      <c r="F2387" s="64"/>
      <c r="J2387" s="32"/>
      <c r="K2387" s="47"/>
      <c r="M2387" s="32"/>
      <c r="N2387" s="28"/>
      <c r="O2387" s="29"/>
      <c r="P2387" s="36"/>
      <c r="R2387" s="33"/>
    </row>
    <row r="2388" spans="1:18" ht="15" customHeight="1">
      <c r="A2388" s="26"/>
      <c r="B2388" s="26"/>
      <c r="C2388" s="39"/>
      <c r="E2388" s="64"/>
      <c r="F2388" s="64"/>
      <c r="J2388" s="32"/>
      <c r="K2388" s="47"/>
      <c r="M2388" s="32"/>
      <c r="N2388" s="28"/>
      <c r="O2388" s="29"/>
      <c r="P2388" s="36"/>
      <c r="R2388" s="33"/>
    </row>
    <row r="2389" spans="1:18" ht="15" customHeight="1">
      <c r="A2389" s="26"/>
      <c r="B2389" s="26"/>
      <c r="C2389" s="39"/>
      <c r="E2389" s="64"/>
      <c r="F2389" s="64"/>
      <c r="J2389" s="32"/>
      <c r="K2389" s="47"/>
      <c r="M2389" s="32"/>
      <c r="N2389" s="28"/>
      <c r="O2389" s="29"/>
      <c r="P2389" s="36"/>
      <c r="R2389" s="33"/>
    </row>
    <row r="2390" spans="1:18" ht="15" customHeight="1">
      <c r="A2390" s="26"/>
      <c r="B2390" s="26"/>
      <c r="C2390" s="39"/>
      <c r="E2390" s="64"/>
      <c r="F2390" s="64"/>
      <c r="J2390" s="32"/>
      <c r="K2390" s="47"/>
      <c r="M2390" s="32"/>
      <c r="N2390" s="28"/>
      <c r="O2390" s="29"/>
      <c r="P2390" s="36"/>
      <c r="R2390" s="33"/>
    </row>
    <row r="2391" spans="1:18" ht="15" customHeight="1">
      <c r="A2391" s="26"/>
      <c r="B2391" s="26"/>
      <c r="C2391" s="39"/>
      <c r="E2391" s="64"/>
      <c r="F2391" s="64"/>
      <c r="J2391" s="32"/>
      <c r="K2391" s="47"/>
      <c r="M2391" s="32"/>
      <c r="N2391" s="28"/>
      <c r="O2391" s="29"/>
      <c r="P2391" s="36"/>
      <c r="R2391" s="33"/>
    </row>
    <row r="2392" spans="1:18" ht="15" customHeight="1">
      <c r="A2392" s="26"/>
      <c r="B2392" s="26"/>
      <c r="C2392" s="39"/>
      <c r="E2392" s="64"/>
      <c r="F2392" s="64"/>
      <c r="J2392" s="32"/>
      <c r="K2392" s="47"/>
      <c r="M2392" s="32"/>
      <c r="N2392" s="28"/>
      <c r="O2392" s="29"/>
      <c r="P2392" s="36"/>
      <c r="R2392" s="33"/>
    </row>
    <row r="2393" spans="1:18" ht="15" customHeight="1">
      <c r="A2393" s="26"/>
      <c r="B2393" s="26"/>
      <c r="C2393" s="39"/>
      <c r="E2393" s="64"/>
      <c r="F2393" s="64"/>
      <c r="J2393" s="32"/>
      <c r="K2393" s="47"/>
      <c r="M2393" s="32"/>
      <c r="N2393" s="28"/>
      <c r="O2393" s="29"/>
      <c r="P2393" s="36"/>
      <c r="R2393" s="33"/>
    </row>
    <row r="2394" spans="1:18" ht="15" customHeight="1">
      <c r="A2394" s="26"/>
      <c r="B2394" s="26"/>
      <c r="C2394" s="39"/>
      <c r="E2394" s="64"/>
      <c r="F2394" s="64"/>
      <c r="J2394" s="32"/>
      <c r="K2394" s="47"/>
      <c r="M2394" s="32"/>
      <c r="N2394" s="28"/>
      <c r="O2394" s="29"/>
      <c r="P2394" s="36"/>
      <c r="R2394" s="33"/>
    </row>
    <row r="2395" spans="1:18" ht="15" customHeight="1">
      <c r="A2395" s="26"/>
      <c r="B2395" s="26"/>
      <c r="C2395" s="39"/>
      <c r="E2395" s="64"/>
      <c r="F2395" s="64"/>
      <c r="J2395" s="32"/>
      <c r="K2395" s="47"/>
      <c r="M2395" s="32"/>
      <c r="N2395" s="28"/>
      <c r="O2395" s="29"/>
      <c r="P2395" s="36"/>
      <c r="R2395" s="33"/>
    </row>
    <row r="2396" spans="1:18" ht="15" customHeight="1">
      <c r="A2396" s="26"/>
      <c r="B2396" s="26"/>
      <c r="C2396" s="39"/>
      <c r="E2396" s="64"/>
      <c r="F2396" s="64"/>
      <c r="J2396" s="32"/>
      <c r="K2396" s="47"/>
      <c r="M2396" s="32"/>
      <c r="N2396" s="28"/>
      <c r="O2396" s="29"/>
      <c r="P2396" s="36"/>
      <c r="R2396" s="33"/>
    </row>
    <row r="2397" spans="1:18" ht="15" customHeight="1">
      <c r="A2397" s="26"/>
      <c r="B2397" s="26"/>
      <c r="C2397" s="39"/>
      <c r="E2397" s="64"/>
      <c r="F2397" s="64"/>
      <c r="J2397" s="32"/>
      <c r="K2397" s="47"/>
      <c r="M2397" s="32"/>
      <c r="N2397" s="28"/>
      <c r="O2397" s="29"/>
      <c r="P2397" s="36"/>
      <c r="R2397" s="33"/>
    </row>
    <row r="2398" spans="1:18" ht="15" customHeight="1">
      <c r="A2398" s="26"/>
      <c r="B2398" s="26"/>
      <c r="C2398" s="39"/>
      <c r="E2398" s="64"/>
      <c r="F2398" s="64"/>
      <c r="J2398" s="32"/>
      <c r="K2398" s="47"/>
      <c r="M2398" s="32"/>
      <c r="N2398" s="28"/>
      <c r="O2398" s="29"/>
      <c r="P2398" s="36"/>
      <c r="R2398" s="33"/>
    </row>
    <row r="2399" spans="1:18" ht="15" customHeight="1">
      <c r="A2399" s="26"/>
      <c r="B2399" s="26"/>
      <c r="C2399" s="39"/>
      <c r="E2399" s="64"/>
      <c r="F2399" s="64"/>
      <c r="J2399" s="32"/>
      <c r="K2399" s="47"/>
      <c r="M2399" s="32"/>
      <c r="N2399" s="28"/>
      <c r="O2399" s="29"/>
      <c r="P2399" s="36"/>
      <c r="R2399" s="33"/>
    </row>
    <row r="2400" spans="1:18" ht="15" customHeight="1">
      <c r="A2400" s="26"/>
      <c r="B2400" s="26"/>
      <c r="C2400" s="39"/>
      <c r="E2400" s="64"/>
      <c r="F2400" s="64"/>
      <c r="J2400" s="32"/>
      <c r="K2400" s="47"/>
      <c r="M2400" s="32"/>
      <c r="N2400" s="28"/>
      <c r="O2400" s="29"/>
      <c r="P2400" s="36"/>
      <c r="R2400" s="33"/>
    </row>
    <row r="2401" spans="1:18" ht="15" customHeight="1">
      <c r="A2401" s="26"/>
      <c r="B2401" s="26"/>
      <c r="C2401" s="39"/>
      <c r="E2401" s="64"/>
      <c r="F2401" s="64"/>
      <c r="J2401" s="32"/>
      <c r="K2401" s="47"/>
      <c r="M2401" s="32"/>
      <c r="N2401" s="28"/>
      <c r="O2401" s="29"/>
      <c r="P2401" s="36"/>
      <c r="R2401" s="33"/>
    </row>
    <row r="2402" spans="1:18" ht="15" customHeight="1">
      <c r="A2402" s="26"/>
      <c r="B2402" s="26"/>
      <c r="C2402" s="39"/>
      <c r="E2402" s="64"/>
      <c r="F2402" s="64"/>
      <c r="J2402" s="32"/>
      <c r="K2402" s="47"/>
      <c r="M2402" s="32"/>
      <c r="N2402" s="28"/>
      <c r="O2402" s="29"/>
      <c r="P2402" s="36"/>
      <c r="R2402" s="33"/>
    </row>
    <row r="2403" spans="1:18" ht="15" customHeight="1">
      <c r="A2403" s="26"/>
      <c r="B2403" s="26"/>
      <c r="C2403" s="39"/>
      <c r="E2403" s="64"/>
      <c r="F2403" s="64"/>
      <c r="J2403" s="32"/>
      <c r="K2403" s="47"/>
      <c r="M2403" s="32"/>
      <c r="N2403" s="28"/>
      <c r="O2403" s="29"/>
      <c r="P2403" s="36"/>
      <c r="R2403" s="33"/>
    </row>
    <row r="2404" spans="1:18" ht="15" customHeight="1">
      <c r="A2404" s="26"/>
      <c r="B2404" s="26"/>
      <c r="C2404" s="39"/>
      <c r="E2404" s="64"/>
      <c r="F2404" s="64"/>
      <c r="J2404" s="32"/>
      <c r="K2404" s="47"/>
      <c r="M2404" s="32"/>
      <c r="N2404" s="28"/>
      <c r="O2404" s="29"/>
      <c r="P2404" s="36"/>
      <c r="R2404" s="33"/>
    </row>
    <row r="2405" spans="1:18" ht="15" customHeight="1">
      <c r="A2405" s="26"/>
      <c r="B2405" s="26"/>
      <c r="C2405" s="39"/>
      <c r="E2405" s="64"/>
      <c r="F2405" s="64"/>
      <c r="J2405" s="32"/>
      <c r="K2405" s="47"/>
      <c r="M2405" s="32"/>
      <c r="N2405" s="28"/>
      <c r="O2405" s="29"/>
      <c r="P2405" s="36"/>
      <c r="R2405" s="33"/>
    </row>
    <row r="2406" spans="1:18" ht="15" customHeight="1">
      <c r="A2406" s="26"/>
      <c r="B2406" s="26"/>
      <c r="C2406" s="39"/>
      <c r="E2406" s="64"/>
      <c r="F2406" s="64"/>
      <c r="J2406" s="32"/>
      <c r="K2406" s="47"/>
      <c r="M2406" s="32"/>
      <c r="N2406" s="28"/>
      <c r="O2406" s="29"/>
      <c r="P2406" s="36"/>
      <c r="R2406" s="33"/>
    </row>
    <row r="2407" spans="1:18" ht="15" customHeight="1">
      <c r="A2407" s="26"/>
      <c r="B2407" s="26"/>
      <c r="C2407" s="39"/>
      <c r="E2407" s="64"/>
      <c r="F2407" s="64"/>
      <c r="J2407" s="32"/>
      <c r="K2407" s="47"/>
      <c r="M2407" s="32"/>
      <c r="N2407" s="28"/>
      <c r="O2407" s="29"/>
      <c r="P2407" s="36"/>
      <c r="R2407" s="33"/>
    </row>
    <row r="2408" spans="1:18" ht="15" customHeight="1">
      <c r="A2408" s="26"/>
      <c r="B2408" s="26"/>
      <c r="C2408" s="39"/>
      <c r="E2408" s="64"/>
      <c r="F2408" s="64"/>
      <c r="J2408" s="32"/>
      <c r="K2408" s="47"/>
      <c r="M2408" s="32"/>
      <c r="N2408" s="28"/>
      <c r="O2408" s="29"/>
      <c r="P2408" s="36"/>
      <c r="R2408" s="33"/>
    </row>
    <row r="2409" spans="1:18" ht="15" customHeight="1">
      <c r="A2409" s="26"/>
      <c r="B2409" s="26"/>
      <c r="C2409" s="39"/>
      <c r="E2409" s="64"/>
      <c r="F2409" s="64"/>
      <c r="J2409" s="32"/>
      <c r="K2409" s="47"/>
      <c r="M2409" s="32"/>
      <c r="N2409" s="28"/>
      <c r="O2409" s="29"/>
      <c r="P2409" s="36"/>
      <c r="R2409" s="33"/>
    </row>
    <row r="2410" spans="1:18" ht="15" customHeight="1">
      <c r="A2410" s="26"/>
      <c r="B2410" s="26"/>
      <c r="C2410" s="39"/>
      <c r="E2410" s="64"/>
      <c r="F2410" s="64"/>
      <c r="J2410" s="32"/>
      <c r="K2410" s="47"/>
      <c r="M2410" s="32"/>
      <c r="N2410" s="28"/>
      <c r="O2410" s="29"/>
      <c r="P2410" s="36"/>
      <c r="R2410" s="33"/>
    </row>
    <row r="2411" spans="1:18" ht="15" customHeight="1">
      <c r="A2411" s="26"/>
      <c r="B2411" s="26"/>
      <c r="C2411" s="39"/>
      <c r="E2411" s="64"/>
      <c r="F2411" s="64"/>
      <c r="J2411" s="32"/>
      <c r="K2411" s="47"/>
      <c r="M2411" s="32"/>
      <c r="N2411" s="28"/>
      <c r="O2411" s="29"/>
      <c r="P2411" s="36"/>
      <c r="R2411" s="33"/>
    </row>
    <row r="2412" spans="1:18" ht="15" customHeight="1">
      <c r="A2412" s="26"/>
      <c r="B2412" s="26"/>
      <c r="C2412" s="39"/>
      <c r="E2412" s="64"/>
      <c r="F2412" s="64"/>
      <c r="J2412" s="32"/>
      <c r="K2412" s="47"/>
      <c r="M2412" s="32"/>
      <c r="N2412" s="28"/>
      <c r="O2412" s="29"/>
      <c r="P2412" s="36"/>
      <c r="R2412" s="33"/>
    </row>
    <row r="2413" spans="1:18" ht="15" customHeight="1">
      <c r="A2413" s="26"/>
      <c r="B2413" s="26"/>
      <c r="C2413" s="39"/>
      <c r="E2413" s="64"/>
      <c r="F2413" s="64"/>
      <c r="J2413" s="32"/>
      <c r="K2413" s="47"/>
      <c r="M2413" s="32"/>
      <c r="N2413" s="28"/>
      <c r="O2413" s="29"/>
      <c r="P2413" s="36"/>
      <c r="R2413" s="33"/>
    </row>
    <row r="2414" spans="1:18" ht="15" customHeight="1">
      <c r="A2414" s="26"/>
      <c r="B2414" s="26"/>
      <c r="C2414" s="39"/>
      <c r="E2414" s="64"/>
      <c r="F2414" s="64"/>
      <c r="J2414" s="32"/>
      <c r="K2414" s="47"/>
      <c r="M2414" s="32"/>
      <c r="N2414" s="28"/>
      <c r="O2414" s="29"/>
      <c r="P2414" s="36"/>
      <c r="R2414" s="33"/>
    </row>
    <row r="2415" spans="1:18" ht="15" customHeight="1">
      <c r="A2415" s="26"/>
      <c r="B2415" s="26"/>
      <c r="C2415" s="39"/>
      <c r="E2415" s="64"/>
      <c r="F2415" s="64"/>
      <c r="J2415" s="32"/>
      <c r="K2415" s="47"/>
      <c r="M2415" s="32"/>
      <c r="N2415" s="28"/>
      <c r="O2415" s="29"/>
      <c r="P2415" s="36"/>
      <c r="R2415" s="33"/>
    </row>
    <row r="2416" spans="1:18" ht="15" customHeight="1">
      <c r="A2416" s="26"/>
      <c r="B2416" s="26"/>
      <c r="C2416" s="39"/>
      <c r="E2416" s="64"/>
      <c r="F2416" s="64"/>
      <c r="J2416" s="32"/>
      <c r="K2416" s="47"/>
      <c r="M2416" s="32"/>
      <c r="N2416" s="28"/>
      <c r="O2416" s="29"/>
      <c r="P2416" s="36"/>
      <c r="R2416" s="33"/>
    </row>
    <row r="2417" spans="1:18" ht="15" customHeight="1">
      <c r="A2417" s="26"/>
      <c r="B2417" s="26"/>
      <c r="C2417" s="39"/>
      <c r="E2417" s="64"/>
      <c r="F2417" s="64"/>
      <c r="J2417" s="32"/>
      <c r="K2417" s="47"/>
      <c r="M2417" s="32"/>
      <c r="N2417" s="28"/>
      <c r="O2417" s="29"/>
      <c r="P2417" s="36"/>
      <c r="R2417" s="33"/>
    </row>
    <row r="2418" spans="1:18" ht="15" customHeight="1">
      <c r="A2418" s="26"/>
      <c r="B2418" s="26"/>
      <c r="C2418" s="39"/>
      <c r="E2418" s="64"/>
      <c r="F2418" s="64"/>
      <c r="J2418" s="32"/>
      <c r="K2418" s="47"/>
      <c r="M2418" s="32"/>
      <c r="N2418" s="28"/>
      <c r="O2418" s="29"/>
      <c r="P2418" s="36"/>
      <c r="R2418" s="33"/>
    </row>
    <row r="2419" spans="1:18" ht="15" customHeight="1">
      <c r="A2419" s="26"/>
      <c r="B2419" s="26"/>
      <c r="C2419" s="39"/>
      <c r="E2419" s="64"/>
      <c r="F2419" s="64"/>
      <c r="J2419" s="32"/>
      <c r="K2419" s="47"/>
      <c r="M2419" s="32"/>
      <c r="N2419" s="28"/>
      <c r="O2419" s="29"/>
      <c r="P2419" s="36"/>
      <c r="R2419" s="33"/>
    </row>
    <row r="2420" spans="1:18" ht="15" customHeight="1">
      <c r="A2420" s="26"/>
      <c r="B2420" s="26"/>
      <c r="C2420" s="39"/>
      <c r="E2420" s="64"/>
      <c r="F2420" s="64"/>
      <c r="J2420" s="32"/>
      <c r="K2420" s="47"/>
      <c r="M2420" s="32"/>
      <c r="N2420" s="28"/>
      <c r="O2420" s="29"/>
      <c r="P2420" s="36"/>
      <c r="R2420" s="33"/>
    </row>
    <row r="2421" spans="1:18" ht="15" customHeight="1">
      <c r="A2421" s="26"/>
      <c r="B2421" s="26"/>
      <c r="C2421" s="39"/>
      <c r="E2421" s="64"/>
      <c r="F2421" s="64"/>
      <c r="J2421" s="32"/>
      <c r="K2421" s="47"/>
      <c r="M2421" s="32"/>
      <c r="N2421" s="28"/>
      <c r="O2421" s="29"/>
      <c r="P2421" s="36"/>
      <c r="R2421" s="33"/>
    </row>
    <row r="2422" spans="1:18" ht="15" customHeight="1">
      <c r="A2422" s="26"/>
      <c r="B2422" s="26"/>
      <c r="C2422" s="39"/>
      <c r="E2422" s="64"/>
      <c r="F2422" s="64"/>
      <c r="J2422" s="32"/>
      <c r="K2422" s="47"/>
      <c r="M2422" s="32"/>
      <c r="N2422" s="28"/>
      <c r="O2422" s="29"/>
      <c r="P2422" s="36"/>
      <c r="R2422" s="33"/>
    </row>
    <row r="2423" spans="1:18" ht="15" customHeight="1">
      <c r="A2423" s="26"/>
      <c r="B2423" s="26"/>
      <c r="C2423" s="39"/>
      <c r="E2423" s="64"/>
      <c r="F2423" s="64"/>
      <c r="J2423" s="32"/>
      <c r="K2423" s="47"/>
      <c r="M2423" s="32"/>
      <c r="N2423" s="28"/>
      <c r="O2423" s="29"/>
      <c r="P2423" s="36"/>
      <c r="R2423" s="33"/>
    </row>
    <row r="2424" spans="1:18" ht="15" customHeight="1">
      <c r="A2424" s="26"/>
      <c r="B2424" s="26"/>
      <c r="C2424" s="39"/>
      <c r="E2424" s="64"/>
      <c r="F2424" s="64"/>
      <c r="J2424" s="32"/>
      <c r="K2424" s="47"/>
      <c r="M2424" s="32"/>
      <c r="N2424" s="28"/>
      <c r="O2424" s="29"/>
      <c r="P2424" s="36"/>
      <c r="R2424" s="33"/>
    </row>
    <row r="2425" spans="1:18" ht="15" customHeight="1">
      <c r="A2425" s="26"/>
      <c r="B2425" s="26"/>
      <c r="C2425" s="39"/>
      <c r="E2425" s="64"/>
      <c r="F2425" s="64"/>
      <c r="J2425" s="32"/>
      <c r="K2425" s="47"/>
      <c r="M2425" s="32"/>
      <c r="N2425" s="28"/>
      <c r="O2425" s="29"/>
      <c r="P2425" s="36"/>
      <c r="R2425" s="33"/>
    </row>
    <row r="2426" spans="1:18" ht="15" customHeight="1">
      <c r="A2426" s="26"/>
      <c r="B2426" s="26"/>
      <c r="C2426" s="39"/>
      <c r="E2426" s="64"/>
      <c r="F2426" s="64"/>
      <c r="J2426" s="32"/>
      <c r="K2426" s="47"/>
      <c r="M2426" s="32"/>
      <c r="N2426" s="28"/>
      <c r="O2426" s="29"/>
      <c r="P2426" s="36"/>
      <c r="R2426" s="33"/>
    </row>
    <row r="2427" spans="1:18" ht="15" customHeight="1">
      <c r="A2427" s="26"/>
      <c r="B2427" s="26"/>
      <c r="C2427" s="39"/>
      <c r="E2427" s="64"/>
      <c r="F2427" s="64"/>
      <c r="J2427" s="32"/>
      <c r="K2427" s="47"/>
      <c r="M2427" s="32"/>
      <c r="N2427" s="28"/>
      <c r="O2427" s="29"/>
      <c r="P2427" s="36"/>
      <c r="R2427" s="33"/>
    </row>
    <row r="2428" spans="1:18" ht="15" customHeight="1">
      <c r="A2428" s="26"/>
      <c r="B2428" s="26"/>
      <c r="C2428" s="39"/>
      <c r="E2428" s="64"/>
      <c r="F2428" s="64"/>
      <c r="J2428" s="32"/>
      <c r="K2428" s="47"/>
      <c r="M2428" s="32"/>
      <c r="N2428" s="28"/>
      <c r="O2428" s="29"/>
      <c r="P2428" s="36"/>
      <c r="R2428" s="33"/>
    </row>
    <row r="2429" spans="1:18" ht="15" customHeight="1">
      <c r="A2429" s="26"/>
      <c r="B2429" s="26"/>
      <c r="C2429" s="39"/>
      <c r="E2429" s="64"/>
      <c r="F2429" s="64"/>
      <c r="J2429" s="32"/>
      <c r="K2429" s="47"/>
      <c r="M2429" s="32"/>
      <c r="N2429" s="28"/>
      <c r="O2429" s="29"/>
      <c r="P2429" s="36"/>
      <c r="R2429" s="33"/>
    </row>
    <row r="2430" spans="1:18" ht="15" customHeight="1">
      <c r="A2430" s="26"/>
      <c r="B2430" s="26"/>
      <c r="C2430" s="39"/>
      <c r="E2430" s="64"/>
      <c r="F2430" s="64"/>
      <c r="J2430" s="32"/>
      <c r="K2430" s="47"/>
      <c r="M2430" s="32"/>
      <c r="N2430" s="28"/>
      <c r="O2430" s="29"/>
      <c r="P2430" s="36"/>
      <c r="R2430" s="33"/>
    </row>
    <row r="2431" spans="1:18" ht="15" customHeight="1">
      <c r="A2431" s="26"/>
      <c r="B2431" s="26"/>
      <c r="C2431" s="39"/>
      <c r="E2431" s="64"/>
      <c r="F2431" s="64"/>
      <c r="J2431" s="32"/>
      <c r="K2431" s="47"/>
      <c r="M2431" s="32"/>
      <c r="N2431" s="28"/>
      <c r="O2431" s="29"/>
      <c r="P2431" s="36"/>
      <c r="R2431" s="33"/>
    </row>
    <row r="2432" spans="1:18" ht="15" customHeight="1">
      <c r="A2432" s="26"/>
      <c r="B2432" s="26"/>
      <c r="C2432" s="39"/>
      <c r="E2432" s="64"/>
      <c r="F2432" s="64"/>
      <c r="J2432" s="32"/>
      <c r="K2432" s="47"/>
      <c r="M2432" s="32"/>
      <c r="N2432" s="28"/>
      <c r="O2432" s="29"/>
      <c r="P2432" s="36"/>
      <c r="R2432" s="33"/>
    </row>
    <row r="2433" spans="1:18" ht="15" customHeight="1">
      <c r="A2433" s="26"/>
      <c r="B2433" s="26"/>
      <c r="C2433" s="39"/>
      <c r="E2433" s="64"/>
      <c r="F2433" s="64"/>
      <c r="J2433" s="32"/>
      <c r="K2433" s="47"/>
      <c r="M2433" s="32"/>
      <c r="N2433" s="28"/>
      <c r="O2433" s="29"/>
      <c r="P2433" s="36"/>
      <c r="R2433" s="33"/>
    </row>
    <row r="2434" spans="1:18" ht="15" customHeight="1">
      <c r="A2434" s="26"/>
      <c r="B2434" s="26"/>
      <c r="C2434" s="39"/>
      <c r="E2434" s="64"/>
      <c r="F2434" s="64"/>
      <c r="J2434" s="32"/>
      <c r="K2434" s="47"/>
      <c r="M2434" s="32"/>
      <c r="N2434" s="28"/>
      <c r="O2434" s="29"/>
      <c r="P2434" s="36"/>
      <c r="R2434" s="33"/>
    </row>
    <row r="2435" spans="1:18" ht="15" customHeight="1">
      <c r="A2435" s="26"/>
      <c r="B2435" s="26"/>
      <c r="C2435" s="39"/>
      <c r="E2435" s="64"/>
      <c r="F2435" s="64"/>
      <c r="J2435" s="32"/>
      <c r="K2435" s="47"/>
      <c r="M2435" s="32"/>
      <c r="N2435" s="28"/>
      <c r="O2435" s="29"/>
      <c r="P2435" s="36"/>
      <c r="R2435" s="33"/>
    </row>
    <row r="2436" spans="1:18" ht="15" customHeight="1">
      <c r="A2436" s="26"/>
      <c r="B2436" s="26"/>
      <c r="C2436" s="39"/>
      <c r="E2436" s="64"/>
      <c r="F2436" s="64"/>
      <c r="J2436" s="32"/>
      <c r="K2436" s="47"/>
      <c r="M2436" s="32"/>
      <c r="N2436" s="28"/>
      <c r="O2436" s="29"/>
      <c r="P2436" s="36"/>
      <c r="R2436" s="33"/>
    </row>
    <row r="2437" spans="1:18" ht="15" customHeight="1">
      <c r="A2437" s="26"/>
      <c r="B2437" s="26"/>
      <c r="C2437" s="39"/>
      <c r="E2437" s="64"/>
      <c r="F2437" s="64"/>
      <c r="J2437" s="32"/>
      <c r="K2437" s="47"/>
      <c r="M2437" s="32"/>
      <c r="N2437" s="28"/>
      <c r="O2437" s="29"/>
      <c r="P2437" s="36"/>
      <c r="R2437" s="33"/>
    </row>
    <row r="2438" spans="1:18" ht="15" customHeight="1">
      <c r="A2438" s="26"/>
      <c r="B2438" s="26"/>
      <c r="C2438" s="39"/>
      <c r="E2438" s="64"/>
      <c r="F2438" s="64"/>
      <c r="J2438" s="32"/>
      <c r="K2438" s="47"/>
      <c r="M2438" s="32"/>
      <c r="N2438" s="28"/>
      <c r="O2438" s="29"/>
      <c r="P2438" s="36"/>
      <c r="R2438" s="33"/>
    </row>
    <row r="2439" spans="1:18" ht="15" customHeight="1">
      <c r="A2439" s="26"/>
      <c r="B2439" s="26"/>
      <c r="C2439" s="39"/>
      <c r="E2439" s="64"/>
      <c r="F2439" s="64"/>
      <c r="J2439" s="32"/>
      <c r="K2439" s="47"/>
      <c r="M2439" s="32"/>
      <c r="N2439" s="28"/>
      <c r="O2439" s="29"/>
      <c r="P2439" s="36"/>
      <c r="R2439" s="33"/>
    </row>
    <row r="2440" spans="1:18" ht="15" customHeight="1">
      <c r="A2440" s="26"/>
      <c r="B2440" s="26"/>
      <c r="C2440" s="39"/>
      <c r="E2440" s="64"/>
      <c r="F2440" s="64"/>
      <c r="J2440" s="32"/>
      <c r="K2440" s="47"/>
      <c r="M2440" s="32"/>
      <c r="N2440" s="28"/>
      <c r="O2440" s="29"/>
      <c r="P2440" s="36"/>
      <c r="R2440" s="33"/>
    </row>
    <row r="2441" spans="1:18" ht="15" customHeight="1">
      <c r="A2441" s="26"/>
      <c r="B2441" s="26"/>
      <c r="C2441" s="39"/>
      <c r="E2441" s="64"/>
      <c r="F2441" s="64"/>
      <c r="J2441" s="32"/>
      <c r="K2441" s="47"/>
      <c r="M2441" s="32"/>
      <c r="N2441" s="28"/>
      <c r="O2441" s="29"/>
      <c r="P2441" s="36"/>
      <c r="R2441" s="33"/>
    </row>
    <row r="2442" spans="1:18" ht="15" customHeight="1">
      <c r="A2442" s="26"/>
      <c r="B2442" s="26"/>
      <c r="C2442" s="39"/>
      <c r="E2442" s="64"/>
      <c r="F2442" s="64"/>
      <c r="J2442" s="32"/>
      <c r="K2442" s="47"/>
      <c r="M2442" s="32"/>
      <c r="N2442" s="28"/>
      <c r="O2442" s="29"/>
      <c r="P2442" s="36"/>
      <c r="R2442" s="33"/>
    </row>
    <row r="2443" spans="1:18" ht="15" customHeight="1">
      <c r="A2443" s="26"/>
      <c r="B2443" s="26"/>
      <c r="C2443" s="39"/>
      <c r="E2443" s="64"/>
      <c r="F2443" s="64"/>
      <c r="J2443" s="32"/>
      <c r="K2443" s="47"/>
      <c r="M2443" s="32"/>
      <c r="N2443" s="28"/>
      <c r="O2443" s="29"/>
      <c r="P2443" s="36"/>
      <c r="R2443" s="33"/>
    </row>
    <row r="2444" spans="1:18" ht="15" customHeight="1">
      <c r="A2444" s="26"/>
      <c r="B2444" s="26"/>
      <c r="C2444" s="39"/>
      <c r="E2444" s="64"/>
      <c r="F2444" s="64"/>
      <c r="J2444" s="32"/>
      <c r="K2444" s="47"/>
      <c r="M2444" s="32"/>
      <c r="N2444" s="28"/>
      <c r="O2444" s="29"/>
      <c r="P2444" s="36"/>
      <c r="R2444" s="33"/>
    </row>
    <row r="2445" spans="1:18" ht="15" customHeight="1">
      <c r="A2445" s="26"/>
      <c r="B2445" s="26"/>
      <c r="C2445" s="39"/>
      <c r="E2445" s="64"/>
      <c r="F2445" s="64"/>
      <c r="J2445" s="32"/>
      <c r="K2445" s="47"/>
      <c r="M2445" s="32"/>
      <c r="N2445" s="28"/>
      <c r="O2445" s="29"/>
      <c r="P2445" s="36"/>
      <c r="R2445" s="33"/>
    </row>
    <row r="2446" spans="1:18" ht="15" customHeight="1">
      <c r="A2446" s="26"/>
      <c r="B2446" s="26"/>
      <c r="C2446" s="39"/>
      <c r="E2446" s="64"/>
      <c r="F2446" s="64"/>
      <c r="J2446" s="32"/>
      <c r="K2446" s="47"/>
      <c r="M2446" s="32"/>
      <c r="N2446" s="28"/>
      <c r="O2446" s="29"/>
      <c r="P2446" s="36"/>
      <c r="R2446" s="33"/>
    </row>
    <row r="2447" spans="1:18" ht="15" customHeight="1">
      <c r="A2447" s="26"/>
      <c r="B2447" s="26"/>
      <c r="C2447" s="39"/>
      <c r="E2447" s="64"/>
      <c r="F2447" s="64"/>
      <c r="J2447" s="32"/>
      <c r="K2447" s="47"/>
      <c r="M2447" s="32"/>
      <c r="N2447" s="28"/>
      <c r="O2447" s="29"/>
      <c r="P2447" s="36"/>
      <c r="R2447" s="33"/>
    </row>
    <row r="2448" spans="1:18" ht="15" customHeight="1">
      <c r="A2448" s="26"/>
      <c r="B2448" s="26"/>
      <c r="C2448" s="39"/>
      <c r="E2448" s="64"/>
      <c r="F2448" s="64"/>
      <c r="J2448" s="32"/>
      <c r="K2448" s="47"/>
      <c r="M2448" s="32"/>
      <c r="N2448" s="28"/>
      <c r="O2448" s="29"/>
      <c r="P2448" s="36"/>
      <c r="R2448" s="33"/>
    </row>
    <row r="2449" spans="1:18" ht="15" customHeight="1">
      <c r="A2449" s="26"/>
      <c r="B2449" s="26"/>
      <c r="C2449" s="39"/>
      <c r="E2449" s="64"/>
      <c r="F2449" s="64"/>
      <c r="J2449" s="32"/>
      <c r="K2449" s="47"/>
      <c r="M2449" s="32"/>
      <c r="N2449" s="28"/>
      <c r="O2449" s="29"/>
      <c r="P2449" s="36"/>
      <c r="R2449" s="33"/>
    </row>
    <row r="2450" spans="1:18" ht="15" customHeight="1">
      <c r="A2450" s="26"/>
      <c r="B2450" s="26"/>
      <c r="C2450" s="39"/>
      <c r="E2450" s="64"/>
      <c r="F2450" s="64"/>
      <c r="J2450" s="32"/>
      <c r="K2450" s="47"/>
      <c r="M2450" s="32"/>
      <c r="N2450" s="28"/>
      <c r="O2450" s="29"/>
      <c r="P2450" s="36"/>
      <c r="R2450" s="33"/>
    </row>
    <row r="2451" spans="1:18" ht="15" customHeight="1">
      <c r="A2451" s="26"/>
      <c r="B2451" s="26"/>
      <c r="C2451" s="39"/>
      <c r="E2451" s="64"/>
      <c r="F2451" s="64"/>
      <c r="J2451" s="32"/>
      <c r="K2451" s="47"/>
      <c r="M2451" s="32"/>
      <c r="N2451" s="28"/>
      <c r="O2451" s="29"/>
      <c r="P2451" s="36"/>
      <c r="R2451" s="33"/>
    </row>
    <row r="2452" spans="1:18" ht="15" customHeight="1">
      <c r="A2452" s="26"/>
      <c r="B2452" s="26"/>
      <c r="C2452" s="39"/>
      <c r="E2452" s="64"/>
      <c r="F2452" s="64"/>
      <c r="J2452" s="32"/>
      <c r="K2452" s="47"/>
      <c r="M2452" s="32"/>
      <c r="N2452" s="28"/>
      <c r="O2452" s="29"/>
      <c r="P2452" s="36"/>
      <c r="R2452" s="33"/>
    </row>
    <row r="2453" spans="1:18" ht="15" customHeight="1">
      <c r="A2453" s="26"/>
      <c r="B2453" s="26"/>
      <c r="C2453" s="39"/>
      <c r="E2453" s="64"/>
      <c r="F2453" s="64"/>
      <c r="J2453" s="32"/>
      <c r="K2453" s="47"/>
      <c r="M2453" s="32"/>
      <c r="N2453" s="28"/>
      <c r="O2453" s="29"/>
      <c r="P2453" s="36"/>
      <c r="R2453" s="33"/>
    </row>
    <row r="2454" spans="1:18" ht="15" customHeight="1">
      <c r="A2454" s="26"/>
      <c r="B2454" s="26"/>
      <c r="C2454" s="39"/>
      <c r="E2454" s="64"/>
      <c r="F2454" s="64"/>
      <c r="J2454" s="32"/>
      <c r="K2454" s="47"/>
      <c r="M2454" s="32"/>
      <c r="N2454" s="28"/>
      <c r="O2454" s="29"/>
      <c r="P2454" s="36"/>
      <c r="R2454" s="33"/>
    </row>
    <row r="2455" spans="1:18" ht="15" customHeight="1">
      <c r="A2455" s="26"/>
      <c r="B2455" s="26"/>
      <c r="C2455" s="39"/>
      <c r="E2455" s="64"/>
      <c r="F2455" s="64"/>
      <c r="J2455" s="32"/>
      <c r="K2455" s="47"/>
      <c r="M2455" s="32"/>
      <c r="N2455" s="28"/>
      <c r="O2455" s="29"/>
      <c r="P2455" s="36"/>
      <c r="R2455" s="33"/>
    </row>
    <row r="2456" spans="1:18" ht="15" customHeight="1">
      <c r="A2456" s="26"/>
      <c r="B2456" s="26"/>
      <c r="C2456" s="39"/>
      <c r="E2456" s="64"/>
      <c r="F2456" s="64"/>
      <c r="J2456" s="32"/>
      <c r="K2456" s="47"/>
      <c r="M2456" s="32"/>
      <c r="N2456" s="28"/>
      <c r="O2456" s="29"/>
      <c r="P2456" s="36"/>
      <c r="R2456" s="33"/>
    </row>
    <row r="2457" spans="1:18" ht="15" customHeight="1">
      <c r="A2457" s="26"/>
      <c r="B2457" s="26"/>
      <c r="C2457" s="39"/>
      <c r="E2457" s="64"/>
      <c r="F2457" s="64"/>
      <c r="J2457" s="32"/>
      <c r="K2457" s="47"/>
      <c r="M2457" s="32"/>
      <c r="N2457" s="28"/>
      <c r="O2457" s="29"/>
      <c r="P2457" s="36"/>
      <c r="R2457" s="33"/>
    </row>
    <row r="2458" spans="1:18" ht="15" customHeight="1">
      <c r="A2458" s="26"/>
      <c r="B2458" s="26"/>
      <c r="C2458" s="39"/>
      <c r="E2458" s="64"/>
      <c r="F2458" s="64"/>
      <c r="J2458" s="32"/>
      <c r="K2458" s="47"/>
      <c r="M2458" s="32"/>
      <c r="N2458" s="28"/>
      <c r="O2458" s="29"/>
      <c r="P2458" s="36"/>
      <c r="R2458" s="33"/>
    </row>
    <row r="2459" spans="1:18" ht="15" customHeight="1">
      <c r="A2459" s="26"/>
      <c r="B2459" s="26"/>
      <c r="C2459" s="39"/>
      <c r="E2459" s="64"/>
      <c r="F2459" s="64"/>
      <c r="J2459" s="32"/>
      <c r="K2459" s="47"/>
      <c r="M2459" s="32"/>
      <c r="N2459" s="28"/>
      <c r="O2459" s="29"/>
      <c r="P2459" s="36"/>
      <c r="R2459" s="33"/>
    </row>
    <row r="2460" spans="1:18" ht="15" customHeight="1">
      <c r="A2460" s="26"/>
      <c r="B2460" s="26"/>
      <c r="C2460" s="39"/>
      <c r="E2460" s="64"/>
      <c r="F2460" s="64"/>
      <c r="J2460" s="32"/>
      <c r="K2460" s="47"/>
      <c r="M2460" s="32"/>
      <c r="N2460" s="28"/>
      <c r="O2460" s="29"/>
      <c r="P2460" s="36"/>
      <c r="R2460" s="33"/>
    </row>
    <row r="2461" spans="1:18" ht="15" customHeight="1">
      <c r="A2461" s="26"/>
      <c r="B2461" s="26"/>
      <c r="C2461" s="39"/>
      <c r="E2461" s="64"/>
      <c r="F2461" s="64"/>
      <c r="J2461" s="32"/>
      <c r="K2461" s="47"/>
      <c r="M2461" s="32"/>
      <c r="N2461" s="28"/>
      <c r="O2461" s="29"/>
      <c r="P2461" s="36"/>
      <c r="R2461" s="33"/>
    </row>
    <row r="2462" spans="1:18" ht="15" customHeight="1">
      <c r="A2462" s="26"/>
      <c r="B2462" s="26"/>
      <c r="C2462" s="39"/>
      <c r="E2462" s="64"/>
      <c r="F2462" s="64"/>
      <c r="J2462" s="32"/>
      <c r="K2462" s="47"/>
      <c r="M2462" s="32"/>
      <c r="N2462" s="28"/>
      <c r="O2462" s="29"/>
      <c r="P2462" s="36"/>
      <c r="R2462" s="33"/>
    </row>
    <row r="2463" spans="1:18" ht="15" customHeight="1">
      <c r="A2463" s="26"/>
      <c r="B2463" s="26"/>
      <c r="C2463" s="39"/>
      <c r="E2463" s="64"/>
      <c r="F2463" s="64"/>
      <c r="J2463" s="32"/>
      <c r="K2463" s="47"/>
      <c r="M2463" s="32"/>
      <c r="N2463" s="28"/>
      <c r="O2463" s="29"/>
      <c r="P2463" s="36"/>
      <c r="R2463" s="33"/>
    </row>
    <row r="2464" spans="1:18" ht="15" customHeight="1">
      <c r="A2464" s="26"/>
      <c r="B2464" s="26"/>
      <c r="C2464" s="39"/>
      <c r="E2464" s="64"/>
      <c r="F2464" s="64"/>
      <c r="J2464" s="32"/>
      <c r="K2464" s="47"/>
      <c r="M2464" s="32"/>
      <c r="N2464" s="28"/>
      <c r="O2464" s="29"/>
      <c r="P2464" s="36"/>
      <c r="R2464" s="33"/>
    </row>
  </sheetData>
  <autoFilter ref="A1:R2464" xr:uid="{811AAD45-7682-434F-BCAD-349E6D60BADA}"/>
  <phoneticPr fontId="15" type="noConversion"/>
  <dataValidations count="3">
    <dataValidation type="list" allowBlank="1" showInputMessage="1" showErrorMessage="1" sqref="A1950:A2021 A2161:A2174 A2:A1938 A2194:A2464" xr:uid="{C251E817-24BB-4100-B694-3A16FB0D2671}">
      <formula1>SS</formula1>
    </dataValidation>
    <dataValidation type="list" allowBlank="1" showInputMessage="1" showErrorMessage="1" sqref="E2011:E2013 E818:E1193 E1206:E1208 E2015:E2016 E2122:E2124 E2126:E2132 E2134:E2138 E2181 E2:E808 E810:E811 E813:E816 E1210:E1211 E1943:E1944 E1999:E2000 E2019:E2021 E2082:E2110 E2145:E2179 E2143 E2184:E2198 E2140:E2141 E1195:E1202 E2009 E2029:E2036 E2112:E2117 E2119:E2120 E1214:E1938 E1941 E1946:E1952 E1955:E1962 E1966:E1967 E1970:E1975 E1977 E1979:E1982 E1984:E1988 E1990:E1992 E1994:E1996 E2002:E2005 E2007 E2038:E2079 E2200:E2258" xr:uid="{34CD01C4-A65A-47C2-A35A-AEA35B8CEA52}">
      <formula1>Clasificacion</formula1>
    </dataValidation>
    <dataValidation type="list" allowBlank="1" showInputMessage="1" showErrorMessage="1" sqref="F1942:F1961 F1981:F1992 F1994:F1996 F2008:F2009 F1963:F1979 F2033:F2073 F1058:F1939 F915 F2013 F2016 F2020:F2025 F1009 F891:F892 F896:F897 F820:F822 F870 F886 F883:F884 F1006 F1019 F2097:F2110 F2011 F2123 F2144 F2146:F2150 F2152 F2154:F2155 F2157:F2158 F2166:F2167 F2254:F2257 F813 F818 F825 F831:F844 F2211:F2224 F1999:F2006 F2075:F2095 F2126:F2132 F2138 F2175:F2192 F932 F2229 F1051:F1052 F2116 F2239:F2249 F857:F862 F864 F888 F904 F925 F846 F995:F998 F1001 F1004 F1023:F1027 F1029:F1033 F1035:F1036 F1045:F1046 F2027:F2029 F2113 F2164 F2170 F2118:F2121 F2172:F2173 F2200:F2204 F2140 F2227 F2232:F2234 F2194:F2196 F2206:F2207 F900 F1017 F1055 F867 F1013:F1014 F2134 F880 F922:F923 F934:F990 F2:F806" xr:uid="{2F8F2BD2-3B64-4E40-9149-EEA5C4BC7264}">
      <formula1>Partida</formula1>
    </dataValidation>
  </dataValidations>
  <hyperlinks>
    <hyperlink ref="C1671" r:id="rId1" display="NdC 60 Informe Drenes adicionales" xr:uid="{5A87FE80-10FC-414A-A8B0-4C147EB41935}"/>
    <hyperlink ref="C1664" r:id="rId2" display="NdC 61 Informe Modificación Señalética" xr:uid="{676DFDD6-1054-4692-9816-5634559C51D5}"/>
    <hyperlink ref="C1661" r:id="rId3" display="NdC 62 Informe Obra gruesa torreones" xr:uid="{FA820406-116D-4A5F-8506-E61DC319708D}"/>
    <hyperlink ref="C1657" r:id="rId4" display="NdC 63 informe Cielos Falsos" xr:uid="{99DAB566-1C30-4B9E-A9E8-CA3CC5301408}"/>
    <hyperlink ref="C1646" r:id="rId5" display="NdC 65 informe Disminución elementos ornamentales" xr:uid="{45466038-F7BA-4B6F-83EF-D747954685F5}"/>
    <hyperlink ref="C1637" r:id="rId6" display="NdC 66 Informe Sobre altura porcelanatos" xr:uid="{D9199018-F0D6-49A0-8085-0447CD749B92}"/>
    <hyperlink ref="C1606" r:id="rId7" display="NdC 72 Informe Ajuste de Vanos y muros UEPI" xr:uid="{5DE99D2E-381D-48C7-B9B4-F3801CFEC562}"/>
    <hyperlink ref="C1596" r:id="rId8" display="NdC 73 Informe Diferencias alcantarillado edificio sur" xr:uid="{DD611985-7F70-4B4C-AC8B-51822726A1F2}"/>
    <hyperlink ref="C1553" r:id="rId9" display="NdC 79 Informe Construcción de escaleras" xr:uid="{4A16DD60-71EA-487E-94B4-6BB6421B8607}"/>
    <hyperlink ref="C1526" r:id="rId10" display="NdC 83 Informe Reubicación de servicio sanitario y agua" xr:uid="{859835D7-A890-46FF-B413-65AED0CABAD5}"/>
    <hyperlink ref="C1518" r:id="rId11" display="NdC 84 Informe Obras adicionales Elect" xr:uid="{3E42B66F-88DA-4136-BB36-0D4ABD5A3B64}"/>
    <hyperlink ref="C1502" r:id="rId12" display="NdC 87 Informe Modificación muebles de acero" xr:uid="{BDA96346-4061-47C1-9FA5-7A79E9E0D337}"/>
    <hyperlink ref="C1495" r:id="rId13" display="NdC 88 Informe Construcción Pasarela HD Sur" xr:uid="{97323667-075F-48EC-ACDD-8858161BC3CB}"/>
    <hyperlink ref="C1480" r:id="rId14" display="NdC 90 Informe Modificación de puntos de datos" xr:uid="{1E11FC1F-126A-473F-BCF6-563BCA1B53C3}"/>
    <hyperlink ref="C1455" r:id="rId15" display="NdC 94 Informe Tapado con Hormigón de ventanas" xr:uid="{FA534D38-94CA-4E69-908E-FB540DC9F40B}"/>
    <hyperlink ref="C1447" r:id="rId16" display="NdC 95 Informe Vigas reticuladas" xr:uid="{6C424871-B114-4350-AB23-85207C35A4E9}"/>
    <hyperlink ref="C1441" r:id="rId17" display="NdC 96 Informe Murete estacionamiento Alta Complejidad" xr:uid="{54461FC6-A31D-4F41-9D26-47B16D6722BD}"/>
    <hyperlink ref="C1434" r:id="rId18" display="NdC 97 Informe Ventanas Vacío HD" xr:uid="{B41C31C4-7EB4-49AA-866C-B6DF52B02CED}"/>
    <hyperlink ref="C1406" r:id="rId19" display="NdC 102 Informe Reparación de gradas descansos escaleras SP" xr:uid="{C9983010-B6E2-4DD7-9389-72E1B02760E4}"/>
    <hyperlink ref="C1392" r:id="rId20" display="NdC 104 Informe Nueva elevación eje NE" xr:uid="{840AE65B-5053-4E68-8973-5FB26D7DF934}"/>
    <hyperlink ref="C1344" r:id="rId21" display="NdC 112 Informe Desmontaje tabique aislado sector lavadoras edificio sur" xr:uid="{B436ACF1-222B-4239-A82F-088B501C9844}"/>
    <hyperlink ref="C1339" r:id="rId22" display="NdC 113 Informe Suministro de Campanas Central de Alimentación" xr:uid="{C913D14B-6289-414A-9270-774D0C1D0AE1}"/>
    <hyperlink ref="C1332" r:id="rId23" display="NdC 114 Informe Radier Patio" xr:uid="{65B037B0-35DB-4543-A521-3506403EF628}"/>
    <hyperlink ref="C1313" r:id="rId24" display="NdC 118 Informe Cambio de cerraduras" xr:uid="{075C9AFC-86A0-4078-BED6-4C7ED5080181}"/>
    <hyperlink ref="C1472" r:id="rId25" display="NdC 91 Informe  Reparación de cámaras de alcantarillado existente" xr:uid="{CF41131D-9413-4B63-A9CE-8EE502E51228}"/>
    <hyperlink ref="C1369" r:id="rId26" display="NdC 108 Informe Ampliación sala de caldera" xr:uid="{4BBA9969-75BE-47C7-8E48-DFA40C15505E}"/>
    <hyperlink ref="C1350" r:id="rId27" display="NdC 111 Informe Escotilla acceso a cubierta SP" xr:uid="{A50011AD-B0E1-4146-827B-0FBE27A444CE}"/>
    <hyperlink ref="C1383" r:id="rId28" display="NdC 106 Informe Eliminación Antepechos Edificio NP" xr:uid="{1A8CAD51-0E66-4E57-B298-4CCCF9196042}"/>
    <hyperlink ref="C1513" r:id="rId29" display="NdC 60 Informe Drenes adicionales" xr:uid="{84C7E50D-D518-48DA-97A2-0319455D55D6}"/>
    <hyperlink ref="C1643" r:id="rId30" display="NdC 62 Informe Obra gruesa torreones" xr:uid="{4A05A8F9-B1B4-49B4-83F7-7834B19CBFF7}"/>
    <hyperlink ref="C1218" r:id="rId31" display="NdC 63 informe Cielos Falsos" xr:uid="{55B24A1F-29D2-4AE1-B229-E07F7EC5E026}"/>
    <hyperlink ref="C1030" r:id="rId32" display="NdC 66 Informe Sobre altura porcelanatos" xr:uid="{ABEA9E5D-885F-4EF7-BC08-F84D4F9A0FA0}"/>
    <hyperlink ref="C1882" r:id="rId33" display="NdC 72 Informe Ajuste de Vanos y muros UEPI" xr:uid="{F2A5DA25-BE2E-4866-9DE6-E5701FE33A94}"/>
    <hyperlink ref="C775" r:id="rId34" display="NdC 79 Informe Construcción de escaleras" xr:uid="{EF476960-63D5-46D6-9B57-72A3FFDBF76E}"/>
    <hyperlink ref="C371" r:id="rId35" display="NdC 84 Informe Obras adicionales Elect" xr:uid="{39B5E4CC-BCCB-40D7-B3E4-0B44C88BBB8C}"/>
    <hyperlink ref="C1742" r:id="rId36" display="NdC 88 Informe Construcción Pasarela HD Sur" xr:uid="{89F2D18E-DCF3-4954-AF82-0B88B49B75B5}"/>
    <hyperlink ref="C150" r:id="rId37" display="NdC 60 Informe Drenes adicionales" xr:uid="{D38915F7-1274-4778-A179-A81B60646E81}"/>
    <hyperlink ref="C410" r:id="rId38" display="NdC 60 Informe Drenes adicionales" xr:uid="{85204CEB-B3E0-4FB8-9A9C-49D8792BFD23}"/>
  </hyperlinks>
  <pageMargins left="0.25" right="0.25" top="0.75" bottom="0.75" header="0.3" footer="0.3"/>
  <pageSetup scale="31" fitToHeight="0" orientation="landscape" r:id="rId39"/>
  <legacyDrawing r:id="rId4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6530-8739-4343-B516-352F54A1C643}">
  <dimension ref="A1:C36"/>
  <sheetViews>
    <sheetView workbookViewId="0">
      <selection activeCell="E18" sqref="E18"/>
    </sheetView>
  </sheetViews>
  <sheetFormatPr defaultColWidth="11.42578125" defaultRowHeight="14.25" customHeight="1"/>
  <cols>
    <col min="1" max="1" width="51.42578125" customWidth="1"/>
    <col min="2" max="3" width="34.5703125" customWidth="1"/>
  </cols>
  <sheetData>
    <row r="1" spans="1:3" ht="30">
      <c r="A1" s="9" t="s">
        <v>3147</v>
      </c>
      <c r="B1" s="8" t="s">
        <v>3148</v>
      </c>
      <c r="C1" s="8" t="s">
        <v>3149</v>
      </c>
    </row>
    <row r="2" spans="1:3" ht="14.25" customHeight="1">
      <c r="A2" s="10" t="s">
        <v>3150</v>
      </c>
      <c r="B2" s="10" t="s">
        <v>3150</v>
      </c>
      <c r="C2" s="10" t="s">
        <v>3150</v>
      </c>
    </row>
    <row r="3" spans="1:3" ht="14.25" customHeight="1">
      <c r="A3" s="4" t="s">
        <v>3151</v>
      </c>
      <c r="B3" s="1" t="s">
        <v>3</v>
      </c>
      <c r="C3" s="1" t="s">
        <v>9</v>
      </c>
    </row>
    <row r="4" spans="1:3" ht="14.25" customHeight="1">
      <c r="A4" s="4" t="s">
        <v>3152</v>
      </c>
      <c r="B4" s="1" t="s">
        <v>4</v>
      </c>
      <c r="C4" s="1" t="s">
        <v>10</v>
      </c>
    </row>
    <row r="5" spans="1:3" ht="14.25" customHeight="1">
      <c r="A5" s="5" t="s">
        <v>3153</v>
      </c>
      <c r="B5" s="1" t="s">
        <v>198</v>
      </c>
      <c r="C5" s="1" t="s">
        <v>11</v>
      </c>
    </row>
    <row r="6" spans="1:3" ht="14.25" customHeight="1">
      <c r="A6" s="5" t="s">
        <v>184</v>
      </c>
      <c r="B6" s="1" t="s">
        <v>6</v>
      </c>
      <c r="C6" s="1" t="s">
        <v>12</v>
      </c>
    </row>
    <row r="7" spans="1:3" ht="14.25" customHeight="1">
      <c r="A7" s="4" t="s">
        <v>356</v>
      </c>
      <c r="B7" s="1"/>
      <c r="C7" s="1" t="s">
        <v>13</v>
      </c>
    </row>
    <row r="8" spans="1:3" ht="14.25" customHeight="1">
      <c r="A8" s="4" t="s">
        <v>391</v>
      </c>
      <c r="B8" s="1"/>
      <c r="C8" s="1" t="s">
        <v>14</v>
      </c>
    </row>
    <row r="9" spans="1:3" ht="14.25" customHeight="1">
      <c r="A9" s="6" t="s">
        <v>321</v>
      </c>
      <c r="B9" s="1"/>
      <c r="C9" s="1" t="s">
        <v>15</v>
      </c>
    </row>
    <row r="10" spans="1:3" ht="14.25" customHeight="1">
      <c r="A10" s="6" t="s">
        <v>189</v>
      </c>
      <c r="B10" s="1"/>
      <c r="C10" s="1" t="s">
        <v>16</v>
      </c>
    </row>
    <row r="11" spans="1:3" ht="14.25" customHeight="1">
      <c r="A11" s="6" t="s">
        <v>3154</v>
      </c>
      <c r="B11" s="1"/>
      <c r="C11" s="1" t="s">
        <v>3155</v>
      </c>
    </row>
    <row r="12" spans="1:3" ht="14.25" customHeight="1">
      <c r="A12" s="6" t="s">
        <v>3156</v>
      </c>
      <c r="B12" s="1"/>
      <c r="C12" s="1" t="s">
        <v>18</v>
      </c>
    </row>
    <row r="13" spans="1:3" ht="14.25" customHeight="1">
      <c r="A13" s="6" t="s">
        <v>2639</v>
      </c>
      <c r="B13" s="1"/>
      <c r="C13" s="1" t="s">
        <v>19</v>
      </c>
    </row>
    <row r="14" spans="1:3" ht="14.25" customHeight="1">
      <c r="A14" s="6" t="s">
        <v>166</v>
      </c>
      <c r="B14" s="1"/>
      <c r="C14" s="1" t="s">
        <v>20</v>
      </c>
    </row>
    <row r="15" spans="1:3" ht="14.25" customHeight="1">
      <c r="A15" s="6" t="s">
        <v>3157</v>
      </c>
      <c r="B15" s="1"/>
      <c r="C15" s="1" t="s">
        <v>21</v>
      </c>
    </row>
    <row r="16" spans="1:3" ht="14.25" customHeight="1">
      <c r="A16" s="6" t="s">
        <v>3158</v>
      </c>
      <c r="B16" s="1"/>
      <c r="C16" s="1"/>
    </row>
    <row r="17" spans="1:3" ht="14.25" customHeight="1">
      <c r="A17" s="6" t="s">
        <v>3159</v>
      </c>
      <c r="B17" s="1"/>
      <c r="C17" s="1"/>
    </row>
    <row r="18" spans="1:3" ht="14.25" customHeight="1">
      <c r="A18" s="6" t="s">
        <v>3160</v>
      </c>
      <c r="B18" s="1"/>
      <c r="C18" s="1"/>
    </row>
    <row r="19" spans="1:3" ht="14.25" customHeight="1">
      <c r="A19" s="6" t="s">
        <v>236</v>
      </c>
      <c r="B19" s="1"/>
      <c r="C19" s="1"/>
    </row>
    <row r="20" spans="1:3" ht="14.25" customHeight="1">
      <c r="A20" s="6" t="s">
        <v>3161</v>
      </c>
      <c r="B20" s="1"/>
      <c r="C20" s="1"/>
    </row>
    <row r="21" spans="1:3" ht="14.25" customHeight="1">
      <c r="A21" s="6" t="s">
        <v>293</v>
      </c>
      <c r="B21" s="1"/>
      <c r="C21" s="1"/>
    </row>
    <row r="22" spans="1:3" ht="14.25" customHeight="1">
      <c r="A22" s="6" t="s">
        <v>3162</v>
      </c>
      <c r="B22" s="1"/>
      <c r="C22" s="1"/>
    </row>
    <row r="23" spans="1:3" ht="14.25" customHeight="1">
      <c r="A23" s="6" t="s">
        <v>3163</v>
      </c>
      <c r="B23" s="1"/>
      <c r="C23" s="1"/>
    </row>
    <row r="24" spans="1:3" ht="14.25" customHeight="1">
      <c r="A24" s="6" t="s">
        <v>52</v>
      </c>
      <c r="B24" s="1"/>
      <c r="C24" s="1"/>
    </row>
    <row r="25" spans="1:3" ht="14.25" customHeight="1">
      <c r="A25" s="6" t="s">
        <v>39</v>
      </c>
      <c r="B25" s="1"/>
      <c r="C25" s="1"/>
    </row>
    <row r="26" spans="1:3" ht="14.25" customHeight="1">
      <c r="A26" s="6" t="s">
        <v>3164</v>
      </c>
      <c r="B26" s="1"/>
      <c r="C26" s="1"/>
    </row>
    <row r="27" spans="1:3" ht="14.25" customHeight="1">
      <c r="A27" s="6" t="s">
        <v>627</v>
      </c>
      <c r="B27" s="1"/>
      <c r="C27" s="1"/>
    </row>
    <row r="28" spans="1:3" ht="14.25" customHeight="1">
      <c r="A28" s="6" t="s">
        <v>688</v>
      </c>
      <c r="B28" s="1"/>
      <c r="C28" s="1"/>
    </row>
    <row r="29" spans="1:3" ht="14.25" customHeight="1">
      <c r="A29" s="6" t="s">
        <v>874</v>
      </c>
      <c r="B29" s="1"/>
      <c r="C29" s="1"/>
    </row>
    <row r="30" spans="1:3" ht="14.25" customHeight="1">
      <c r="A30" s="6" t="s">
        <v>3165</v>
      </c>
      <c r="B30" s="1"/>
      <c r="C30" s="1"/>
    </row>
    <row r="31" spans="1:3" ht="14.25" customHeight="1">
      <c r="A31" s="6" t="s">
        <v>3166</v>
      </c>
      <c r="B31" s="1"/>
      <c r="C31" s="1"/>
    </row>
    <row r="32" spans="1:3" ht="14.25" customHeight="1">
      <c r="A32" s="7"/>
      <c r="B32" s="1"/>
      <c r="C32" s="1"/>
    </row>
    <row r="33" spans="1:3" ht="14.25" customHeight="1">
      <c r="A33" s="7"/>
      <c r="B33" s="1"/>
      <c r="C33" s="1"/>
    </row>
    <row r="34" spans="1:3" ht="14.25" customHeight="1">
      <c r="A34" s="7"/>
      <c r="B34" s="1"/>
      <c r="C34" s="1"/>
    </row>
    <row r="35" spans="1:3" ht="14.25" customHeight="1">
      <c r="A35" s="7"/>
      <c r="B35" s="1"/>
      <c r="C35" s="1"/>
    </row>
    <row r="36" spans="1:3" ht="14.25" customHeight="1">
      <c r="A36" s="7"/>
      <c r="B36" s="1"/>
      <c r="C36" s="1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7F004-E366-4E0D-A79F-C94001C33711}">
  <dimension ref="B1:D31"/>
  <sheetViews>
    <sheetView zoomScale="90" zoomScaleNormal="90" workbookViewId="0">
      <selection activeCell="D11" sqref="D11"/>
    </sheetView>
  </sheetViews>
  <sheetFormatPr defaultColWidth="11.42578125" defaultRowHeight="15"/>
  <cols>
    <col min="2" max="3" width="24" customWidth="1"/>
    <col min="4" max="4" width="26.85546875" customWidth="1"/>
  </cols>
  <sheetData>
    <row r="1" spans="2:4">
      <c r="B1" s="2" t="s">
        <v>3167</v>
      </c>
      <c r="C1" s="2" t="s">
        <v>3168</v>
      </c>
      <c r="D1" s="2" t="s">
        <v>8</v>
      </c>
    </row>
    <row r="2" spans="2:4">
      <c r="B2" s="3" t="s">
        <v>3169</v>
      </c>
      <c r="C2" s="3" t="s">
        <v>3169</v>
      </c>
      <c r="D2" s="3" t="s">
        <v>3169</v>
      </c>
    </row>
    <row r="3" spans="2:4">
      <c r="B3" t="s">
        <v>3151</v>
      </c>
      <c r="C3" t="s">
        <v>4</v>
      </c>
      <c r="D3" t="s">
        <v>3170</v>
      </c>
    </row>
    <row r="4" spans="2:4">
      <c r="B4" t="s">
        <v>3152</v>
      </c>
      <c r="C4" t="s">
        <v>3</v>
      </c>
      <c r="D4" t="s">
        <v>13</v>
      </c>
    </row>
    <row r="5" spans="2:4">
      <c r="B5" t="s">
        <v>3153</v>
      </c>
      <c r="C5" t="s">
        <v>6</v>
      </c>
      <c r="D5" t="s">
        <v>3171</v>
      </c>
    </row>
    <row r="6" spans="2:4">
      <c r="B6" t="s">
        <v>184</v>
      </c>
      <c r="C6" t="s">
        <v>3172</v>
      </c>
      <c r="D6" t="s">
        <v>3173</v>
      </c>
    </row>
    <row r="7" spans="2:4">
      <c r="B7" t="s">
        <v>356</v>
      </c>
      <c r="D7" t="s">
        <v>10</v>
      </c>
    </row>
    <row r="8" spans="2:4">
      <c r="B8" t="s">
        <v>391</v>
      </c>
      <c r="D8" t="s">
        <v>11</v>
      </c>
    </row>
    <row r="9" spans="2:4">
      <c r="B9" t="s">
        <v>321</v>
      </c>
    </row>
    <row r="10" spans="2:4">
      <c r="B10" t="s">
        <v>189</v>
      </c>
    </row>
    <row r="11" spans="2:4">
      <c r="B11" t="s">
        <v>3154</v>
      </c>
    </row>
    <row r="12" spans="2:4">
      <c r="B12" t="s">
        <v>3156</v>
      </c>
    </row>
    <row r="13" spans="2:4">
      <c r="B13" t="s">
        <v>2639</v>
      </c>
    </row>
    <row r="14" spans="2:4">
      <c r="B14" t="s">
        <v>166</v>
      </c>
    </row>
    <row r="15" spans="2:4">
      <c r="B15" t="s">
        <v>3157</v>
      </c>
    </row>
    <row r="16" spans="2:4">
      <c r="B16" t="s">
        <v>3158</v>
      </c>
    </row>
    <row r="17" spans="2:2">
      <c r="B17" t="s">
        <v>3159</v>
      </c>
    </row>
    <row r="18" spans="2:2">
      <c r="B18" t="s">
        <v>3160</v>
      </c>
    </row>
    <row r="19" spans="2:2">
      <c r="B19" t="s">
        <v>236</v>
      </c>
    </row>
    <row r="20" spans="2:2">
      <c r="B20" t="s">
        <v>3161</v>
      </c>
    </row>
    <row r="21" spans="2:2">
      <c r="B21" t="s">
        <v>293</v>
      </c>
    </row>
    <row r="22" spans="2:2">
      <c r="B22" t="s">
        <v>3162</v>
      </c>
    </row>
    <row r="23" spans="2:2">
      <c r="B23" t="s">
        <v>3163</v>
      </c>
    </row>
    <row r="24" spans="2:2">
      <c r="B24" t="s">
        <v>52</v>
      </c>
    </row>
    <row r="25" spans="2:2">
      <c r="B25" t="s">
        <v>39</v>
      </c>
    </row>
    <row r="26" spans="2:2">
      <c r="B26" t="s">
        <v>3164</v>
      </c>
    </row>
    <row r="27" spans="2:2">
      <c r="B27" t="s">
        <v>627</v>
      </c>
    </row>
    <row r="28" spans="2:2">
      <c r="B28" t="s">
        <v>688</v>
      </c>
    </row>
    <row r="29" spans="2:2">
      <c r="B29" t="s">
        <v>874</v>
      </c>
    </row>
    <row r="30" spans="2:2">
      <c r="B30" t="s">
        <v>3165</v>
      </c>
    </row>
    <row r="31" spans="2:2">
      <c r="B31" t="s">
        <v>3166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SpotFreeman</dc:creator>
  <cp:keywords/>
  <dc:description/>
  <cp:lastModifiedBy/>
  <cp:revision/>
  <dcterms:created xsi:type="dcterms:W3CDTF">2020-04-26T21:35:08Z</dcterms:created>
  <dcterms:modified xsi:type="dcterms:W3CDTF">2026-01-28T20:15:47Z</dcterms:modified>
  <cp:category/>
  <cp:contentStatus/>
</cp:coreProperties>
</file>